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1_{0BF7514E-0D09-4820-A433-72FF7465013D}" xr6:coauthVersionLast="47" xr6:coauthVersionMax="47" xr10:uidLastSave="{00000000-0000-0000-0000-000000000000}"/>
  <bookViews>
    <workbookView xWindow="-120" yWindow="-120" windowWidth="29040" windowHeight="15720" activeTab="4" xr2:uid="{A73910F2-C367-4A87-944B-CD5F5E4623C2}"/>
  </bookViews>
  <sheets>
    <sheet name="CAT_1" sheetId="1" r:id="rId1"/>
    <sheet name="CAT_2" sheetId="2" r:id="rId2"/>
    <sheet name="CAT_3" sheetId="3" r:id="rId3"/>
    <sheet name="CAT_4" sheetId="4" r:id="rId4"/>
    <sheet name="CAT_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5" l="1"/>
  <c r="D47" i="5" s="1"/>
  <c r="D49" i="5" s="1"/>
  <c r="D43" i="5"/>
  <c r="D30" i="5"/>
  <c r="D24" i="5"/>
  <c r="D23" i="5"/>
  <c r="C2" i="5"/>
  <c r="E7" i="5" s="1"/>
  <c r="C33" i="4"/>
  <c r="C23" i="4"/>
  <c r="C24" i="4" s="1"/>
  <c r="D23" i="4" s="1"/>
  <c r="B19" i="4"/>
  <c r="C18" i="4" s="1"/>
  <c r="B9" i="4"/>
  <c r="B10" i="4" s="1"/>
  <c r="B4" i="4"/>
  <c r="C4" i="4" s="1"/>
  <c r="B2" i="4"/>
  <c r="D17" i="3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C17" i="3"/>
  <c r="C15" i="3"/>
  <c r="B13" i="3"/>
  <c r="C13" i="3" s="1"/>
  <c r="D13" i="3" s="1"/>
  <c r="B11" i="3"/>
  <c r="C11" i="3" s="1"/>
  <c r="B9" i="3"/>
  <c r="C9" i="3" s="1"/>
  <c r="B7" i="3"/>
  <c r="C7" i="3" s="1"/>
  <c r="C5" i="3"/>
  <c r="C3" i="3"/>
  <c r="B2" i="3"/>
  <c r="C2" i="3" s="1"/>
  <c r="E14" i="2"/>
  <c r="E13" i="2"/>
  <c r="E12" i="2"/>
  <c r="E10" i="2"/>
  <c r="E9" i="2"/>
  <c r="E8" i="2"/>
  <c r="E7" i="2"/>
  <c r="E6" i="2"/>
  <c r="D6" i="2"/>
  <c r="E4" i="2"/>
  <c r="D5" i="2"/>
  <c r="E5" i="2" s="1"/>
  <c r="E3" i="2"/>
  <c r="E2" i="2"/>
  <c r="C11" i="1"/>
  <c r="C10" i="1"/>
  <c r="C9" i="1"/>
  <c r="C8" i="1"/>
  <c r="C7" i="1"/>
  <c r="C6" i="1"/>
  <c r="C5" i="1"/>
  <c r="C4" i="1"/>
  <c r="C3" i="1"/>
  <c r="C2" i="1"/>
  <c r="D33" i="5"/>
  <c r="D51" i="5" l="1"/>
  <c r="E13" i="5"/>
  <c r="E10" i="5"/>
  <c r="C26" i="4"/>
  <c r="D20" i="4"/>
  <c r="D19" i="4"/>
  <c r="C19" i="4"/>
  <c r="B12" i="4"/>
  <c r="D4" i="4"/>
  <c r="C2" i="4"/>
  <c r="D2" i="4" s="1"/>
  <c r="E13" i="3"/>
  <c r="D9" i="3"/>
  <c r="D7" i="3"/>
</calcChain>
</file>

<file path=xl/sharedStrings.xml><?xml version="1.0" encoding="utf-8"?>
<sst xmlns="http://schemas.openxmlformats.org/spreadsheetml/2006/main" count="101" uniqueCount="97">
  <si>
    <t>Category A : Basic to Intermediate Date Logic</t>
  </si>
  <si>
    <t>1. Is 1/1/2024 a valid date?</t>
  </si>
  <si>
    <t>1/1/2024</t>
  </si>
  <si>
    <t>2.Is 2/29/2023 a valid date?</t>
  </si>
  <si>
    <t>29/2/2023</t>
  </si>
  <si>
    <t xml:space="preserve">3. How do you get today's date? </t>
  </si>
  <si>
    <t>4. How do you get the current time?</t>
  </si>
  <si>
    <t>Today function</t>
  </si>
  <si>
    <t>Now</t>
  </si>
  <si>
    <t xml:space="preserve">5. How do you add 7 days to a date? </t>
  </si>
  <si>
    <t>6. How do you subtract 3 days from a date?</t>
  </si>
  <si>
    <t xml:space="preserve">7. How do you extract the year from a date? </t>
  </si>
  <si>
    <t xml:space="preserve">8. How do you extract the month from a date? </t>
  </si>
  <si>
    <t xml:space="preserve">9. How do you extract the day from a date? </t>
  </si>
  <si>
    <t xml:space="preserve">10. How do you display a date in the format MM/DD/YYYY? </t>
  </si>
  <si>
    <t>Category B: Differences, Age Calculations, Durations</t>
  </si>
  <si>
    <t>1. How do you calculate the difference between two dates in days?</t>
  </si>
  <si>
    <t xml:space="preserve">2. How do you calculate the difference between two dates in months? </t>
  </si>
  <si>
    <t xml:space="preserve">3.How do you calculate the difference between two dates in years? </t>
  </si>
  <si>
    <t>4. How do you calculate someone's age based on their birthdate?</t>
  </si>
  <si>
    <t>DATEDIF()</t>
  </si>
  <si>
    <t>days</t>
  </si>
  <si>
    <t>months</t>
  </si>
  <si>
    <t>Nested Dated If()</t>
  </si>
  <si>
    <t xml:space="preserve">5. How do you calculate the number of weeks between two dates? </t>
  </si>
  <si>
    <t xml:space="preserve">6. How do you calculate the number of weekdays between two dates? </t>
  </si>
  <si>
    <t xml:space="preserve">7. How do you calculate the duration of a project in days? </t>
  </si>
  <si>
    <t xml:space="preserve">8. How do you calculate the duration of a project in months? </t>
  </si>
  <si>
    <t>dated If</t>
  </si>
  <si>
    <t>Network Days</t>
  </si>
  <si>
    <t xml:space="preserve">INT, ABS </t>
  </si>
  <si>
    <t xml:space="preserve">9. How do you calculate the duration of a project in years? </t>
  </si>
  <si>
    <t>Dated If, &amp;</t>
  </si>
  <si>
    <t>10. How do you determine if a date falls within a specific date range?</t>
  </si>
  <si>
    <t xml:space="preserve">Countif, vlookup, is Number, IF </t>
  </si>
  <si>
    <t>Category C: EDATE, EOMONTH, Month-end Logic</t>
  </si>
  <si>
    <t>1. How do you use the EDATE function to add months to a date?</t>
  </si>
  <si>
    <t>2 Months added</t>
  </si>
  <si>
    <t>8 Months less</t>
  </si>
  <si>
    <t xml:space="preserve">2. How do you use the EOMONTH function to find the last day of a month? </t>
  </si>
  <si>
    <t>2 months + End of month</t>
  </si>
  <si>
    <t>3. How do you find the first day of a month?</t>
  </si>
  <si>
    <t>4. How do you calculate the last day of the previous month?</t>
  </si>
  <si>
    <t>5. How do you calculate the first day of the next month?</t>
  </si>
  <si>
    <t>6. How do you determine if a date is the last day of the month?</t>
  </si>
  <si>
    <t>7. How do you determine the number of days in a specific month?</t>
  </si>
  <si>
    <t>8. How do you find all dates of the next month?</t>
  </si>
  <si>
    <t>Category D: WORKDAY, NETWORKDAYS</t>
  </si>
  <si>
    <t>1. How do you use the WORKDAY function to calculate a date after a specific number of workdays?</t>
  </si>
  <si>
    <t>2. How do you use the NETWORKDAYS function to calculate the number of workdays between two dates?</t>
  </si>
  <si>
    <t>3. How do you exclude holidays from the WORKDAY calculation?</t>
  </si>
  <si>
    <t xml:space="preserve"> </t>
  </si>
  <si>
    <t xml:space="preserve">Holidays List </t>
  </si>
  <si>
    <t>between (22-11 to 10 days means ) : excluded weekends only</t>
  </si>
  <si>
    <t>applied holidays now this is skipped the 3 moredays and 2 more weekend days</t>
  </si>
  <si>
    <t>1. Set up the one column for the holidays range with dates 
2. use Workday for the adding holidays</t>
  </si>
  <si>
    <t>4. How do you exclude holidays from the NETWORKDAYS calculation?</t>
  </si>
  <si>
    <t xml:space="preserve">Network Days means no.of workings days so, between 22-11 to 8 days it should 30-11-2025 but it print 3-12-2025 due to excluded Saturday and Sunday ( 4days ) …. If I apply holidays now Network days only 5.. 
Holidays Optional we can add or leave it...
</t>
  </si>
  <si>
    <t>5. How do you calculate a project's end date considering only workdays?</t>
  </si>
  <si>
    <t>start date</t>
  </si>
  <si>
    <t>end date</t>
  </si>
  <si>
    <t>network days without holidays</t>
  </si>
  <si>
    <t>total days</t>
  </si>
  <si>
    <t>6. How do you calculate the number of workdays available in a specific month?</t>
  </si>
  <si>
    <t xml:space="preserve">start date </t>
  </si>
  <si>
    <t>workdays</t>
  </si>
  <si>
    <t>Category E: Advanced Date Logic</t>
  </si>
  <si>
    <t>1. How do you calculate the date of the next specific day of the week (e.g., next Monday)?</t>
  </si>
  <si>
    <t>find Next Monday</t>
  </si>
  <si>
    <t>today ( Sun )</t>
  </si>
  <si>
    <t>Sunday</t>
  </si>
  <si>
    <t>Monday</t>
  </si>
  <si>
    <t>Tuesday</t>
  </si>
  <si>
    <t>Wednesday</t>
  </si>
  <si>
    <t>Thursday</t>
  </si>
  <si>
    <t>Friday</t>
  </si>
  <si>
    <t>Saturday</t>
  </si>
  <si>
    <t>weekday range</t>
  </si>
  <si>
    <t xml:space="preserve">findout today weekday </t>
  </si>
  <si>
    <t xml:space="preserve">checking today is Monday or not </t>
  </si>
  <si>
    <t>Finding next Monday ( Dynamic)</t>
  </si>
  <si>
    <t>if require day MONDAY is current date day is match with 
sundays check with next day if not match next untill = Monday
 once it match return date.</t>
  </si>
  <si>
    <t>2. How do you calculate the date of the previous specific day of the week (e.g., previous Friday)?</t>
  </si>
  <si>
    <t>today ( Sunday )</t>
  </si>
  <si>
    <t>Last Sunday means( today -7 )</t>
  </si>
  <si>
    <t>3. How do you calculate the number of occurrences of a specific day of the week in a given month?</t>
  </si>
  <si>
    <t>month start</t>
  </si>
  <si>
    <t>month end</t>
  </si>
  <si>
    <t>Specifc Day means assueme ( Friday )</t>
  </si>
  <si>
    <t>Required count of fridays in given month or date range…</t>
  </si>
  <si>
    <t xml:space="preserve">4. How do you create a dynamic calendar that updates automatically? </t>
  </si>
  <si>
    <t>5. How do you determine if a year is a leap year?</t>
  </si>
  <si>
    <t>year</t>
  </si>
  <si>
    <t>if num/4=0</t>
  </si>
  <si>
    <t>6. How do you create a formula to calculate the date that is X days before the end of the current month?</t>
  </si>
  <si>
    <t>days of count before ending month .?</t>
  </si>
  <si>
    <t>if required x days before date to end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</si>
</sst>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Old English Text MT"/>
      <family val="4"/>
    </font>
    <font>
      <b/>
      <sz val="16"/>
      <color theme="1"/>
      <name val="Old English Text MT"/>
      <family val="4"/>
    </font>
    <font>
      <b/>
      <sz val="14"/>
      <color theme="1"/>
      <name val="NSimSun"/>
      <family val="3"/>
    </font>
    <font>
      <b/>
      <sz val="16"/>
      <color theme="1" tint="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4" borderId="0" xfId="0" applyFill="1"/>
    <xf numFmtId="49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169" fontId="0" fillId="4" borderId="0" xfId="0" applyNumberFormat="1" applyFill="1" applyAlignment="1">
      <alignment horizontal="left"/>
    </xf>
    <xf numFmtId="0" fontId="2" fillId="5" borderId="1" xfId="0" applyFont="1" applyFill="1" applyBorder="1"/>
    <xf numFmtId="14" fontId="2" fillId="5" borderId="1" xfId="0" applyNumberFormat="1" applyFont="1" applyFill="1" applyBorder="1"/>
    <xf numFmtId="14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NumberFormat="1" applyFill="1" applyBorder="1"/>
    <xf numFmtId="0" fontId="0" fillId="4" borderId="1" xfId="0" applyNumberFormat="1" applyFill="1" applyBorder="1" applyAlignment="1">
      <alignment horizontal="right"/>
    </xf>
    <xf numFmtId="0" fontId="0" fillId="6" borderId="0" xfId="0" applyFill="1"/>
    <xf numFmtId="0" fontId="0" fillId="6" borderId="0" xfId="0" applyFill="1" applyAlignment="1">
      <alignment wrapText="1"/>
    </xf>
    <xf numFmtId="14" fontId="0" fillId="6" borderId="0" xfId="0" applyNumberFormat="1" applyFill="1"/>
    <xf numFmtId="14" fontId="0" fillId="6" borderId="0" xfId="0" applyNumberFormat="1" applyFill="1" applyAlignment="1">
      <alignment horizontal="left"/>
    </xf>
    <xf numFmtId="0" fontId="1" fillId="6" borderId="0" xfId="0" applyFont="1" applyFill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wrapText="1"/>
    </xf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wrapText="1"/>
    </xf>
    <xf numFmtId="14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67E6-D379-469E-B5CC-12223D5EAB27}">
  <sheetPr>
    <tabColor rgb="FF7030A0"/>
  </sheetPr>
  <dimension ref="A1:Q11"/>
  <sheetViews>
    <sheetView zoomScale="142" workbookViewId="0">
      <selection activeCell="A4" sqref="A4"/>
    </sheetView>
  </sheetViews>
  <sheetFormatPr defaultRowHeight="15" x14ac:dyDescent="0.25"/>
  <cols>
    <col min="1" max="1" width="54.28515625" bestFit="1" customWidth="1"/>
    <col min="2" max="2" width="24.28515625" bestFit="1" customWidth="1"/>
    <col min="3" max="3" width="16.28515625" bestFit="1" customWidth="1"/>
    <col min="4" max="4" width="10.85546875" bestFit="1" customWidth="1"/>
  </cols>
  <sheetData>
    <row r="1" spans="1:17" ht="20.2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8" t="s">
        <v>1</v>
      </c>
      <c r="B2" s="9" t="s">
        <v>2</v>
      </c>
      <c r="C2" s="10" t="b">
        <f>ISNUMBER(DATEVALUE(B2))</f>
        <v>1</v>
      </c>
    </row>
    <row r="3" spans="1:17" x14ac:dyDescent="0.25">
      <c r="A3" s="8" t="s">
        <v>3</v>
      </c>
      <c r="B3" s="11" t="s">
        <v>4</v>
      </c>
      <c r="C3" s="10" t="b">
        <f>ISNUMBER(DATEVALUE(B3))</f>
        <v>0</v>
      </c>
    </row>
    <row r="4" spans="1:17" x14ac:dyDescent="0.25">
      <c r="A4" s="8" t="s">
        <v>5</v>
      </c>
      <c r="B4" s="10" t="s">
        <v>7</v>
      </c>
      <c r="C4" s="11">
        <f ca="1">TODAY()</f>
        <v>45984</v>
      </c>
    </row>
    <row r="5" spans="1:17" x14ac:dyDescent="0.25">
      <c r="A5" s="8" t="s">
        <v>6</v>
      </c>
      <c r="B5" s="10" t="s">
        <v>8</v>
      </c>
      <c r="C5" s="12">
        <f ca="1">NOW()</f>
        <v>45984.061473611109</v>
      </c>
    </row>
    <row r="6" spans="1:17" x14ac:dyDescent="0.25">
      <c r="A6" s="8" t="s">
        <v>9</v>
      </c>
      <c r="B6" s="11">
        <v>45983</v>
      </c>
      <c r="C6" s="10" t="str">
        <f>TEXT(B6+7,"DD-MM-YYYY")</f>
        <v>29-11-2025</v>
      </c>
    </row>
    <row r="7" spans="1:17" x14ac:dyDescent="0.25">
      <c r="A7" s="8" t="s">
        <v>10</v>
      </c>
      <c r="B7" s="11">
        <v>45983</v>
      </c>
      <c r="C7" s="10" t="str">
        <f>TEXT(B7-3,"DD-MM-YYYY")</f>
        <v>19-11-2025</v>
      </c>
    </row>
    <row r="8" spans="1:17" x14ac:dyDescent="0.25">
      <c r="A8" s="8" t="s">
        <v>11</v>
      </c>
      <c r="B8" s="11">
        <v>45983</v>
      </c>
      <c r="C8" s="10">
        <f>YEAR(B8)</f>
        <v>2025</v>
      </c>
    </row>
    <row r="9" spans="1:17" x14ac:dyDescent="0.25">
      <c r="A9" s="8" t="s">
        <v>12</v>
      </c>
      <c r="B9" s="11">
        <v>45983</v>
      </c>
      <c r="C9" s="10">
        <f>MONTH(B9)</f>
        <v>11</v>
      </c>
    </row>
    <row r="10" spans="1:17" x14ac:dyDescent="0.25">
      <c r="A10" s="8" t="s">
        <v>13</v>
      </c>
      <c r="B10" s="11">
        <v>45983</v>
      </c>
      <c r="C10" s="10">
        <f>DAY(B10)</f>
        <v>22</v>
      </c>
    </row>
    <row r="11" spans="1:17" x14ac:dyDescent="0.25">
      <c r="A11" s="8" t="s">
        <v>14</v>
      </c>
      <c r="B11" s="11">
        <v>45983</v>
      </c>
      <c r="C11" s="10" t="str">
        <f>TEXT(B11,"MM-DD-YYYY")</f>
        <v>11-22-2025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5BE6-2871-45CE-960F-8E9D31F29E9B}">
  <sheetPr>
    <tabColor rgb="FFFF0000"/>
  </sheetPr>
  <dimension ref="A1:Q25"/>
  <sheetViews>
    <sheetView zoomScale="128" workbookViewId="0">
      <selection activeCell="A3" sqref="A3"/>
    </sheetView>
  </sheetViews>
  <sheetFormatPr defaultRowHeight="15" x14ac:dyDescent="0.25"/>
  <cols>
    <col min="1" max="1" width="65" bestFit="1" customWidth="1"/>
    <col min="2" max="2" width="40.85546875" bestFit="1" customWidth="1"/>
    <col min="3" max="3" width="16.140625" customWidth="1"/>
    <col min="4" max="4" width="16.140625" bestFit="1" customWidth="1"/>
    <col min="5" max="5" width="22.85546875" bestFit="1" customWidth="1"/>
  </cols>
  <sheetData>
    <row r="1" spans="1:17" ht="15.75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7" t="s">
        <v>16</v>
      </c>
      <c r="B2" s="17" t="s">
        <v>21</v>
      </c>
      <c r="C2" s="18">
        <v>45983</v>
      </c>
      <c r="D2" s="18">
        <v>45979</v>
      </c>
      <c r="E2" s="17">
        <f>_xlfn.DAYS(C2,D2)</f>
        <v>4</v>
      </c>
    </row>
    <row r="3" spans="1:17" x14ac:dyDescent="0.25">
      <c r="A3" s="17" t="s">
        <v>17</v>
      </c>
      <c r="B3" s="17" t="s">
        <v>22</v>
      </c>
      <c r="C3" s="18">
        <v>45984</v>
      </c>
      <c r="D3" s="18">
        <v>45676</v>
      </c>
      <c r="E3" s="17">
        <f>MONTH(C3-D3)</f>
        <v>11</v>
      </c>
    </row>
    <row r="4" spans="1:17" x14ac:dyDescent="0.25">
      <c r="A4" s="17" t="s">
        <v>18</v>
      </c>
      <c r="B4" s="17" t="s">
        <v>20</v>
      </c>
      <c r="C4" s="18">
        <v>44158</v>
      </c>
      <c r="D4" s="18">
        <v>45984</v>
      </c>
      <c r="E4" s="17">
        <f>DATEDIF(C4,D4,"Y")</f>
        <v>5</v>
      </c>
    </row>
    <row r="5" spans="1:17" x14ac:dyDescent="0.25">
      <c r="A5" s="17" t="s">
        <v>19</v>
      </c>
      <c r="B5" s="17" t="s">
        <v>23</v>
      </c>
      <c r="C5" s="18">
        <v>35510</v>
      </c>
      <c r="D5" s="18">
        <f ca="1">NOW()</f>
        <v>45984.061473611109</v>
      </c>
      <c r="E5" s="17" t="str">
        <f ca="1">DATEDIF(C5,D5,"Y")&amp;" Years "&amp;DATEDIF(C5,D5,"YM")&amp;" Months "&amp;DATEDIF(C5,D5,"MD")&amp;"Days"</f>
        <v>28 Years 8 Months 2Days</v>
      </c>
    </row>
    <row r="6" spans="1:17" x14ac:dyDescent="0.25">
      <c r="A6" s="17" t="s">
        <v>24</v>
      </c>
      <c r="B6" s="17" t="s">
        <v>30</v>
      </c>
      <c r="C6" s="18">
        <v>45658</v>
      </c>
      <c r="D6" s="18">
        <f>EOMONTH(C6,11)</f>
        <v>46022</v>
      </c>
      <c r="E6" s="17">
        <f>ABS(INT((C6-D6)/7))</f>
        <v>52</v>
      </c>
    </row>
    <row r="7" spans="1:17" x14ac:dyDescent="0.25">
      <c r="A7" s="17" t="s">
        <v>25</v>
      </c>
      <c r="B7" s="17" t="s">
        <v>29</v>
      </c>
      <c r="C7" s="18">
        <v>45973</v>
      </c>
      <c r="D7" s="18">
        <v>45979</v>
      </c>
      <c r="E7" s="17">
        <f>NETWORKDAYS(C7,D7)</f>
        <v>5</v>
      </c>
    </row>
    <row r="8" spans="1:17" x14ac:dyDescent="0.25">
      <c r="A8" s="17" t="s">
        <v>26</v>
      </c>
      <c r="B8" s="17" t="s">
        <v>21</v>
      </c>
      <c r="C8" s="18">
        <v>45809</v>
      </c>
      <c r="D8" s="18">
        <v>46371</v>
      </c>
      <c r="E8" s="17">
        <f>_xlfn.DAYS(D8,C8)</f>
        <v>562</v>
      </c>
    </row>
    <row r="9" spans="1:17" x14ac:dyDescent="0.25">
      <c r="A9" s="17" t="s">
        <v>27</v>
      </c>
      <c r="B9" s="17" t="s">
        <v>28</v>
      </c>
      <c r="C9" s="18">
        <v>45809</v>
      </c>
      <c r="D9" s="18">
        <v>46371</v>
      </c>
      <c r="E9" s="19">
        <f>DATEDIF(C9,D9,"M")</f>
        <v>18</v>
      </c>
    </row>
    <row r="10" spans="1:17" x14ac:dyDescent="0.25">
      <c r="A10" s="17" t="s">
        <v>31</v>
      </c>
      <c r="B10" s="17" t="s">
        <v>32</v>
      </c>
      <c r="C10" s="18">
        <v>45809</v>
      </c>
      <c r="D10" s="18">
        <v>46371</v>
      </c>
      <c r="E10" s="20" t="str">
        <f>DATEDIF(C10,D10,"m")/12 &amp; " Years"</f>
        <v>1.5 Years</v>
      </c>
    </row>
    <row r="11" spans="1:17" x14ac:dyDescent="0.25">
      <c r="A11" s="13" t="s">
        <v>33</v>
      </c>
      <c r="B11" s="13" t="s">
        <v>34</v>
      </c>
      <c r="C11" s="13"/>
      <c r="D11" s="13"/>
      <c r="E11" s="13"/>
    </row>
    <row r="12" spans="1:17" x14ac:dyDescent="0.25">
      <c r="A12" s="13"/>
      <c r="B12" s="13"/>
      <c r="C12" s="14">
        <v>43863</v>
      </c>
      <c r="D12" s="14">
        <v>43880</v>
      </c>
      <c r="E12" s="15" t="str">
        <f>IF(ISNUMBER(MATCH(D12,C12:C25,0)), "YES","NO")</f>
        <v>NO</v>
      </c>
    </row>
    <row r="13" spans="1:17" x14ac:dyDescent="0.25">
      <c r="A13" s="13"/>
      <c r="B13" s="13"/>
      <c r="C13" s="14">
        <v>43864</v>
      </c>
      <c r="D13" s="14"/>
      <c r="E13" s="15" t="str">
        <f>IF(ISNUMBER(VLOOKUP($D$12, $C$12:$C$25, 1, FALSE)),"YES","NO")</f>
        <v>NO</v>
      </c>
    </row>
    <row r="14" spans="1:17" x14ac:dyDescent="0.25">
      <c r="A14" s="13"/>
      <c r="B14" s="13"/>
      <c r="C14" s="14">
        <v>43865</v>
      </c>
      <c r="D14" s="14"/>
      <c r="E14" s="16">
        <f>COUNTIF(C12:C25,D12)</f>
        <v>0</v>
      </c>
    </row>
    <row r="15" spans="1:17" x14ac:dyDescent="0.25">
      <c r="A15" s="13"/>
      <c r="B15" s="13"/>
      <c r="C15" s="14">
        <v>43866</v>
      </c>
      <c r="D15" s="14"/>
      <c r="E15" s="13"/>
    </row>
    <row r="16" spans="1:17" x14ac:dyDescent="0.25">
      <c r="A16" s="13"/>
      <c r="B16" s="13"/>
      <c r="C16" s="14">
        <v>43867</v>
      </c>
      <c r="D16" s="14"/>
      <c r="E16" s="13"/>
    </row>
    <row r="17" spans="1:5" x14ac:dyDescent="0.25">
      <c r="A17" s="13"/>
      <c r="B17" s="13"/>
      <c r="C17" s="14">
        <v>43868</v>
      </c>
      <c r="D17" s="14"/>
      <c r="E17" s="13"/>
    </row>
    <row r="18" spans="1:5" x14ac:dyDescent="0.25">
      <c r="A18" s="13"/>
      <c r="B18" s="13"/>
      <c r="C18" s="14">
        <v>43869</v>
      </c>
      <c r="D18" s="14"/>
      <c r="E18" s="13"/>
    </row>
    <row r="19" spans="1:5" x14ac:dyDescent="0.25">
      <c r="A19" s="13"/>
      <c r="B19" s="13"/>
      <c r="C19" s="14">
        <v>43870</v>
      </c>
      <c r="D19" s="14"/>
      <c r="E19" s="13"/>
    </row>
    <row r="20" spans="1:5" x14ac:dyDescent="0.25">
      <c r="A20" s="13"/>
      <c r="B20" s="13"/>
      <c r="C20" s="14">
        <v>43871</v>
      </c>
      <c r="D20" s="14"/>
      <c r="E20" s="13"/>
    </row>
    <row r="21" spans="1:5" x14ac:dyDescent="0.25">
      <c r="A21" s="13"/>
      <c r="B21" s="13"/>
      <c r="C21" s="14">
        <v>43872</v>
      </c>
      <c r="D21" s="14"/>
      <c r="E21" s="13"/>
    </row>
    <row r="22" spans="1:5" x14ac:dyDescent="0.25">
      <c r="A22" s="13"/>
      <c r="B22" s="13"/>
      <c r="C22" s="14">
        <v>43873</v>
      </c>
      <c r="D22" s="14"/>
      <c r="E22" s="13"/>
    </row>
    <row r="23" spans="1:5" x14ac:dyDescent="0.25">
      <c r="A23" s="13"/>
      <c r="B23" s="13"/>
      <c r="C23" s="14">
        <v>43874</v>
      </c>
      <c r="D23" s="14"/>
      <c r="E23" s="13"/>
    </row>
    <row r="24" spans="1:5" x14ac:dyDescent="0.25">
      <c r="A24" s="13"/>
      <c r="B24" s="13"/>
      <c r="C24" s="14">
        <v>43875</v>
      </c>
      <c r="D24" s="14"/>
      <c r="E24" s="13"/>
    </row>
    <row r="25" spans="1:5" x14ac:dyDescent="0.25">
      <c r="A25" s="13"/>
      <c r="B25" s="13"/>
      <c r="C25" s="14">
        <v>43876</v>
      </c>
      <c r="D25" s="14"/>
      <c r="E25" s="13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9FED-856A-40B8-88C8-18D6A1F7B1AC}">
  <sheetPr>
    <tabColor rgb="FF00B0F0"/>
  </sheetPr>
  <dimension ref="A1:W31"/>
  <sheetViews>
    <sheetView zoomScale="125" workbookViewId="0">
      <selection activeCell="A5" sqref="A5"/>
    </sheetView>
  </sheetViews>
  <sheetFormatPr defaultRowHeight="15" x14ac:dyDescent="0.25"/>
  <cols>
    <col min="1" max="1" width="68.28515625" bestFit="1" customWidth="1"/>
    <col min="2" max="2" width="18" customWidth="1"/>
    <col min="3" max="3" width="21.42578125" customWidth="1"/>
    <col min="4" max="4" width="23.42578125" bestFit="1" customWidth="1"/>
    <col min="5" max="19" width="10.7109375" bestFit="1" customWidth="1"/>
  </cols>
  <sheetData>
    <row r="1" spans="1:23" ht="18.75" x14ac:dyDescent="0.25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25">
      <c r="A2" t="s">
        <v>36</v>
      </c>
      <c r="B2" s="3">
        <f ca="1">TODAY()</f>
        <v>45984</v>
      </c>
      <c r="C2" s="3">
        <f ca="1">EDATE(B2,2)</f>
        <v>46045</v>
      </c>
      <c r="D2" t="s">
        <v>37</v>
      </c>
    </row>
    <row r="3" spans="1:23" x14ac:dyDescent="0.25">
      <c r="B3" s="3">
        <v>45762</v>
      </c>
      <c r="C3" s="3">
        <f>EDATE(B3,-8)</f>
        <v>45519</v>
      </c>
      <c r="D3" t="s">
        <v>38</v>
      </c>
    </row>
    <row r="5" spans="1:23" x14ac:dyDescent="0.25">
      <c r="A5" t="s">
        <v>39</v>
      </c>
      <c r="B5" s="3">
        <v>45762</v>
      </c>
      <c r="C5" s="3">
        <f>EOMONTH(B5,2)</f>
        <v>45838</v>
      </c>
      <c r="D5" t="s">
        <v>40</v>
      </c>
    </row>
    <row r="7" spans="1:23" x14ac:dyDescent="0.25">
      <c r="A7" t="s">
        <v>41</v>
      </c>
      <c r="B7" s="3">
        <f ca="1">TODAY()</f>
        <v>45984</v>
      </c>
      <c r="C7" s="3">
        <f ca="1">EOMONTH(B7,-1)+1</f>
        <v>45962</v>
      </c>
      <c r="D7" s="4">
        <f ca="1">WEEKDAY(EOMONTH(B7,-1)+1,2)</f>
        <v>6</v>
      </c>
    </row>
    <row r="9" spans="1:23" x14ac:dyDescent="0.25">
      <c r="A9" t="s">
        <v>42</v>
      </c>
      <c r="B9" s="3">
        <f ca="1">TODAY()</f>
        <v>45984</v>
      </c>
      <c r="C9" s="3">
        <f ca="1">EOMONTH(B9,-1)</f>
        <v>45961</v>
      </c>
      <c r="D9" s="3">
        <f ca="1">EOMONTH(B9,0)</f>
        <v>45991</v>
      </c>
    </row>
    <row r="11" spans="1:23" x14ac:dyDescent="0.25">
      <c r="A11" t="s">
        <v>43</v>
      </c>
      <c r="B11" s="3">
        <f ca="1">TODAY()</f>
        <v>45984</v>
      </c>
      <c r="C11" s="3">
        <f ca="1">EOMONTH(B11,0)+1</f>
        <v>45992</v>
      </c>
    </row>
    <row r="13" spans="1:23" x14ac:dyDescent="0.25">
      <c r="A13" t="s">
        <v>44</v>
      </c>
      <c r="B13" s="3">
        <f ca="1">TODAY()</f>
        <v>45984</v>
      </c>
      <c r="C13" s="3">
        <f ca="1">EOMONTH(B13,0)</f>
        <v>45991</v>
      </c>
      <c r="D13" t="str">
        <f ca="1">IF(ISNUMBER(MATCH(C13,B13,0)),"True","NO")</f>
        <v>NO</v>
      </c>
      <c r="E13" t="str">
        <f ca="1">IF(B13=EOMONTH(B13,0),"True","False")</f>
        <v>False</v>
      </c>
    </row>
    <row r="15" spans="1:23" x14ac:dyDescent="0.25">
      <c r="A15" t="s">
        <v>45</v>
      </c>
      <c r="B15" s="3">
        <v>45488</v>
      </c>
      <c r="C15">
        <f>_xlfn.DAYS(EOMONTH(B15,0),EOMONTH(B15,-1))</f>
        <v>31</v>
      </c>
      <c r="D15" s="3"/>
    </row>
    <row r="17" spans="1:19" x14ac:dyDescent="0.25">
      <c r="A17" t="s">
        <v>46</v>
      </c>
      <c r="B17" s="3">
        <v>45488</v>
      </c>
      <c r="C17" s="3">
        <f>EOMONTH(B17,0)+1</f>
        <v>45505</v>
      </c>
      <c r="D17" s="3">
        <f>IF(C17+1 &gt; EOMONTH($B$17,1), "Done", C17+1)</f>
        <v>45506</v>
      </c>
      <c r="E17" s="3">
        <f t="shared" ref="E17:S17" si="0">IF(D17+1 &gt; EOMONTH($B$17,1), "Done", D17+1)</f>
        <v>45507</v>
      </c>
      <c r="F17" s="3">
        <f t="shared" si="0"/>
        <v>45508</v>
      </c>
      <c r="G17" s="3">
        <f t="shared" si="0"/>
        <v>45509</v>
      </c>
      <c r="H17" s="3">
        <f t="shared" si="0"/>
        <v>45510</v>
      </c>
      <c r="I17" s="3">
        <f t="shared" si="0"/>
        <v>45511</v>
      </c>
      <c r="J17" s="3">
        <f t="shared" si="0"/>
        <v>45512</v>
      </c>
      <c r="K17" s="3">
        <f t="shared" si="0"/>
        <v>45513</v>
      </c>
      <c r="L17" s="3">
        <f t="shared" si="0"/>
        <v>45514</v>
      </c>
      <c r="M17" s="3">
        <f t="shared" si="0"/>
        <v>45515</v>
      </c>
      <c r="N17" s="3">
        <f t="shared" si="0"/>
        <v>45516</v>
      </c>
      <c r="O17" s="3">
        <f t="shared" si="0"/>
        <v>45517</v>
      </c>
      <c r="P17" s="3">
        <f t="shared" si="0"/>
        <v>45518</v>
      </c>
      <c r="Q17" s="3">
        <f t="shared" si="0"/>
        <v>45519</v>
      </c>
      <c r="R17" s="3">
        <f t="shared" si="0"/>
        <v>45520</v>
      </c>
      <c r="S17" s="3">
        <f t="shared" si="0"/>
        <v>45521</v>
      </c>
    </row>
    <row r="18" spans="1:19" x14ac:dyDescent="0.25">
      <c r="D18" s="3"/>
    </row>
    <row r="19" spans="1:19" x14ac:dyDescent="0.25">
      <c r="D19" s="3"/>
    </row>
    <row r="20" spans="1:19" x14ac:dyDescent="0.25">
      <c r="D20" s="3"/>
    </row>
    <row r="21" spans="1:19" x14ac:dyDescent="0.25">
      <c r="D21" s="3"/>
    </row>
    <row r="22" spans="1:19" x14ac:dyDescent="0.25">
      <c r="D22" s="3"/>
    </row>
    <row r="23" spans="1:19" x14ac:dyDescent="0.25">
      <c r="D23" s="3"/>
    </row>
    <row r="24" spans="1:19" x14ac:dyDescent="0.25">
      <c r="D24" s="3"/>
    </row>
    <row r="25" spans="1:19" x14ac:dyDescent="0.25">
      <c r="D25" s="3"/>
    </row>
    <row r="26" spans="1:19" x14ac:dyDescent="0.25">
      <c r="D26" s="3"/>
    </row>
    <row r="27" spans="1:19" x14ac:dyDescent="0.25">
      <c r="D27" s="3"/>
    </row>
    <row r="28" spans="1:19" x14ac:dyDescent="0.25">
      <c r="D28" s="3"/>
    </row>
    <row r="29" spans="1:19" x14ac:dyDescent="0.25">
      <c r="D29" s="3"/>
    </row>
    <row r="30" spans="1:19" x14ac:dyDescent="0.25">
      <c r="D30" s="3"/>
    </row>
    <row r="31" spans="1:19" x14ac:dyDescent="0.25">
      <c r="D31" s="3"/>
    </row>
  </sheetData>
  <mergeCells count="1">
    <mergeCell ref="A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DBCF-1A23-4146-BE1A-CD5D777E10A8}">
  <sheetPr>
    <tabColor rgb="FF002060"/>
  </sheetPr>
  <dimension ref="A1:Z33"/>
  <sheetViews>
    <sheetView zoomScale="140" zoomScaleNormal="140" workbookViewId="0">
      <selection sqref="A1:Z1"/>
    </sheetView>
  </sheetViews>
  <sheetFormatPr defaultRowHeight="15" x14ac:dyDescent="0.25"/>
  <cols>
    <col min="1" max="1" width="96.42578125" bestFit="1" customWidth="1"/>
    <col min="2" max="2" width="56.42578125" bestFit="1" customWidth="1"/>
    <col min="3" max="3" width="12.85546875" customWidth="1"/>
    <col min="4" max="4" width="11" bestFit="1" customWidth="1"/>
  </cols>
  <sheetData>
    <row r="1" spans="1:26" ht="18.75" x14ac:dyDescent="0.3">
      <c r="A1" s="2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48</v>
      </c>
      <c r="B2" s="3">
        <f ca="1">TODAY()</f>
        <v>45984</v>
      </c>
      <c r="C2" s="3">
        <f ca="1">WORKDAY(B2,9)</f>
        <v>45995</v>
      </c>
      <c r="D2" s="3">
        <f ca="1">WORKDAY(C2,-9)</f>
        <v>45982</v>
      </c>
    </row>
    <row r="4" spans="1:26" x14ac:dyDescent="0.25">
      <c r="A4" t="s">
        <v>49</v>
      </c>
      <c r="B4" s="3">
        <f ca="1">TODAY()</f>
        <v>45984</v>
      </c>
      <c r="C4" s="3">
        <f ca="1">WORKDAY(B4,25)</f>
        <v>46017</v>
      </c>
      <c r="D4">
        <f ca="1">NETWORKDAYS(B4,C4)</f>
        <v>25</v>
      </c>
    </row>
    <row r="6" spans="1:26" ht="30" x14ac:dyDescent="0.25">
      <c r="A6" s="21" t="s">
        <v>50</v>
      </c>
      <c r="B6" s="22" t="s">
        <v>55</v>
      </c>
    </row>
    <row r="7" spans="1:26" x14ac:dyDescent="0.25">
      <c r="A7" s="21"/>
      <c r="B7" s="21" t="s">
        <v>51</v>
      </c>
    </row>
    <row r="8" spans="1:26" x14ac:dyDescent="0.25">
      <c r="A8" s="25" t="s">
        <v>52</v>
      </c>
      <c r="B8" s="21"/>
    </row>
    <row r="9" spans="1:26" x14ac:dyDescent="0.25">
      <c r="A9" s="24">
        <v>45670</v>
      </c>
      <c r="B9" s="23">
        <f ca="1">TODAY()</f>
        <v>45984</v>
      </c>
    </row>
    <row r="10" spans="1:26" x14ac:dyDescent="0.25">
      <c r="A10" s="24">
        <v>45737</v>
      </c>
      <c r="B10" s="23">
        <f ca="1">WORKDAY(B9,10)</f>
        <v>45996</v>
      </c>
    </row>
    <row r="11" spans="1:26" x14ac:dyDescent="0.25">
      <c r="A11" s="24">
        <v>45868</v>
      </c>
      <c r="B11" s="21" t="s">
        <v>53</v>
      </c>
    </row>
    <row r="12" spans="1:26" x14ac:dyDescent="0.25">
      <c r="A12" s="24">
        <v>45955</v>
      </c>
      <c r="B12" s="23">
        <f ca="1">WORKDAY(B9,10,$A$9:$A$16)</f>
        <v>46001</v>
      </c>
    </row>
    <row r="13" spans="1:26" ht="30" x14ac:dyDescent="0.25">
      <c r="A13" s="24">
        <v>45972</v>
      </c>
      <c r="B13" s="22" t="s">
        <v>54</v>
      </c>
    </row>
    <row r="14" spans="1:26" x14ac:dyDescent="0.25">
      <c r="A14" s="24">
        <v>45992</v>
      </c>
      <c r="B14" s="21"/>
    </row>
    <row r="15" spans="1:26" x14ac:dyDescent="0.25">
      <c r="A15" s="24">
        <v>45993</v>
      </c>
      <c r="B15" s="21"/>
    </row>
    <row r="16" spans="1:26" x14ac:dyDescent="0.25">
      <c r="A16" s="24">
        <v>45994</v>
      </c>
      <c r="B16" s="21"/>
    </row>
    <row r="18" spans="1:4" x14ac:dyDescent="0.25">
      <c r="A18" s="26"/>
      <c r="B18" s="26"/>
      <c r="C18" s="27">
        <f ca="1">DATE(YEAR(B19),MONTH(B19),DAY(B19+8))</f>
        <v>45962</v>
      </c>
      <c r="D18" s="26"/>
    </row>
    <row r="19" spans="1:4" x14ac:dyDescent="0.25">
      <c r="A19" s="26" t="s">
        <v>56</v>
      </c>
      <c r="B19" s="27">
        <f ca="1">TODAY()</f>
        <v>45984</v>
      </c>
      <c r="C19" s="26">
        <f ca="1">NETWORKDAYS(B19,B19+8,A9:A16)</f>
        <v>5</v>
      </c>
      <c r="D19" s="27">
        <f ca="1">WORKDAY(B19,8)</f>
        <v>45994</v>
      </c>
    </row>
    <row r="20" spans="1:4" ht="105" x14ac:dyDescent="0.25">
      <c r="A20" s="26"/>
      <c r="B20" s="28" t="s">
        <v>57</v>
      </c>
      <c r="C20" s="26"/>
      <c r="D20" s="26">
        <f ca="1">NETWORKDAYS(B19,B19+8,A9:A16)</f>
        <v>5</v>
      </c>
    </row>
    <row r="22" spans="1:4" x14ac:dyDescent="0.25">
      <c r="A22" s="29"/>
      <c r="B22" s="29"/>
      <c r="C22" s="29"/>
      <c r="D22" s="29" t="s">
        <v>62</v>
      </c>
    </row>
    <row r="23" spans="1:4" x14ac:dyDescent="0.25">
      <c r="A23" s="29" t="s">
        <v>58</v>
      </c>
      <c r="B23" s="29" t="s">
        <v>59</v>
      </c>
      <c r="C23" s="30">
        <f ca="1">TODAY()</f>
        <v>45984</v>
      </c>
      <c r="D23" s="29">
        <f ca="1">_xlfn.DAYS(C24,C23)</f>
        <v>457</v>
      </c>
    </row>
    <row r="24" spans="1:4" x14ac:dyDescent="0.25">
      <c r="A24" s="29"/>
      <c r="B24" s="29" t="s">
        <v>60</v>
      </c>
      <c r="C24" s="30">
        <f ca="1">EDATE(C23,15)</f>
        <v>46441</v>
      </c>
      <c r="D24" s="29"/>
    </row>
    <row r="25" spans="1:4" x14ac:dyDescent="0.25">
      <c r="A25" s="29"/>
      <c r="B25" s="29"/>
      <c r="C25" s="29"/>
      <c r="D25" s="29"/>
    </row>
    <row r="26" spans="1:4" x14ac:dyDescent="0.25">
      <c r="A26" s="29"/>
      <c r="B26" s="29" t="s">
        <v>61</v>
      </c>
      <c r="C26" s="29">
        <f ca="1">NETWORKDAYS(C23,C24,)</f>
        <v>327</v>
      </c>
      <c r="D26" s="29"/>
    </row>
    <row r="27" spans="1:4" x14ac:dyDescent="0.25">
      <c r="A27" s="29"/>
      <c r="B27" s="29"/>
      <c r="C27" s="29"/>
      <c r="D27" s="29"/>
    </row>
    <row r="30" spans="1:4" x14ac:dyDescent="0.25">
      <c r="A30" s="31" t="s">
        <v>63</v>
      </c>
      <c r="B30" s="31" t="s">
        <v>64</v>
      </c>
      <c r="C30" s="32">
        <v>45931</v>
      </c>
      <c r="D30" s="32"/>
    </row>
    <row r="31" spans="1:4" x14ac:dyDescent="0.25">
      <c r="A31" s="31"/>
      <c r="B31" s="31" t="s">
        <v>60</v>
      </c>
      <c r="C31" s="32">
        <v>45961</v>
      </c>
      <c r="D31" s="32"/>
    </row>
    <row r="32" spans="1:4" x14ac:dyDescent="0.25">
      <c r="A32" s="31"/>
      <c r="B32" s="31"/>
      <c r="C32" s="31"/>
      <c r="D32" s="31"/>
    </row>
    <row r="33" spans="1:4" x14ac:dyDescent="0.25">
      <c r="A33" s="31"/>
      <c r="B33" s="31" t="s">
        <v>65</v>
      </c>
      <c r="C33" s="31">
        <f>NETWORKDAYS(C30,C31)</f>
        <v>23</v>
      </c>
      <c r="D33" s="31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530A-2B22-46E0-8E07-65195ED29BC9}">
  <dimension ref="A1:Z51"/>
  <sheetViews>
    <sheetView tabSelected="1" topLeftCell="A34" zoomScale="116" workbookViewId="0">
      <selection activeCell="C55" sqref="C55"/>
    </sheetView>
  </sheetViews>
  <sheetFormatPr defaultRowHeight="15" x14ac:dyDescent="0.25"/>
  <cols>
    <col min="1" max="1" width="93.28515625" bestFit="1" customWidth="1"/>
    <col min="2" max="2" width="17" bestFit="1" customWidth="1"/>
    <col min="3" max="3" width="56.140625" customWidth="1"/>
    <col min="4" max="4" width="32.5703125" customWidth="1"/>
    <col min="5" max="5" width="13" customWidth="1"/>
  </cols>
  <sheetData>
    <row r="1" spans="1:26" ht="16.5" thickBot="1" x14ac:dyDescent="0.35">
      <c r="A1" s="33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5">
      <c r="A2" s="37" t="s">
        <v>67</v>
      </c>
      <c r="B2" s="38" t="s">
        <v>69</v>
      </c>
      <c r="C2" s="39">
        <f ca="1">TODAY()</f>
        <v>45984</v>
      </c>
      <c r="D2" s="38">
        <v>1</v>
      </c>
      <c r="E2" s="38"/>
      <c r="F2" s="38"/>
      <c r="G2" s="38"/>
      <c r="H2" s="38"/>
      <c r="I2" s="38"/>
      <c r="J2" s="40"/>
    </row>
    <row r="3" spans="1:26" x14ac:dyDescent="0.25">
      <c r="A3" s="41"/>
      <c r="B3" s="42" t="s">
        <v>68</v>
      </c>
      <c r="C3" s="42"/>
      <c r="D3" s="42"/>
      <c r="E3" s="42"/>
      <c r="F3" s="42"/>
      <c r="G3" s="42"/>
      <c r="H3" s="42"/>
      <c r="I3" s="42"/>
      <c r="J3" s="43"/>
    </row>
    <row r="4" spans="1:26" x14ac:dyDescent="0.25">
      <c r="A4" s="41"/>
      <c r="B4" s="42"/>
      <c r="C4" s="42"/>
      <c r="D4" s="42"/>
      <c r="E4" s="42"/>
      <c r="F4" s="42"/>
      <c r="G4" s="42"/>
      <c r="H4" s="42"/>
      <c r="I4" s="42"/>
      <c r="J4" s="43"/>
    </row>
    <row r="5" spans="1:26" ht="60" x14ac:dyDescent="0.25">
      <c r="A5" s="41"/>
      <c r="B5" s="42"/>
      <c r="C5" s="44" t="s">
        <v>81</v>
      </c>
      <c r="D5" s="42"/>
      <c r="E5" s="42"/>
      <c r="F5" s="42"/>
      <c r="G5" s="42"/>
      <c r="H5" s="42"/>
      <c r="I5" s="42"/>
      <c r="J5" s="43"/>
    </row>
    <row r="6" spans="1:26" x14ac:dyDescent="0.25">
      <c r="A6" s="41"/>
      <c r="B6" s="42"/>
      <c r="C6" s="42"/>
      <c r="D6" s="42"/>
      <c r="E6" s="42"/>
      <c r="F6" s="42"/>
      <c r="G6" s="42"/>
      <c r="H6" s="42"/>
      <c r="I6" s="42"/>
      <c r="J6" s="43"/>
    </row>
    <row r="7" spans="1:26" x14ac:dyDescent="0.25">
      <c r="A7" s="41"/>
      <c r="B7" s="45">
        <v>45984</v>
      </c>
      <c r="C7" s="42"/>
      <c r="D7" s="42" t="s">
        <v>78</v>
      </c>
      <c r="E7" s="42">
        <f ca="1">WEEKDAY(C2,2)</f>
        <v>7</v>
      </c>
      <c r="F7" s="42"/>
      <c r="G7" s="35" t="s">
        <v>77</v>
      </c>
      <c r="H7" s="35"/>
      <c r="I7" s="42"/>
      <c r="J7" s="43"/>
    </row>
    <row r="8" spans="1:26" x14ac:dyDescent="0.25">
      <c r="A8" s="41"/>
      <c r="B8" s="45">
        <v>45985</v>
      </c>
      <c r="C8" s="42"/>
      <c r="D8" s="42"/>
      <c r="E8" s="42"/>
      <c r="F8" s="42"/>
      <c r="G8" s="36" t="s">
        <v>71</v>
      </c>
      <c r="H8" s="36">
        <v>1</v>
      </c>
      <c r="I8" s="42"/>
      <c r="J8" s="43"/>
    </row>
    <row r="9" spans="1:26" x14ac:dyDescent="0.25">
      <c r="A9" s="41"/>
      <c r="B9" s="45">
        <v>45986</v>
      </c>
      <c r="C9" s="42"/>
      <c r="D9" s="42"/>
      <c r="E9" s="42"/>
      <c r="F9" s="42"/>
      <c r="G9" s="36" t="s">
        <v>72</v>
      </c>
      <c r="H9" s="36">
        <v>2</v>
      </c>
      <c r="I9" s="42"/>
      <c r="J9" s="43"/>
    </row>
    <row r="10" spans="1:26" x14ac:dyDescent="0.25">
      <c r="A10" s="41"/>
      <c r="B10" s="45">
        <v>45987</v>
      </c>
      <c r="C10" s="42"/>
      <c r="D10" s="42" t="s">
        <v>79</v>
      </c>
      <c r="E10" s="42" t="str">
        <f ca="1">IF(WEEKDAY(C2,2)=1,"yes","no")</f>
        <v>no</v>
      </c>
      <c r="F10" s="42"/>
      <c r="G10" s="36" t="s">
        <v>73</v>
      </c>
      <c r="H10" s="36">
        <v>3</v>
      </c>
      <c r="I10" s="42"/>
      <c r="J10" s="43"/>
    </row>
    <row r="11" spans="1:26" x14ac:dyDescent="0.25">
      <c r="A11" s="41"/>
      <c r="B11" s="45">
        <v>45988</v>
      </c>
      <c r="C11" s="42"/>
      <c r="D11" s="42"/>
      <c r="E11" s="42"/>
      <c r="F11" s="42"/>
      <c r="G11" s="36" t="s">
        <v>74</v>
      </c>
      <c r="H11" s="36">
        <v>4</v>
      </c>
      <c r="I11" s="42"/>
      <c r="J11" s="43"/>
    </row>
    <row r="12" spans="1:26" x14ac:dyDescent="0.25">
      <c r="A12" s="41"/>
      <c r="B12" s="45">
        <v>45989</v>
      </c>
      <c r="C12" s="42"/>
      <c r="D12" s="42"/>
      <c r="E12" s="42"/>
      <c r="F12" s="42"/>
      <c r="G12" s="36" t="s">
        <v>75</v>
      </c>
      <c r="H12" s="36">
        <v>5</v>
      </c>
      <c r="I12" s="42"/>
      <c r="J12" s="43"/>
    </row>
    <row r="13" spans="1:26" x14ac:dyDescent="0.25">
      <c r="A13" s="41"/>
      <c r="B13" s="45">
        <v>45990</v>
      </c>
      <c r="C13" s="42"/>
      <c r="D13" s="42" t="s">
        <v>80</v>
      </c>
      <c r="E13" s="45">
        <f ca="1">C2 + MOD(D2 - WEEKDAY(C2,2), 7)</f>
        <v>45985</v>
      </c>
      <c r="F13" s="42"/>
      <c r="G13" s="36" t="s">
        <v>76</v>
      </c>
      <c r="H13" s="36">
        <v>6</v>
      </c>
      <c r="I13" s="42"/>
      <c r="J13" s="43"/>
    </row>
    <row r="14" spans="1:26" x14ac:dyDescent="0.25">
      <c r="A14" s="41"/>
      <c r="B14" s="45">
        <v>45991</v>
      </c>
      <c r="C14" s="42"/>
      <c r="D14" s="42"/>
      <c r="E14" s="42"/>
      <c r="F14" s="42"/>
      <c r="G14" s="36" t="s">
        <v>70</v>
      </c>
      <c r="H14" s="36">
        <v>7</v>
      </c>
      <c r="I14" s="42"/>
      <c r="J14" s="43"/>
    </row>
    <row r="15" spans="1:26" x14ac:dyDescent="0.25">
      <c r="A15" s="41"/>
      <c r="B15" s="45">
        <v>45992</v>
      </c>
      <c r="C15" s="42"/>
      <c r="D15" s="42"/>
      <c r="E15" s="42"/>
      <c r="F15" s="42"/>
      <c r="G15" s="42"/>
      <c r="H15" s="42"/>
      <c r="I15" s="42"/>
      <c r="J15" s="43"/>
    </row>
    <row r="16" spans="1:26" x14ac:dyDescent="0.25">
      <c r="A16" s="41"/>
      <c r="B16" s="45">
        <v>45993</v>
      </c>
      <c r="C16" s="42"/>
      <c r="D16" s="42"/>
      <c r="E16" s="42"/>
      <c r="F16" s="42"/>
      <c r="G16" s="42"/>
      <c r="H16" s="42"/>
      <c r="I16" s="42"/>
      <c r="J16" s="43"/>
    </row>
    <row r="17" spans="1:10" x14ac:dyDescent="0.25">
      <c r="A17" s="41"/>
      <c r="B17" s="42"/>
      <c r="C17" s="42"/>
      <c r="D17" s="42"/>
      <c r="E17" s="42"/>
      <c r="F17" s="42"/>
      <c r="G17" s="42"/>
      <c r="H17" s="42"/>
      <c r="I17" s="42"/>
      <c r="J17" s="43"/>
    </row>
    <row r="18" spans="1:10" x14ac:dyDescent="0.25">
      <c r="A18" s="41"/>
      <c r="B18" s="42"/>
      <c r="C18" s="42"/>
      <c r="D18" s="42"/>
      <c r="E18" s="42"/>
      <c r="F18" s="42"/>
      <c r="G18" s="42"/>
      <c r="H18" s="42"/>
      <c r="I18" s="42"/>
      <c r="J18" s="43"/>
    </row>
    <row r="19" spans="1:10" x14ac:dyDescent="0.25">
      <c r="A19" s="41"/>
      <c r="B19" s="42"/>
      <c r="C19" s="42"/>
      <c r="D19" s="42"/>
      <c r="E19" s="42"/>
      <c r="F19" s="42"/>
      <c r="G19" s="42"/>
      <c r="H19" s="42"/>
      <c r="I19" s="42"/>
      <c r="J19" s="43"/>
    </row>
    <row r="20" spans="1:10" ht="15.75" thickBot="1" x14ac:dyDescent="0.3">
      <c r="A20" s="46"/>
      <c r="B20" s="47"/>
      <c r="C20" s="47"/>
      <c r="D20" s="47"/>
      <c r="E20" s="47"/>
      <c r="F20" s="47"/>
      <c r="G20" s="47"/>
      <c r="H20" s="47"/>
      <c r="I20" s="47"/>
      <c r="J20" s="48"/>
    </row>
    <row r="21" spans="1:10" ht="15.75" thickBot="1" x14ac:dyDescent="0.3"/>
    <row r="22" spans="1:10" x14ac:dyDescent="0.25">
      <c r="A22" s="37"/>
      <c r="B22" s="38"/>
      <c r="C22" s="38"/>
      <c r="D22" s="38"/>
      <c r="E22" s="38"/>
      <c r="F22" s="38"/>
      <c r="G22" s="38"/>
      <c r="H22" s="38"/>
      <c r="I22" s="38"/>
      <c r="J22" s="40"/>
    </row>
    <row r="23" spans="1:10" x14ac:dyDescent="0.25">
      <c r="A23" s="41" t="s">
        <v>82</v>
      </c>
      <c r="B23" s="42"/>
      <c r="C23" s="42" t="s">
        <v>83</v>
      </c>
      <c r="D23" s="45">
        <f ca="1">TODAY()</f>
        <v>45984</v>
      </c>
      <c r="E23" s="42"/>
      <c r="F23" s="42"/>
      <c r="G23" s="42"/>
      <c r="H23" s="42"/>
      <c r="I23" s="42"/>
      <c r="J23" s="43"/>
    </row>
    <row r="24" spans="1:10" x14ac:dyDescent="0.25">
      <c r="A24" s="41"/>
      <c r="B24" s="42"/>
      <c r="C24" s="42" t="s">
        <v>84</v>
      </c>
      <c r="D24" s="45">
        <f ca="1">TODAY()-7</f>
        <v>45977</v>
      </c>
      <c r="E24" s="42"/>
      <c r="F24" s="42"/>
      <c r="G24" s="42"/>
      <c r="H24" s="42"/>
      <c r="I24" s="42"/>
      <c r="J24" s="43"/>
    </row>
    <row r="25" spans="1:10" x14ac:dyDescent="0.25">
      <c r="A25" s="41"/>
      <c r="B25" s="42"/>
      <c r="C25" s="42"/>
      <c r="D25" s="42"/>
      <c r="E25" s="42"/>
      <c r="F25" s="42"/>
      <c r="G25" s="42"/>
      <c r="H25" s="42"/>
      <c r="I25" s="42"/>
      <c r="J25" s="43"/>
    </row>
    <row r="26" spans="1:10" ht="15.75" thickBot="1" x14ac:dyDescent="0.3">
      <c r="A26" s="46"/>
      <c r="B26" s="47"/>
      <c r="C26" s="47"/>
      <c r="D26" s="47"/>
      <c r="E26" s="47"/>
      <c r="F26" s="47"/>
      <c r="G26" s="47"/>
      <c r="H26" s="47"/>
      <c r="I26" s="47"/>
      <c r="J26" s="48"/>
    </row>
    <row r="27" spans="1:10" ht="15.75" thickBot="1" x14ac:dyDescent="0.3"/>
    <row r="28" spans="1:10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40"/>
    </row>
    <row r="29" spans="1:10" x14ac:dyDescent="0.25">
      <c r="A29" s="41" t="s">
        <v>85</v>
      </c>
      <c r="B29" s="42"/>
      <c r="C29" s="42" t="s">
        <v>86</v>
      </c>
      <c r="D29" s="45">
        <v>45931</v>
      </c>
      <c r="E29" s="42"/>
      <c r="F29" s="42"/>
      <c r="G29" s="42"/>
      <c r="H29" s="42"/>
      <c r="I29" s="42"/>
      <c r="J29" s="43"/>
    </row>
    <row r="30" spans="1:10" x14ac:dyDescent="0.25">
      <c r="A30" s="41"/>
      <c r="B30" s="42"/>
      <c r="C30" s="42" t="s">
        <v>87</v>
      </c>
      <c r="D30" s="45">
        <f>EOMONTH(D29,0)</f>
        <v>45961</v>
      </c>
      <c r="E30" s="42"/>
      <c r="F30" s="42"/>
      <c r="G30" s="42"/>
      <c r="H30" s="42"/>
      <c r="I30" s="42"/>
      <c r="J30" s="43"/>
    </row>
    <row r="31" spans="1:10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3"/>
    </row>
    <row r="32" spans="1:10" x14ac:dyDescent="0.25">
      <c r="A32" s="41"/>
      <c r="B32" s="42"/>
      <c r="C32" s="42" t="s">
        <v>88</v>
      </c>
      <c r="D32" s="42"/>
      <c r="E32" s="42"/>
      <c r="F32" s="42"/>
      <c r="G32" s="42"/>
      <c r="H32" s="42"/>
      <c r="I32" s="42"/>
      <c r="J32" s="43"/>
    </row>
    <row r="33" spans="1:10" x14ac:dyDescent="0.25">
      <c r="A33" s="41"/>
      <c r="B33" s="42"/>
      <c r="C33" s="42" t="s">
        <v>89</v>
      </c>
      <c r="D33" s="42">
        <f ca="1">SUMPRODUCT(--(WEEKDAY(ROW(INDIRECT(D29&amp;":"&amp;D30)),2)=5))</f>
        <v>5</v>
      </c>
      <c r="E33" s="42"/>
      <c r="F33" s="42"/>
      <c r="G33" s="42"/>
      <c r="H33" s="42"/>
      <c r="I33" s="42"/>
      <c r="J33" s="43"/>
    </row>
    <row r="34" spans="1:10" x14ac:dyDescent="0.25">
      <c r="A34" s="41"/>
      <c r="B34" s="42"/>
      <c r="C34" s="42"/>
      <c r="D34" s="42"/>
      <c r="E34" s="42"/>
      <c r="F34" s="42"/>
      <c r="G34" s="42"/>
      <c r="H34" s="42"/>
      <c r="I34" s="42"/>
      <c r="J34" s="43"/>
    </row>
    <row r="35" spans="1:10" x14ac:dyDescent="0.25">
      <c r="A35" s="41"/>
      <c r="B35" s="42"/>
      <c r="C35" s="42"/>
      <c r="D35" s="42"/>
      <c r="E35" s="42"/>
      <c r="F35" s="42"/>
      <c r="G35" s="42"/>
      <c r="H35" s="42"/>
      <c r="I35" s="42"/>
      <c r="J35" s="43"/>
    </row>
    <row r="36" spans="1:10" ht="15.75" thickBot="1" x14ac:dyDescent="0.3">
      <c r="A36" s="46"/>
      <c r="B36" s="47"/>
      <c r="C36" s="47"/>
      <c r="D36" s="47"/>
      <c r="E36" s="47"/>
      <c r="F36" s="47"/>
      <c r="G36" s="47"/>
      <c r="H36" s="47"/>
      <c r="I36" s="47"/>
      <c r="J36" s="48"/>
    </row>
    <row r="39" spans="1:10" ht="21" x14ac:dyDescent="0.35">
      <c r="A39" s="49" t="s">
        <v>90</v>
      </c>
    </row>
    <row r="42" spans="1:10" x14ac:dyDescent="0.25">
      <c r="A42" t="s">
        <v>91</v>
      </c>
      <c r="B42" t="s">
        <v>93</v>
      </c>
      <c r="C42" t="s">
        <v>92</v>
      </c>
      <c r="D42">
        <v>4000</v>
      </c>
    </row>
    <row r="43" spans="1:10" x14ac:dyDescent="0.25">
      <c r="D43" t="str">
        <f>IF(DAY(DATE(D42,3,0))=29,"Leap","NotLeapYear")</f>
        <v>Leap</v>
      </c>
    </row>
    <row r="46" spans="1:10" x14ac:dyDescent="0.25">
      <c r="A46" t="s">
        <v>94</v>
      </c>
      <c r="C46" t="s">
        <v>59</v>
      </c>
      <c r="D46" s="3">
        <f ca="1">TODAY()-14</f>
        <v>45970</v>
      </c>
    </row>
    <row r="47" spans="1:10" x14ac:dyDescent="0.25">
      <c r="C47" t="s">
        <v>60</v>
      </c>
      <c r="D47" s="3">
        <f ca="1">EOMONTH(D46,0)</f>
        <v>45991</v>
      </c>
    </row>
    <row r="49" spans="3:4" x14ac:dyDescent="0.25">
      <c r="C49" t="s">
        <v>95</v>
      </c>
      <c r="D49">
        <f ca="1">_xlfn.DAYS(D47,D46)</f>
        <v>21</v>
      </c>
    </row>
    <row r="51" spans="3:4" x14ac:dyDescent="0.25">
      <c r="C51" t="s">
        <v>96</v>
      </c>
      <c r="D51" s="3">
        <f ca="1">EOMONTH(D46,0)-8</f>
        <v>45983</v>
      </c>
    </row>
  </sheetData>
  <mergeCells count="2">
    <mergeCell ref="A1:Z1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CAT_1</vt:lpstr>
      <vt:lpstr>CAT_2</vt:lpstr>
      <vt:lpstr>CAT_3</vt:lpstr>
      <vt:lpstr>CAT_4</vt:lpstr>
      <vt:lpstr>CAT_5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2025-11-22T07:59:24Z</dcterms:created>
  <dcterms:modified xsi:type="dcterms:W3CDTF">2025-11-22T19:58:36Z</dcterms:modified>
</cp:coreProperties>
</file>