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Data Analyst\Assignments\"/>
    </mc:Choice>
  </mc:AlternateContent>
  <xr:revisionPtr revIDLastSave="0" documentId="13_ncr:1_{32FC50C6-56E5-49BB-8A8E-43B15872AD8A}" xr6:coauthVersionLast="47" xr6:coauthVersionMax="47" xr10:uidLastSave="{00000000-0000-0000-0000-000000000000}"/>
  <bookViews>
    <workbookView xWindow="-120" yWindow="-120" windowWidth="29040" windowHeight="15720" firstSheet="1" activeTab="3" xr2:uid="{1E8CDBDE-CDCC-4E41-9F59-98A0FDD1CAA5}"/>
  </bookViews>
  <sheets>
    <sheet name="Assignment_4_Navigation" sheetId="3" r:id="rId1"/>
    <sheet name="Basic_math_funnctions" sheetId="4" r:id="rId2"/>
    <sheet name="SALES_AGG_CONDI_Assignment" sheetId="1" r:id="rId3"/>
    <sheet name="Text_Functions_assignment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4" i="2" l="1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24" i="2"/>
  <c r="I15" i="4"/>
  <c r="I11" i="4"/>
  <c r="I2" i="4"/>
  <c r="D57" i="4"/>
  <c r="D48" i="4"/>
  <c r="E37" i="4"/>
  <c r="E34" i="4"/>
  <c r="E30" i="4"/>
  <c r="E27" i="4"/>
  <c r="E24" i="4"/>
  <c r="E20" i="4"/>
  <c r="E17" i="4"/>
  <c r="E14" i="4"/>
  <c r="E11" i="4"/>
  <c r="E8" i="4"/>
  <c r="E5" i="4"/>
  <c r="E2" i="4"/>
  <c r="B50" i="4"/>
  <c r="B45" i="4"/>
  <c r="B42" i="4"/>
  <c r="B39" i="4"/>
  <c r="B36" i="4"/>
  <c r="B33" i="4"/>
  <c r="B30" i="4"/>
  <c r="B27" i="4"/>
  <c r="B20" i="4"/>
  <c r="B7" i="4"/>
  <c r="B2" i="4"/>
  <c r="I4" i="4"/>
  <c r="I3" i="4"/>
  <c r="I5" i="4"/>
  <c r="I6" i="4"/>
  <c r="I7" i="4"/>
  <c r="D58" i="4"/>
  <c r="D59" i="4"/>
  <c r="D60" i="4"/>
  <c r="D61" i="4"/>
  <c r="D62" i="4"/>
  <c r="D49" i="4"/>
  <c r="D50" i="4"/>
  <c r="D51" i="4"/>
  <c r="D52" i="4"/>
  <c r="D53" i="4"/>
  <c r="D41" i="4"/>
  <c r="D42" i="4"/>
  <c r="D43" i="4"/>
  <c r="D44" i="4"/>
  <c r="D45" i="4"/>
  <c r="D40" i="4"/>
  <c r="E31" i="4"/>
  <c r="E21" i="4"/>
  <c r="B49" i="4"/>
  <c r="B51" i="4"/>
  <c r="B52" i="4"/>
  <c r="B53" i="4"/>
  <c r="B54" i="4"/>
  <c r="B55" i="4"/>
  <c r="B56" i="4"/>
  <c r="B57" i="4"/>
  <c r="B48" i="4"/>
  <c r="B17" i="4"/>
  <c r="B18" i="4"/>
  <c r="B19" i="4"/>
  <c r="B21" i="4"/>
  <c r="B22" i="4"/>
  <c r="B23" i="4"/>
  <c r="B24" i="4"/>
  <c r="B16" i="4"/>
  <c r="B6" i="4"/>
  <c r="B8" i="4"/>
  <c r="B9" i="4"/>
  <c r="B10" i="4"/>
  <c r="B11" i="4"/>
  <c r="B12" i="4"/>
  <c r="B13" i="4"/>
  <c r="B5" i="4"/>
  <c r="AC8" i="2"/>
  <c r="AC23" i="2"/>
  <c r="AC5" i="2"/>
  <c r="AC6" i="2"/>
  <c r="AC7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4" i="2"/>
  <c r="AA114" i="2"/>
  <c r="AA115" i="2"/>
  <c r="AA116" i="2"/>
  <c r="AA117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Q116" i="2"/>
  <c r="Q115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14" i="2"/>
  <c r="O128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9" i="2"/>
  <c r="O114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W97" i="2"/>
  <c r="W96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95" i="2"/>
  <c r="O103" i="2"/>
  <c r="O95" i="2"/>
  <c r="O96" i="2"/>
  <c r="O97" i="2"/>
  <c r="O98" i="2"/>
  <c r="O99" i="2"/>
  <c r="O100" i="2"/>
  <c r="O101" i="2"/>
  <c r="O102" i="2"/>
  <c r="O104" i="2"/>
  <c r="O105" i="2"/>
  <c r="O106" i="2"/>
  <c r="O107" i="2"/>
  <c r="O108" i="2"/>
  <c r="O109" i="2"/>
  <c r="O110" i="2"/>
  <c r="Y6" i="2"/>
  <c r="Y5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O85" i="2"/>
  <c r="O76" i="2"/>
  <c r="O77" i="2"/>
  <c r="O78" i="2"/>
  <c r="O79" i="2"/>
  <c r="O80" i="2"/>
  <c r="O81" i="2"/>
  <c r="O82" i="2"/>
  <c r="O83" i="2"/>
  <c r="O84" i="2"/>
  <c r="O86" i="2"/>
  <c r="O87" i="2"/>
  <c r="O88" i="2"/>
  <c r="O89" i="2"/>
  <c r="O90" i="2"/>
  <c r="O75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W46" i="2"/>
  <c r="W45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44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S56" i="2"/>
  <c r="S55" i="2"/>
  <c r="S45" i="2"/>
  <c r="S46" i="2"/>
  <c r="S47" i="2"/>
  <c r="S48" i="2"/>
  <c r="S49" i="2"/>
  <c r="S50" i="2"/>
  <c r="S51" i="2"/>
  <c r="S52" i="2"/>
  <c r="S53" i="2"/>
  <c r="S54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44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24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U16" i="2"/>
  <c r="U5" i="2"/>
  <c r="U6" i="2"/>
  <c r="U7" i="2"/>
  <c r="U8" i="2"/>
  <c r="U9" i="2"/>
  <c r="U10" i="2"/>
  <c r="U11" i="2"/>
  <c r="U12" i="2"/>
  <c r="U13" i="2"/>
  <c r="U14" i="2"/>
  <c r="U15" i="2"/>
  <c r="U17" i="2"/>
  <c r="U18" i="2"/>
  <c r="U19" i="2"/>
  <c r="U4" i="2"/>
  <c r="S15" i="2"/>
  <c r="S4" i="2"/>
  <c r="S5" i="2"/>
  <c r="S6" i="2"/>
  <c r="S7" i="2"/>
  <c r="S8" i="2"/>
  <c r="S9" i="2"/>
  <c r="S10" i="2"/>
  <c r="S11" i="2"/>
  <c r="S12" i="2"/>
  <c r="S13" i="2"/>
  <c r="S14" i="2"/>
  <c r="S16" i="2"/>
  <c r="S17" i="2"/>
  <c r="S18" i="2"/>
  <c r="S19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4" i="2"/>
  <c r="O7" i="2"/>
  <c r="O5" i="2"/>
  <c r="O6" i="2"/>
  <c r="O8" i="2"/>
  <c r="O9" i="2"/>
  <c r="O10" i="2"/>
  <c r="O11" i="2"/>
  <c r="O12" i="2"/>
  <c r="O13" i="2"/>
  <c r="O14" i="2"/>
  <c r="O15" i="2"/>
  <c r="O16" i="2"/>
  <c r="O17" i="2"/>
  <c r="O18" i="2"/>
  <c r="O19" i="2"/>
  <c r="O4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AC22" i="1"/>
  <c r="AC23" i="1"/>
  <c r="AC24" i="1"/>
  <c r="AC25" i="1"/>
  <c r="AC26" i="1"/>
  <c r="AG7" i="1"/>
  <c r="AG4" i="1"/>
  <c r="AG5" i="1"/>
  <c r="AG6" i="1"/>
  <c r="AG8" i="1"/>
  <c r="AG9" i="1"/>
  <c r="AG10" i="1"/>
  <c r="AG11" i="1"/>
  <c r="AG12" i="1"/>
  <c r="AG3" i="1"/>
  <c r="Z32" i="1"/>
  <c r="Z23" i="1"/>
  <c r="Z29" i="1"/>
  <c r="Z30" i="1"/>
  <c r="Z31" i="1"/>
  <c r="Z33" i="1"/>
  <c r="Z34" i="1"/>
  <c r="Z35" i="1"/>
  <c r="Z36" i="1"/>
  <c r="Z37" i="1"/>
  <c r="Z28" i="1"/>
  <c r="Z24" i="1"/>
  <c r="Z25" i="1"/>
  <c r="Z26" i="1"/>
  <c r="Z27" i="1"/>
  <c r="Z22" i="1"/>
  <c r="M33" i="1"/>
  <c r="M29" i="1"/>
  <c r="AC3" i="1"/>
  <c r="AC9" i="1"/>
  <c r="AC11" i="1"/>
  <c r="AC12" i="1"/>
  <c r="AC13" i="1"/>
  <c r="AC14" i="1"/>
  <c r="AC15" i="1"/>
  <c r="AC16" i="1"/>
  <c r="AC17" i="1"/>
  <c r="AC18" i="1"/>
  <c r="AC4" i="1"/>
  <c r="AC5" i="1"/>
  <c r="AC10" i="1" s="1"/>
  <c r="AC6" i="1"/>
  <c r="AC7" i="1"/>
  <c r="AC8" i="1"/>
  <c r="M5" i="1"/>
  <c r="Z4" i="1"/>
  <c r="Z5" i="1"/>
  <c r="Z6" i="1"/>
  <c r="Z7" i="1"/>
  <c r="Z8" i="1"/>
  <c r="Z3" i="1"/>
  <c r="Z9" i="1"/>
  <c r="Z10" i="1"/>
  <c r="Z11" i="1"/>
  <c r="Z12" i="1"/>
  <c r="Z13" i="1"/>
  <c r="Z14" i="1"/>
  <c r="Z15" i="1"/>
  <c r="Z16" i="1"/>
  <c r="Z17" i="1"/>
  <c r="Z18" i="1"/>
  <c r="M17" i="1"/>
  <c r="M13" i="1"/>
  <c r="O48" i="1"/>
  <c r="O30" i="1"/>
  <c r="O26" i="1"/>
  <c r="O23" i="1"/>
  <c r="O19" i="1"/>
  <c r="O15" i="1"/>
  <c r="O11" i="1"/>
  <c r="Q28" i="1"/>
  <c r="Q15" i="1"/>
  <c r="K123" i="2" l="1"/>
  <c r="K132" i="2"/>
  <c r="K117" i="2"/>
  <c r="K147" i="2"/>
  <c r="K149" i="2"/>
  <c r="K70" i="2"/>
  <c r="K34" i="2"/>
  <c r="K109" i="2"/>
  <c r="K140" i="2"/>
  <c r="K11" i="2"/>
  <c r="K120" i="2"/>
  <c r="K105" i="2"/>
  <c r="K108" i="2"/>
  <c r="K73" i="2"/>
  <c r="K81" i="2"/>
  <c r="K160" i="2"/>
  <c r="K151" i="2"/>
  <c r="K2" i="2"/>
  <c r="K25" i="2"/>
  <c r="K17" i="2"/>
  <c r="K113" i="2"/>
  <c r="K31" i="2"/>
  <c r="K153" i="2"/>
  <c r="K139" i="2"/>
  <c r="K89" i="2"/>
  <c r="K41" i="2"/>
  <c r="K121" i="2"/>
  <c r="K143" i="2"/>
  <c r="K145" i="2"/>
  <c r="K65" i="2"/>
  <c r="K97" i="2"/>
  <c r="K136" i="2"/>
  <c r="K115" i="2"/>
  <c r="K161" i="2"/>
  <c r="K129" i="2"/>
  <c r="K116" i="2"/>
  <c r="K33" i="2"/>
  <c r="K74" i="2"/>
  <c r="K82" i="2"/>
  <c r="K90" i="2"/>
  <c r="K98" i="2"/>
  <c r="K106" i="2"/>
  <c r="K114" i="2"/>
  <c r="K122" i="2"/>
  <c r="K130" i="2"/>
  <c r="K138" i="2"/>
  <c r="K146" i="2"/>
  <c r="K154" i="2"/>
  <c r="K67" i="2"/>
  <c r="K99" i="2"/>
  <c r="K107" i="2"/>
  <c r="K131" i="2"/>
  <c r="K155" i="2"/>
  <c r="K10" i="2"/>
  <c r="K19" i="2"/>
  <c r="K91" i="2"/>
  <c r="K148" i="2"/>
  <c r="K42" i="2"/>
  <c r="K59" i="2"/>
  <c r="K100" i="2"/>
  <c r="K156" i="2"/>
  <c r="K157" i="2"/>
  <c r="K50" i="2"/>
  <c r="K35" i="2"/>
  <c r="K12" i="2"/>
  <c r="K52" i="2"/>
  <c r="K13" i="2"/>
  <c r="K69" i="2"/>
  <c r="K26" i="2"/>
  <c r="K27" i="2"/>
  <c r="K36" i="2"/>
  <c r="K84" i="2"/>
  <c r="K21" i="2"/>
  <c r="K61" i="2"/>
  <c r="K77" i="2"/>
  <c r="K85" i="2"/>
  <c r="K93" i="2"/>
  <c r="K125" i="2"/>
  <c r="K133" i="2"/>
  <c r="K141" i="2"/>
  <c r="K6" i="2"/>
  <c r="K14" i="2"/>
  <c r="K22" i="2"/>
  <c r="K30" i="2"/>
  <c r="K38" i="2"/>
  <c r="K46" i="2"/>
  <c r="K54" i="2"/>
  <c r="K62" i="2"/>
  <c r="K78" i="2"/>
  <c r="K86" i="2"/>
  <c r="K94" i="2"/>
  <c r="K102" i="2"/>
  <c r="K110" i="2"/>
  <c r="K118" i="2"/>
  <c r="K126" i="2"/>
  <c r="K134" i="2"/>
  <c r="K142" i="2"/>
  <c r="K150" i="2"/>
  <c r="K158" i="2"/>
  <c r="K83" i="2"/>
  <c r="K101" i="2"/>
  <c r="K58" i="2"/>
  <c r="K3" i="2"/>
  <c r="K75" i="2"/>
  <c r="K44" i="2"/>
  <c r="K68" i="2"/>
  <c r="K92" i="2"/>
  <c r="K29" i="2"/>
  <c r="K159" i="2"/>
  <c r="K45" i="2"/>
  <c r="K66" i="2"/>
  <c r="K51" i="2"/>
  <c r="K4" i="2"/>
  <c r="K20" i="2"/>
  <c r="K76" i="2"/>
  <c r="K124" i="2"/>
  <c r="K5" i="2"/>
  <c r="K53" i="2"/>
  <c r="K7" i="2"/>
  <c r="K15" i="2"/>
  <c r="K39" i="2"/>
  <c r="K47" i="2"/>
  <c r="K55" i="2"/>
  <c r="K63" i="2"/>
  <c r="K71" i="2"/>
  <c r="K79" i="2"/>
  <c r="K87" i="2"/>
  <c r="K95" i="2"/>
  <c r="K103" i="2"/>
  <c r="K111" i="2"/>
  <c r="K119" i="2"/>
  <c r="K127" i="2"/>
  <c r="K135" i="2"/>
  <c r="K8" i="2"/>
  <c r="K24" i="2"/>
  <c r="K32" i="2"/>
  <c r="K40" i="2"/>
  <c r="K48" i="2"/>
  <c r="K56" i="2"/>
  <c r="K64" i="2"/>
  <c r="K72" i="2"/>
  <c r="K80" i="2"/>
  <c r="K88" i="2"/>
  <c r="K96" i="2"/>
  <c r="K104" i="2"/>
  <c r="K112" i="2"/>
  <c r="K128" i="2"/>
  <c r="K144" i="2"/>
  <c r="K152" i="2"/>
  <c r="K18" i="2"/>
  <c r="K43" i="2"/>
  <c r="K60" i="2"/>
  <c r="K23" i="2"/>
  <c r="K16" i="2"/>
  <c r="K28" i="2"/>
  <c r="K37" i="2"/>
  <c r="K9" i="2"/>
  <c r="K49" i="2"/>
  <c r="K57" i="2"/>
  <c r="K137" i="2"/>
  <c r="J24" i="1"/>
  <c r="J54" i="1"/>
  <c r="J82" i="1"/>
  <c r="J68" i="1"/>
  <c r="J39" i="1"/>
  <c r="J21" i="1"/>
  <c r="J151" i="1"/>
  <c r="J160" i="1"/>
  <c r="J137" i="1"/>
  <c r="J43" i="1"/>
  <c r="J131" i="1"/>
  <c r="J72" i="1"/>
  <c r="J10" i="1"/>
  <c r="J110" i="1"/>
  <c r="J56" i="1"/>
  <c r="J73" i="1"/>
  <c r="J30" i="1"/>
  <c r="J50" i="1"/>
  <c r="J85" i="1"/>
  <c r="J114" i="1"/>
  <c r="J88" i="1"/>
  <c r="J34" i="1"/>
  <c r="J37" i="1"/>
  <c r="J45" i="1"/>
  <c r="J116" i="1"/>
  <c r="J138" i="1"/>
  <c r="J67" i="1"/>
  <c r="J44" i="1"/>
  <c r="J32" i="1"/>
  <c r="J135" i="1"/>
  <c r="J49" i="1"/>
  <c r="J101" i="1"/>
  <c r="J41" i="1"/>
  <c r="J145" i="1"/>
  <c r="J80" i="1"/>
  <c r="J87" i="1"/>
  <c r="J107" i="1"/>
  <c r="J97" i="1"/>
  <c r="J70" i="1"/>
  <c r="J35" i="1"/>
  <c r="J115" i="1"/>
  <c r="J102" i="1"/>
  <c r="J98" i="1"/>
  <c r="J58" i="1"/>
  <c r="J120" i="1"/>
  <c r="J141" i="1"/>
  <c r="J148" i="1"/>
  <c r="J134" i="1"/>
  <c r="J152" i="1"/>
  <c r="J159" i="1"/>
  <c r="J156" i="1"/>
  <c r="J94" i="1"/>
  <c r="J93" i="1"/>
  <c r="J19" i="1"/>
  <c r="J77" i="1"/>
  <c r="J74" i="1"/>
  <c r="J149" i="1"/>
  <c r="J91" i="1"/>
  <c r="J46" i="1"/>
  <c r="J127" i="1"/>
  <c r="J89" i="1"/>
  <c r="J144" i="1"/>
  <c r="J9" i="1"/>
  <c r="J86" i="1"/>
  <c r="J147" i="1"/>
  <c r="J51" i="1"/>
  <c r="J96" i="1"/>
  <c r="J33" i="1"/>
  <c r="J133" i="1"/>
  <c r="J48" i="1"/>
  <c r="J100" i="1"/>
  <c r="J75" i="1"/>
  <c r="J6" i="1"/>
  <c r="J111" i="1"/>
  <c r="J26" i="1"/>
  <c r="J42" i="1"/>
  <c r="J64" i="1"/>
  <c r="J17" i="1"/>
  <c r="J53" i="1"/>
  <c r="J62" i="1"/>
  <c r="J20" i="1"/>
  <c r="J63" i="1"/>
  <c r="J13" i="1"/>
  <c r="J154" i="1"/>
  <c r="J59" i="1"/>
  <c r="J128" i="1"/>
  <c r="J76" i="1"/>
  <c r="J113" i="1"/>
  <c r="J150" i="1"/>
  <c r="J18" i="1"/>
  <c r="Q22" i="1"/>
  <c r="J130" i="1"/>
  <c r="J71" i="1"/>
  <c r="Q9" i="1"/>
  <c r="J136" i="1"/>
  <c r="J124" i="1"/>
  <c r="J117" i="1"/>
  <c r="J83" i="1"/>
  <c r="J92" i="1"/>
  <c r="J132" i="1"/>
  <c r="J12" i="1"/>
  <c r="J153" i="1"/>
  <c r="J52" i="1"/>
  <c r="J27" i="1"/>
  <c r="J90" i="1"/>
  <c r="J81" i="1"/>
  <c r="J104" i="1"/>
  <c r="J121" i="1"/>
  <c r="J119" i="1"/>
  <c r="J84" i="1"/>
  <c r="J123" i="1"/>
  <c r="J8" i="1"/>
  <c r="J161" i="1"/>
  <c r="J146" i="1"/>
  <c r="J139" i="1"/>
  <c r="J78" i="1"/>
  <c r="J40" i="1"/>
  <c r="J108" i="1"/>
  <c r="J69" i="1"/>
  <c r="J109" i="1"/>
  <c r="J31" i="1"/>
  <c r="J15" i="1"/>
  <c r="J126" i="1"/>
  <c r="J125" i="1"/>
  <c r="J22" i="1"/>
  <c r="J55" i="1"/>
  <c r="J142" i="1"/>
  <c r="J38" i="1"/>
  <c r="J23" i="1"/>
  <c r="J28" i="1"/>
  <c r="J122" i="1"/>
  <c r="J16" i="1"/>
  <c r="J129" i="1"/>
  <c r="J112" i="1"/>
  <c r="J140" i="1"/>
  <c r="J158" i="1"/>
  <c r="J143" i="1"/>
  <c r="J103" i="1"/>
  <c r="J25" i="1"/>
  <c r="J2" i="1"/>
  <c r="J4" i="1"/>
  <c r="J14" i="1"/>
  <c r="J7" i="1"/>
  <c r="J11" i="1"/>
  <c r="J36" i="1"/>
  <c r="J5" i="1"/>
  <c r="J57" i="1"/>
  <c r="J60" i="1"/>
  <c r="J65" i="1"/>
  <c r="J106" i="1"/>
  <c r="Q3" i="1"/>
  <c r="J3" i="1"/>
  <c r="J95" i="1"/>
  <c r="J47" i="1"/>
  <c r="J118" i="1"/>
  <c r="J99" i="1"/>
  <c r="J105" i="1"/>
  <c r="J61" i="1"/>
  <c r="J155" i="1"/>
  <c r="J79" i="1"/>
  <c r="J29" i="1"/>
  <c r="J66" i="1"/>
  <c r="J157" i="1"/>
  <c r="K137" i="1" l="1"/>
  <c r="K145" i="1"/>
  <c r="O42" i="1"/>
  <c r="O38" i="1"/>
  <c r="O35" i="1"/>
  <c r="K45" i="1"/>
  <c r="K147" i="1"/>
  <c r="K136" i="1"/>
  <c r="K121" i="1"/>
  <c r="K56" i="1"/>
  <c r="K62" i="1"/>
  <c r="K156" i="1"/>
  <c r="K146" i="1"/>
  <c r="K129" i="1"/>
  <c r="K93" i="1"/>
  <c r="K86" i="1"/>
  <c r="K138" i="1"/>
  <c r="K63" i="1"/>
  <c r="K55" i="1"/>
  <c r="K158" i="1"/>
  <c r="K151" i="1"/>
  <c r="K119" i="1"/>
  <c r="K42" i="1"/>
  <c r="K16" i="1"/>
  <c r="K105" i="1"/>
  <c r="K47" i="1"/>
  <c r="K114" i="1"/>
  <c r="K157" i="1"/>
  <c r="K59" i="1"/>
  <c r="K77" i="1"/>
  <c r="K107" i="1"/>
  <c r="K130" i="1"/>
  <c r="K26" i="1"/>
  <c r="K96" i="1"/>
  <c r="K103" i="1"/>
  <c r="K120" i="1"/>
  <c r="K31" i="1"/>
  <c r="K6" i="1"/>
  <c r="K48" i="1"/>
  <c r="K112" i="1"/>
  <c r="K155" i="1"/>
  <c r="K12" i="1"/>
  <c r="K88" i="1"/>
  <c r="K160" i="1"/>
  <c r="K67" i="1"/>
  <c r="K85" i="1"/>
  <c r="K17" i="1"/>
  <c r="K135" i="1"/>
  <c r="K127" i="1"/>
  <c r="K11" i="1"/>
  <c r="K7" i="1"/>
  <c r="K60" i="1"/>
  <c r="K144" i="1"/>
  <c r="K159" i="1"/>
  <c r="K132" i="1"/>
  <c r="K139" i="1"/>
  <c r="K126" i="1"/>
  <c r="K46" i="1"/>
  <c r="K10" i="1"/>
  <c r="K61" i="1"/>
  <c r="K124" i="1"/>
  <c r="K110" i="1"/>
  <c r="K128" i="1"/>
  <c r="K125" i="1"/>
  <c r="K94" i="1"/>
  <c r="K38" i="1"/>
  <c r="K89" i="1"/>
  <c r="K15" i="1"/>
  <c r="K22" i="1"/>
  <c r="K116" i="1"/>
  <c r="K66" i="1"/>
  <c r="K141" i="1"/>
  <c r="K19" i="1"/>
  <c r="K122" i="1"/>
  <c r="K36" i="1"/>
  <c r="K41" i="1"/>
  <c r="K152" i="1"/>
  <c r="K83" i="1"/>
  <c r="K161" i="1"/>
  <c r="K117" i="1"/>
  <c r="K49" i="1"/>
  <c r="K4" i="1"/>
  <c r="K118" i="1"/>
  <c r="K27" i="1"/>
  <c r="K9" i="1"/>
  <c r="K133" i="1"/>
  <c r="K113" i="1"/>
  <c r="K43" i="1"/>
  <c r="K70" i="1"/>
  <c r="K37" i="1"/>
  <c r="K142" i="1"/>
  <c r="K82" i="1"/>
  <c r="K69" i="1"/>
  <c r="K50" i="1"/>
  <c r="K40" i="1"/>
  <c r="K102" i="1"/>
  <c r="K149" i="1"/>
  <c r="K100" i="1"/>
  <c r="K58" i="1"/>
  <c r="K154" i="1"/>
  <c r="K106" i="1"/>
  <c r="K21" i="1"/>
  <c r="K57" i="1"/>
  <c r="K98" i="1"/>
  <c r="K80" i="1"/>
  <c r="K54" i="1"/>
  <c r="K115" i="1"/>
  <c r="K23" i="1"/>
  <c r="K140" i="1"/>
  <c r="K53" i="1"/>
  <c r="K34" i="1"/>
  <c r="K65" i="1"/>
  <c r="K51" i="1"/>
  <c r="K33" i="1"/>
  <c r="K72" i="1"/>
  <c r="K29" i="1"/>
  <c r="K2" i="1"/>
  <c r="K75" i="1"/>
  <c r="K87" i="1"/>
  <c r="K143" i="1"/>
  <c r="K74" i="1"/>
  <c r="K30" i="1"/>
  <c r="K44" i="1"/>
  <c r="K8" i="1"/>
  <c r="K20" i="1"/>
  <c r="K108" i="1"/>
  <c r="K111" i="1"/>
  <c r="K18" i="1"/>
  <c r="K148" i="1"/>
  <c r="K99" i="1"/>
  <c r="K13" i="1"/>
  <c r="K123" i="1"/>
  <c r="K14" i="1"/>
  <c r="K78" i="1"/>
  <c r="K52" i="1"/>
  <c r="K5" i="1"/>
  <c r="K28" i="1"/>
  <c r="K3" i="1"/>
  <c r="K97" i="1"/>
  <c r="K131" i="1"/>
  <c r="K95" i="1"/>
  <c r="K150" i="1"/>
  <c r="K32" i="1"/>
  <c r="K76" i="1"/>
  <c r="K92" i="1"/>
  <c r="K109" i="1"/>
  <c r="K68" i="1"/>
  <c r="K71" i="1"/>
  <c r="K24" i="1"/>
  <c r="K73" i="1"/>
  <c r="K84" i="1"/>
  <c r="K153" i="1"/>
  <c r="K104" i="1"/>
  <c r="K25" i="1"/>
  <c r="K35" i="1"/>
  <c r="K101" i="1"/>
  <c r="K39" i="1"/>
  <c r="K134" i="1"/>
  <c r="K64" i="1"/>
  <c r="K79" i="1"/>
  <c r="K91" i="1"/>
  <c r="K81" i="1"/>
  <c r="K90" i="1"/>
</calcChain>
</file>

<file path=xl/sharedStrings.xml><?xml version="1.0" encoding="utf-8"?>
<sst xmlns="http://schemas.openxmlformats.org/spreadsheetml/2006/main" count="2317" uniqueCount="367">
  <si>
    <t>SALEID</t>
  </si>
  <si>
    <t>PRODUCT_CTG</t>
  </si>
  <si>
    <t>BRAND_NAME</t>
  </si>
  <si>
    <t>PRODUCT_NAME</t>
  </si>
  <si>
    <t>QUANTITY</t>
  </si>
  <si>
    <t>PRICE_PER_UNIT</t>
  </si>
  <si>
    <t>CITY</t>
  </si>
  <si>
    <t>STATE</t>
  </si>
  <si>
    <t>DATE</t>
  </si>
  <si>
    <t>S1001</t>
  </si>
  <si>
    <t>Laptop</t>
  </si>
  <si>
    <t>ACER</t>
  </si>
  <si>
    <t>Predator Helios</t>
  </si>
  <si>
    <t>Trivandrum</t>
  </si>
  <si>
    <t>Kerala</t>
  </si>
  <si>
    <t>S1002</t>
  </si>
  <si>
    <t>Aspire 5</t>
  </si>
  <si>
    <t>Madurai</t>
  </si>
  <si>
    <t>Tamil Nadu</t>
  </si>
  <si>
    <t>S1003</t>
  </si>
  <si>
    <t>HP</t>
  </si>
  <si>
    <t>Omen 16</t>
  </si>
  <si>
    <t>S1004</t>
  </si>
  <si>
    <t>DELL</t>
  </si>
  <si>
    <t>Inspiron 15</t>
  </si>
  <si>
    <t>S1005</t>
  </si>
  <si>
    <t>Pavilion 14</t>
  </si>
  <si>
    <t>Visakhapatnam</t>
  </si>
  <si>
    <t>Andhra Pradesh</t>
  </si>
  <si>
    <t>S1006</t>
  </si>
  <si>
    <t>ASUS</t>
  </si>
  <si>
    <t>Vivobook 15</t>
  </si>
  <si>
    <t>S1007</t>
  </si>
  <si>
    <t>Chennai</t>
  </si>
  <si>
    <t>S1008</t>
  </si>
  <si>
    <t>Mysore</t>
  </si>
  <si>
    <t>Karnataka</t>
  </si>
  <si>
    <t>S1009</t>
  </si>
  <si>
    <t>ROG Zephyrus</t>
  </si>
  <si>
    <t>Coimbatore</t>
  </si>
  <si>
    <t>S1010</t>
  </si>
  <si>
    <t>MSI</t>
  </si>
  <si>
    <t>Modern 14</t>
  </si>
  <si>
    <t>Kochi</t>
  </si>
  <si>
    <t>S1011</t>
  </si>
  <si>
    <t>S1012</t>
  </si>
  <si>
    <t>S1013</t>
  </si>
  <si>
    <t>LENOVO</t>
  </si>
  <si>
    <t>IdeaPad Slim 5</t>
  </si>
  <si>
    <t>S1014</t>
  </si>
  <si>
    <t>Bangalore</t>
  </si>
  <si>
    <t>S1015</t>
  </si>
  <si>
    <t>S1016</t>
  </si>
  <si>
    <t>S1017</t>
  </si>
  <si>
    <t>S1018</t>
  </si>
  <si>
    <t>Vijayawada</t>
  </si>
  <si>
    <t>S1019</t>
  </si>
  <si>
    <t>S1020</t>
  </si>
  <si>
    <t>XPS 13</t>
  </si>
  <si>
    <t>Hyderabad</t>
  </si>
  <si>
    <t>Telangana</t>
  </si>
  <si>
    <t>S1021</t>
  </si>
  <si>
    <t>GF63 Thin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</si>
  <si>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</si>
  <si>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</si>
  <si>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</si>
  <si>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</si>
  <si>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</si>
  <si>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</si>
  <si>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</si>
  <si>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</si>
  <si>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</si>
  <si>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ThinkPad E14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</si>
  <si>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</si>
  <si>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</si>
  <si>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</si>
  <si>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</si>
  <si>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</si>
  <si>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</si>
  <si>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</si>
  <si>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</si>
  <si>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</si>
  <si>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</si>
  <si>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</si>
  <si>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</si>
  <si>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</si>
  <si>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</si>
  <si>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</si>
  <si>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</si>
  <si>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</si>
  <si>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</si>
  <si>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</si>
  <si>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</si>
  <si>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</si>
  <si>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</si>
  <si>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</si>
  <si>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</si>
  <si>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</si>
  <si>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</si>
  <si>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</si>
  <si>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</si>
  <si>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</si>
  <si>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</si>
  <si>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</si>
  <si>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</si>
  <si>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</si>
  <si>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</si>
  <si>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</si>
  <si>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</si>
  <si>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</si>
  <si>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</si>
  <si>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</si>
  <si>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</si>
  <si>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</si>
  <si>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</si>
  <si>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</si>
  <si>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</si>
  <si>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</si>
  <si>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</si>
  <si>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</si>
  <si>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</si>
  <si>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</si>
  <si>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</si>
  <si>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</si>
  <si>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</si>
  <si>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</si>
  <si>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</si>
  <si>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</si>
  <si>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</si>
  <si>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</si>
  <si>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</si>
  <si>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</si>
  <si>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</si>
  <si>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</si>
  <si>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</si>
  <si>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</si>
  <si>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</si>
  <si>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</si>
  <si>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</si>
  <si>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</si>
  <si>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</si>
  <si>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</si>
  <si>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</si>
  <si>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</si>
  <si>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Smartphone</t>
  </si>
  <si>
    <t>Nothing</t>
  </si>
  <si>
    <t>Nothing Phone 2</t>
  </si>
  <si>
    <t>S1102</t>
  </si>
  <si>
    <t>Vivo</t>
  </si>
  <si>
    <t>Vivo V27</t>
  </si>
  <si>
    <t>S1103</t>
  </si>
  <si>
    <t>Motorola</t>
  </si>
  <si>
    <t>Moto Edge 40</t>
  </si>
  <si>
    <t>S1104</t>
  </si>
  <si>
    <t>Samsung</t>
  </si>
  <si>
    <t>Galaxy S23</t>
  </si>
  <si>
    <t>S1105</t>
  </si>
  <si>
    <t>Apple</t>
  </si>
  <si>
    <t>iPhone 14</t>
  </si>
  <si>
    <t>S1106</t>
  </si>
  <si>
    <t>S1107</t>
  </si>
  <si>
    <t>Realme</t>
  </si>
  <si>
    <t>Realme GT Neo 3</t>
  </si>
  <si>
    <t>S1108</t>
  </si>
  <si>
    <t>S1109</t>
  </si>
  <si>
    <t>S1110</t>
  </si>
  <si>
    <t>S1111</t>
  </si>
  <si>
    <t>OnePlus</t>
  </si>
  <si>
    <t>OnePlus 11</t>
  </si>
  <si>
    <t>S1112</t>
  </si>
  <si>
    <t>S1113</t>
  </si>
  <si>
    <t>Google</t>
  </si>
  <si>
    <t>Pixel 7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</si>
  <si>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</si>
  <si>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</si>
  <si>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</si>
  <si>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</si>
  <si>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</si>
  <si>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</si>
  <si>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</si>
  <si>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</si>
  <si>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Oppo</t>
  </si>
  <si>
    <t>Oppo Reno 10</t>
  </si>
  <si>
    <t>S1122</t>
  </si>
  <si>
    <t>S1123</t>
  </si>
  <si>
    <t>S1124</t>
  </si>
  <si>
    <t>S1125</t>
  </si>
  <si>
    <t>S1126</t>
  </si>
  <si>
    <t>S1127</t>
  </si>
  <si>
    <t>Xiaomi</t>
  </si>
  <si>
    <t>Redmi Note 12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</si>
  <si>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</si>
  <si>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</si>
  <si>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</si>
  <si>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</si>
  <si>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</si>
  <si>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</si>
  <si>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</si>
  <si>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</si>
  <si>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</si>
  <si>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</si>
  <si>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</si>
  <si>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</si>
  <si>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</si>
  <si>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</si>
  <si>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</si>
  <si>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</si>
  <si>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</si>
  <si>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</si>
  <si>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</si>
  <si>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</si>
  <si>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</si>
  <si>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</si>
  <si>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</si>
  <si>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</si>
  <si>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</si>
  <si>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</si>
  <si>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</si>
  <si>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</si>
  <si>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</si>
  <si>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</si>
  <si>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</si>
  <si>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</si>
  <si>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</si>
  <si>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SALES_AMOUNT</t>
  </si>
  <si>
    <t>SALES_AMOUNT_BY_BRAND</t>
  </si>
  <si>
    <t>No.of Laptops sold in Tamilnadu</t>
  </si>
  <si>
    <t>Toatal Sales of Smartphones in Kerala</t>
  </si>
  <si>
    <t xml:space="preserve">Avarage product price of HP </t>
  </si>
  <si>
    <t>Avarage of sold quantity from Product category ( LAPTOPS)</t>
  </si>
  <si>
    <t>Avarage of sold quantity from Product category ( SMART PHONES )</t>
  </si>
  <si>
    <t>average price per unit for Laptop category in Andhra Pradesh.</t>
  </si>
  <si>
    <t>Sales Transaction in Sheet</t>
  </si>
  <si>
    <t xml:space="preserve">Unique Brands in Data Set </t>
  </si>
  <si>
    <t>Count blanks In State's Column</t>
  </si>
  <si>
    <t>Count Non-Empty In State's Column</t>
  </si>
  <si>
    <t>sales happened in 2025</t>
  </si>
  <si>
    <t xml:space="preserve"> HP Pavilion 14 laptops were sold in Chennai.</t>
  </si>
  <si>
    <t>Asus Revenue</t>
  </si>
  <si>
    <t>AP Revenue</t>
  </si>
  <si>
    <t>Use SUMIFS to find the total revenue for MSI laptops in Kerala.</t>
  </si>
  <si>
    <t xml:space="preserve"> Maximum price of laptops sold in Hyderabad</t>
  </si>
  <si>
    <t>minimum price per unit among all Smartphones.</t>
  </si>
  <si>
    <t>BRAND</t>
  </si>
  <si>
    <t>MAXIMUM Price Per Unit TN</t>
  </si>
  <si>
    <t>Lowest Qunatity Sales of HP Product in Karnataka</t>
  </si>
  <si>
    <t>Most Expansive product per Brand In AP</t>
  </si>
  <si>
    <t>Min Product price per unit in 2024 (Laptops)</t>
  </si>
  <si>
    <t>Max price per unit in 2025 ( SmartPhones)</t>
  </si>
  <si>
    <t>Avarge product price per unit in Kerala by brand</t>
  </si>
  <si>
    <t>City</t>
  </si>
  <si>
    <t xml:space="preserve">Sum of quantity sold By city </t>
  </si>
  <si>
    <t>State</t>
  </si>
  <si>
    <t xml:space="preserve">State wise sales count </t>
  </si>
  <si>
    <t>Assignment 4</t>
  </si>
  <si>
    <t>Aggregate &amp; Conditional Functions 
(SUM, AVERAGE, COUNT, MAX, MIN)</t>
  </si>
  <si>
    <t>Text Functions (LEFT, RIGHT, LEN, UPPER, LOWER, 
PROPER, CONCATENATION, SUBSTITUTE)</t>
  </si>
  <si>
    <t>BASIC MATH FUNCTIONS</t>
  </si>
  <si>
    <t>Assignment%204.xlsx#SALES_AGG_CONDI_Assignment!A1</t>
  </si>
  <si>
    <t>Assignment%204.xlsx#Text_Functions_assignment!A1</t>
  </si>
  <si>
    <t>Assignment%204.xlsx#Basic_math_funnctions!A1</t>
  </si>
  <si>
    <t xml:space="preserve">First 3 letter of each brand name </t>
  </si>
  <si>
    <t>DEL</t>
  </si>
  <si>
    <t>ASU</t>
  </si>
  <si>
    <t>ACE</t>
  </si>
  <si>
    <t>LEN</t>
  </si>
  <si>
    <t>Not</t>
  </si>
  <si>
    <t>Viv</t>
  </si>
  <si>
    <t>Mot</t>
  </si>
  <si>
    <t>Sam</t>
  </si>
  <si>
    <t>App</t>
  </si>
  <si>
    <t>Rea</t>
  </si>
  <si>
    <t>One</t>
  </si>
  <si>
    <t>Goo</t>
  </si>
  <si>
    <t>Opp</t>
  </si>
  <si>
    <t>Xia</t>
  </si>
  <si>
    <t>Last 2 chars of Sales ID Using RIGHT</t>
  </si>
  <si>
    <t xml:space="preserve">Finding length of each product name </t>
  </si>
  <si>
    <t>Brand_names_in _UPPER_CASE</t>
  </si>
  <si>
    <t>Product_Names _In_LOWER_CASE</t>
  </si>
  <si>
    <t>City_Names_in_Proper_Format</t>
  </si>
  <si>
    <t>CITY + STATE (CONCAT)</t>
  </si>
  <si>
    <t>BRAND_NAME -PRODUCT_NAME</t>
  </si>
  <si>
    <t>SALE_ID + CITY + DATE</t>
  </si>
  <si>
    <t>LAPTOP -----&gt; NoteBook</t>
  </si>
  <si>
    <t>NoteBook</t>
  </si>
  <si>
    <t>LAPTOP</t>
  </si>
  <si>
    <t>Product Name with Spaces</t>
  </si>
  <si>
    <t>Product_Name_spaces_replace_with_</t>
  </si>
  <si>
    <t>States</t>
  </si>
  <si>
    <t>Sates_with_first_2_chars</t>
  </si>
  <si>
    <t>Product _Names</t>
  </si>
  <si>
    <t>Sales_id</t>
  </si>
  <si>
    <t>Shot_Product_id</t>
  </si>
  <si>
    <t>Aspire_5</t>
  </si>
  <si>
    <t>Omen_16</t>
  </si>
  <si>
    <t>Inspiron_15</t>
  </si>
  <si>
    <t>Pavilion_14</t>
  </si>
  <si>
    <t>Vivobook_15</t>
  </si>
  <si>
    <t>ROG_Zephyrus</t>
  </si>
  <si>
    <t>Modern_14</t>
  </si>
  <si>
    <t>IdeaPad_Slim_5</t>
  </si>
  <si>
    <t>Predator_Helios</t>
  </si>
  <si>
    <t>XPS_13</t>
  </si>
  <si>
    <t>GF63_Thin</t>
  </si>
  <si>
    <t>City_Names</t>
  </si>
  <si>
    <t>Length_Of _ CITY</t>
  </si>
  <si>
    <t>CITY_NAME</t>
  </si>
  <si>
    <t>UNIQUE _ PRODUCT_KEY</t>
  </si>
  <si>
    <t>SUBSTITUTE_New_Brand_Name</t>
  </si>
  <si>
    <t>Current Date</t>
  </si>
  <si>
    <t>Extracted_Month</t>
  </si>
  <si>
    <t>Extract_Year</t>
  </si>
  <si>
    <t>Quantity</t>
  </si>
  <si>
    <t>Price_Per_Unit</t>
  </si>
  <si>
    <t>Qunatity || Price_Per_Unit</t>
  </si>
  <si>
    <t>Longest Length of Product_Name</t>
  </si>
  <si>
    <t>Brand_Names_Convert_into_Proper_Format</t>
  </si>
  <si>
    <t>Product_cat_Brand_Product_name</t>
  </si>
  <si>
    <t>Product _names</t>
  </si>
  <si>
    <t>SUBSTITUTE_Names_ of _Omen-Series</t>
  </si>
  <si>
    <t>Sales_Id</t>
  </si>
  <si>
    <t>Middle_Numbers</t>
  </si>
  <si>
    <t>SALE_ID</t>
  </si>
  <si>
    <t>STATE_SALE_CODE</t>
  </si>
  <si>
    <t>ABS ( Temperature )</t>
  </si>
  <si>
    <t>Temperature Diffrence</t>
  </si>
  <si>
    <t>Profit/Loss</t>
  </si>
  <si>
    <t>ABS Profit/Losses</t>
  </si>
  <si>
    <t>Numbers</t>
  </si>
  <si>
    <t xml:space="preserve">Sq.Values </t>
  </si>
  <si>
    <t xml:space="preserve"> radius </t>
  </si>
  <si>
    <t>Circle Area</t>
  </si>
  <si>
    <t>314cm2</t>
  </si>
  <si>
    <t>Number</t>
  </si>
  <si>
    <t>Power of Number (4)</t>
  </si>
  <si>
    <t>Sphere Radius</t>
  </si>
  <si>
    <t>Power of Number (5)</t>
  </si>
  <si>
    <t>Power of Radius (3)</t>
  </si>
  <si>
    <t>Numeric Numbers</t>
  </si>
  <si>
    <t>Integer without decimals</t>
  </si>
  <si>
    <t xml:space="preserve">Numerics </t>
  </si>
  <si>
    <t>Integer Number</t>
  </si>
  <si>
    <t>List of Product Prices</t>
  </si>
  <si>
    <t>Prices in Rs without decimals</t>
  </si>
  <si>
    <t>Price</t>
  </si>
  <si>
    <t>Price with 2 decimals TRUNC</t>
  </si>
  <si>
    <t>Shoe Price</t>
  </si>
  <si>
    <t>Price with 2 decimals Trunc</t>
  </si>
  <si>
    <t>Trunc with 5 decimals</t>
  </si>
  <si>
    <t>Value</t>
  </si>
  <si>
    <t>Round</t>
  </si>
  <si>
    <t>Round 2 decimals</t>
  </si>
  <si>
    <t>Round the Near value</t>
  </si>
  <si>
    <t xml:space="preserve">After Round UP </t>
  </si>
  <si>
    <t>After Roundup 1 decimal</t>
  </si>
  <si>
    <t>Weeks</t>
  </si>
  <si>
    <t>After Roundup (8 Weeks)</t>
  </si>
  <si>
    <t xml:space="preserve">Round Down </t>
  </si>
  <si>
    <t>Marks</t>
  </si>
  <si>
    <t>Round down Marks</t>
  </si>
  <si>
    <t>Rand values</t>
  </si>
  <si>
    <t>Rand Percentage values</t>
  </si>
  <si>
    <t xml:space="preserve">RAND Multiply values </t>
  </si>
  <si>
    <t>Values</t>
  </si>
  <si>
    <t>Values2</t>
  </si>
  <si>
    <t>Rand Between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</si>
</sst>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2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10" borderId="0" xfId="0" applyFill="1"/>
    <xf numFmtId="0" fontId="1" fillId="7" borderId="7" xfId="0" applyFont="1" applyFill="1" applyBorder="1"/>
    <xf numFmtId="0" fontId="7" fillId="7" borderId="8" xfId="1" applyFont="1" applyFill="1" applyBorder="1" applyAlignment="1">
      <alignment wrapText="1"/>
    </xf>
    <xf numFmtId="0" fontId="1" fillId="7" borderId="8" xfId="0" applyFont="1" applyFill="1" applyBorder="1" applyAlignment="1">
      <alignment wrapText="1"/>
    </xf>
    <xf numFmtId="0" fontId="1" fillId="7" borderId="17" xfId="0" applyFont="1" applyFill="1" applyBorder="1"/>
    <xf numFmtId="0" fontId="7" fillId="7" borderId="18" xfId="1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11" borderId="21" xfId="0" applyFont="1" applyFill="1" applyBorder="1" applyAlignment="1">
      <alignment horizontal="center" vertical="center"/>
    </xf>
    <xf numFmtId="0" fontId="1" fillId="12" borderId="22" xfId="0" applyFont="1" applyFill="1" applyBorder="1" applyAlignment="1">
      <alignment horizontal="center" vertical="center"/>
    </xf>
    <xf numFmtId="0" fontId="1" fillId="11" borderId="23" xfId="0" applyFont="1" applyFill="1" applyBorder="1" applyAlignment="1">
      <alignment horizontal="center" vertical="center"/>
    </xf>
    <xf numFmtId="0" fontId="1" fillId="11" borderId="24" xfId="0" applyFont="1" applyFill="1" applyBorder="1" applyAlignment="1">
      <alignment horizontal="center" vertical="center"/>
    </xf>
    <xf numFmtId="0" fontId="0" fillId="12" borderId="14" xfId="0" applyFill="1" applyBorder="1" applyAlignment="1">
      <alignment horizontal="left"/>
    </xf>
    <xf numFmtId="0" fontId="0" fillId="10" borderId="15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1" fillId="12" borderId="25" xfId="0" applyFont="1" applyFill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/>
    </xf>
    <xf numFmtId="0" fontId="1" fillId="11" borderId="27" xfId="0" applyFont="1" applyFill="1" applyBorder="1" applyAlignment="1">
      <alignment horizontal="center" vertical="center"/>
    </xf>
    <xf numFmtId="0" fontId="1" fillId="11" borderId="28" xfId="0" applyFont="1" applyFill="1" applyBorder="1" applyAlignment="1">
      <alignment horizontal="center" vertical="center"/>
    </xf>
    <xf numFmtId="0" fontId="1" fillId="14" borderId="26" xfId="0" applyFont="1" applyFill="1" applyBorder="1" applyAlignment="1">
      <alignment horizontal="center" vertical="center"/>
    </xf>
    <xf numFmtId="0" fontId="1" fillId="14" borderId="22" xfId="0" applyFont="1" applyFill="1" applyBorder="1" applyAlignment="1">
      <alignment horizontal="center" vertical="center"/>
    </xf>
    <xf numFmtId="0" fontId="1" fillId="14" borderId="25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0" fillId="15" borderId="19" xfId="0" applyFill="1" applyBorder="1" applyAlignment="1">
      <alignment horizontal="left"/>
    </xf>
    <xf numFmtId="0" fontId="0" fillId="0" borderId="20" xfId="0" applyBorder="1" applyAlignment="1">
      <alignment horizontal="left"/>
    </xf>
    <xf numFmtId="0" fontId="1" fillId="15" borderId="26" xfId="0" applyFont="1" applyFill="1" applyBorder="1" applyAlignment="1">
      <alignment horizontal="center" vertical="center"/>
    </xf>
    <xf numFmtId="0" fontId="1" fillId="16" borderId="31" xfId="0" applyFont="1" applyFill="1" applyBorder="1" applyAlignment="1">
      <alignment horizontal="center" vertical="center"/>
    </xf>
    <xf numFmtId="0" fontId="1" fillId="16" borderId="33" xfId="0" applyFont="1" applyFill="1" applyBorder="1" applyAlignment="1">
      <alignment horizontal="center" vertical="center"/>
    </xf>
    <xf numFmtId="0" fontId="1" fillId="16" borderId="32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16" borderId="34" xfId="0" applyFont="1" applyFill="1" applyBorder="1" applyAlignment="1">
      <alignment horizontal="center" vertical="center"/>
    </xf>
    <xf numFmtId="0" fontId="1" fillId="16" borderId="35" xfId="0" applyFont="1" applyFill="1" applyBorder="1" applyAlignment="1">
      <alignment horizontal="center" vertical="center"/>
    </xf>
    <xf numFmtId="0" fontId="1" fillId="16" borderId="36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12" borderId="37" xfId="0" applyFont="1" applyFill="1" applyBorder="1" applyAlignment="1">
      <alignment horizontal="center" vertical="center"/>
    </xf>
    <xf numFmtId="0" fontId="1" fillId="12" borderId="38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/>
    </xf>
    <xf numFmtId="0" fontId="8" fillId="17" borderId="1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 vertical="center" wrapText="1"/>
    </xf>
    <xf numFmtId="0" fontId="0" fillId="13" borderId="19" xfId="0" applyFill="1" applyBorder="1" applyAlignment="1">
      <alignment horizontal="left"/>
    </xf>
    <xf numFmtId="0" fontId="1" fillId="13" borderId="6" xfId="0" applyFont="1" applyFill="1" applyBorder="1" applyAlignment="1">
      <alignment horizontal="center" vertical="center" wrapText="1"/>
    </xf>
    <xf numFmtId="14" fontId="1" fillId="11" borderId="7" xfId="0" applyNumberFormat="1" applyFont="1" applyFill="1" applyBorder="1" applyAlignment="1">
      <alignment horizontal="center" vertical="center"/>
    </xf>
    <xf numFmtId="14" fontId="1" fillId="11" borderId="17" xfId="0" applyNumberFormat="1" applyFont="1" applyFill="1" applyBorder="1" applyAlignment="1">
      <alignment horizontal="center" vertical="center"/>
    </xf>
    <xf numFmtId="14" fontId="1" fillId="11" borderId="8" xfId="0" applyNumberFormat="1" applyFont="1" applyFill="1" applyBorder="1" applyAlignment="1">
      <alignment horizontal="center" vertical="center"/>
    </xf>
    <xf numFmtId="0" fontId="1" fillId="18" borderId="0" xfId="0" applyFont="1" applyFill="1" applyAlignment="1">
      <alignment horizontal="center"/>
    </xf>
    <xf numFmtId="0" fontId="1" fillId="18" borderId="25" xfId="0" applyFont="1" applyFill="1" applyBorder="1" applyAlignment="1">
      <alignment horizontal="center"/>
    </xf>
    <xf numFmtId="0" fontId="1" fillId="18" borderId="19" xfId="0" applyFont="1" applyFill="1" applyBorder="1" applyAlignment="1">
      <alignment horizontal="center"/>
    </xf>
    <xf numFmtId="0" fontId="1" fillId="18" borderId="29" xfId="0" applyFont="1" applyFill="1" applyBorder="1" applyAlignment="1">
      <alignment horizontal="center"/>
    </xf>
    <xf numFmtId="0" fontId="1" fillId="16" borderId="39" xfId="0" applyFont="1" applyFill="1" applyBorder="1" applyAlignment="1">
      <alignment horizontal="center" vertical="center"/>
    </xf>
    <xf numFmtId="0" fontId="1" fillId="16" borderId="40" xfId="0" applyFont="1" applyFill="1" applyBorder="1" applyAlignment="1">
      <alignment horizontal="left" vertical="center"/>
    </xf>
    <xf numFmtId="0" fontId="1" fillId="16" borderId="7" xfId="0" applyFont="1" applyFill="1" applyBorder="1" applyAlignment="1">
      <alignment horizontal="center" vertical="center"/>
    </xf>
    <xf numFmtId="0" fontId="1" fillId="16" borderId="17" xfId="0" applyFont="1" applyFill="1" applyBorder="1" applyAlignment="1">
      <alignment horizontal="center" vertical="center"/>
    </xf>
    <xf numFmtId="0" fontId="1" fillId="16" borderId="41" xfId="0" applyFont="1" applyFill="1" applyBorder="1" applyAlignment="1">
      <alignment horizontal="center" vertical="center"/>
    </xf>
    <xf numFmtId="0" fontId="1" fillId="16" borderId="30" xfId="0" applyFont="1" applyFill="1" applyBorder="1" applyAlignment="1">
      <alignment horizontal="left" vertical="center"/>
    </xf>
    <xf numFmtId="0" fontId="0" fillId="19" borderId="0" xfId="0" applyFill="1" applyAlignment="1">
      <alignment horizontal="center"/>
    </xf>
    <xf numFmtId="0" fontId="9" fillId="20" borderId="5" xfId="0" applyFont="1" applyFill="1" applyBorder="1" applyAlignment="1">
      <alignment horizontal="center" vertical="center" wrapText="1"/>
    </xf>
    <xf numFmtId="0" fontId="10" fillId="20" borderId="19" xfId="0" applyFont="1" applyFill="1" applyBorder="1" applyAlignment="1">
      <alignment horizontal="left"/>
    </xf>
    <xf numFmtId="0" fontId="9" fillId="20" borderId="6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7" xfId="0" applyFont="1" applyFill="1" applyBorder="1" applyAlignment="1">
      <alignment horizontal="center" vertical="center"/>
    </xf>
    <xf numFmtId="0" fontId="0" fillId="0" borderId="19" xfId="0" applyBorder="1" applyAlignment="1">
      <alignment horizontal="left"/>
    </xf>
    <xf numFmtId="0" fontId="9" fillId="20" borderId="26" xfId="0" applyFont="1" applyFill="1" applyBorder="1" applyAlignment="1">
      <alignment horizontal="center" vertical="center" wrapText="1"/>
    </xf>
    <xf numFmtId="0" fontId="0" fillId="11" borderId="27" xfId="0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27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21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0" fillId="24" borderId="1" xfId="0" applyFill="1" applyBorder="1"/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14" fontId="1" fillId="11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4"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9" formatCode="dd/mm/yyyy"/>
    </dxf>
    <dxf>
      <numFmt numFmtId="19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46E9D9-569B-42FE-8D1C-7181A44D2F02}" name="TBL_SALES" displayName="TBL_SALES" ref="A1:K161" totalsRowShown="0">
  <autoFilter ref="A1:K161" xr:uid="{1E46E9D9-569B-42FE-8D1C-7181A44D2F02}"/>
  <tableColumns count="11">
    <tableColumn id="1" xr3:uid="{4C358B15-A10E-428E-A17A-1EF1173EA0A0}" name="SALEID"/>
    <tableColumn id="2" xr3:uid="{808594F5-A05B-4F58-B034-523A499F4CDF}" name="PRODUCT_CTG"/>
    <tableColumn id="3" xr3:uid="{88381D18-18C7-4F54-9C3E-027459E9DBD5}" name="BRAND_NAME"/>
    <tableColumn id="4" xr3:uid="{5C6722AF-19D5-4B83-A712-3D09D8A52A9E}" name="PRODUCT_NAME"/>
    <tableColumn id="5" xr3:uid="{6484E1D8-A6B7-43B8-ABFD-C1822EFEFEA6}" name="QUANTITY" totalsRowDxfId="23"/>
    <tableColumn id="6" xr3:uid="{CE98A28F-FF21-4C76-B5CE-69DFC410A461}" name="PRICE_PER_UNIT"/>
    <tableColumn id="7" xr3:uid="{DDD45302-DE7E-46AD-A78E-DF3D04F9867F}" name="CITY"/>
    <tableColumn id="8" xr3:uid="{44CB5EB6-10C2-40F9-B822-70E9A6FB0244}" name="STATE"/>
    <tableColumn id="9" xr3:uid="{9DDF36F3-8E54-4C81-A829-34F4075E331E}" name="DATE" dataDxfId="22" totalsRowDxfId="21"/>
    <tableColumn id="10" xr3:uid="{63020F42-424C-44A7-B1A8-0CC5E8F9F85C}" name="SALES_AMOUNT" dataDxfId="20" totalsRowDxfId="19">
      <calculatedColumnFormula>SUM(TBL_SALES[[#This Row],[QUANTITY]]*TBL_SALES[[#This Row],[PRICE_PER_UNIT]])</calculatedColumnFormula>
    </tableColumn>
    <tableColumn id="11" xr3:uid="{2D669631-5910-4DDB-A165-E0355A214652}" name="SALES_AMOUNT_BY_BRAND" dataDxfId="18" totalsRowDxfId="17">
      <calculatedColumnFormula>SUMIF(TBL_SALES[BRAND_NAME],TBL_SALES[[#This Row],[BRAND_NAME]],TBL_SALES[SALES_AMOUNT])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21D81F-79A6-47F1-BB10-D3E0200B484C}" name="TBL_SALES3" displayName="TBL_SALES3" ref="A1:K161" totalsRowShown="0" headerRowDxfId="16" dataDxfId="15">
  <autoFilter ref="A1:K161" xr:uid="{7421D81F-79A6-47F1-BB10-D3E0200B484C}"/>
  <tableColumns count="11">
    <tableColumn id="1" xr3:uid="{8B1E918B-BA0D-4795-906C-FFE9094DC023}" name="SALEID" dataDxfId="14"/>
    <tableColumn id="2" xr3:uid="{986ADD17-FC89-4627-9D42-13F49F109522}" name="PRODUCT_CTG" dataDxfId="13"/>
    <tableColumn id="3" xr3:uid="{43DAE283-D08F-4F08-8C13-1C98834782A7}" name="BRAND_NAME" dataDxfId="12"/>
    <tableColumn id="4" xr3:uid="{8D1D7B68-F809-4607-8B55-BE04B3241E55}" name="PRODUCT_NAME" dataDxfId="11"/>
    <tableColumn id="5" xr3:uid="{936B965F-2BFE-4109-A226-DA775DC69C49}" name="QUANTITY" dataDxfId="10" totalsRowDxfId="9"/>
    <tableColumn id="6" xr3:uid="{76B51FB1-DA2C-4D30-9001-C7BFD74DB592}" name="PRICE_PER_UNIT" dataDxfId="8"/>
    <tableColumn id="7" xr3:uid="{645EE9F9-2E04-43EE-A214-07A0EB56379C}" name="CITY" dataDxfId="7"/>
    <tableColumn id="8" xr3:uid="{51BA4F95-A220-4CA7-8D0A-DD90FBCB9F03}" name="STATE" dataDxfId="6"/>
    <tableColumn id="9" xr3:uid="{D1C0343D-5635-48C7-A6B5-1A354F080F37}" name="DATE" dataDxfId="5" totalsRowDxfId="4"/>
    <tableColumn id="10" xr3:uid="{2E569D94-FFC7-43B9-86B1-63C5A75C7F91}" name="SALES_AMOUNT" dataDxfId="3" totalsRowDxfId="2">
      <calculatedColumnFormula>SUM(TBL_SALES3[[#This Row],[QUANTITY]]*TBL_SALES3[[#This Row],[PRICE_PER_UNIT]])</calculatedColumnFormula>
    </tableColumn>
    <tableColumn id="11" xr3:uid="{D9D1AD71-4091-4036-AEF1-7DA04F8651BB}" name="SALES_AMOUNT_BY_BRAND" dataDxfId="1" totalsRowDxfId="0">
      <calculatedColumnFormula>SUMIF(TBL_SALES3[BRAND_NAME],TBL_SALES3[[#This Row],[BRAND_NAME]],TBL_SALES3[SALES_AMOUNT])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ssignment%204.xlsx" TargetMode="External"/><Relationship Id="rId2" Type="http://schemas.openxmlformats.org/officeDocument/2006/relationships/hyperlink" Target="Assignment%204.xlsx" TargetMode="External"/><Relationship Id="rId1" Type="http://schemas.openxmlformats.org/officeDocument/2006/relationships/hyperlink" Target="Assignment%204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6C90-48F6-44FB-BA2D-461B9A01E2C7}">
  <sheetPr>
    <tabColor rgb="FF00B0F0"/>
  </sheetPr>
  <dimension ref="A1:B7"/>
  <sheetViews>
    <sheetView zoomScale="119" workbookViewId="0">
      <selection activeCell="A16" sqref="A16"/>
    </sheetView>
  </sheetViews>
  <sheetFormatPr defaultRowHeight="15" x14ac:dyDescent="0.25"/>
  <cols>
    <col min="1" max="1" width="81.7109375" style="43" customWidth="1"/>
    <col min="2" max="2" width="59.5703125" style="43" customWidth="1"/>
    <col min="3" max="16384" width="9.140625" style="43"/>
  </cols>
  <sheetData>
    <row r="1" spans="1:2" x14ac:dyDescent="0.25">
      <c r="A1" s="130" t="s">
        <v>254</v>
      </c>
      <c r="B1" s="131"/>
    </row>
    <row r="2" spans="1:2" x14ac:dyDescent="0.25">
      <c r="A2" s="132"/>
      <c r="B2" s="133"/>
    </row>
    <row r="3" spans="1:2" x14ac:dyDescent="0.25">
      <c r="A3" s="44" t="s">
        <v>255</v>
      </c>
      <c r="B3" s="45" t="s">
        <v>258</v>
      </c>
    </row>
    <row r="4" spans="1:2" x14ac:dyDescent="0.25">
      <c r="A4" s="44"/>
      <c r="B4" s="46"/>
    </row>
    <row r="5" spans="1:2" x14ac:dyDescent="0.25">
      <c r="A5" s="44" t="s">
        <v>256</v>
      </c>
      <c r="B5" s="45" t="s">
        <v>259</v>
      </c>
    </row>
    <row r="6" spans="1:2" x14ac:dyDescent="0.25">
      <c r="A6" s="44"/>
      <c r="B6" s="46"/>
    </row>
    <row r="7" spans="1:2" ht="15.75" thickBot="1" x14ac:dyDescent="0.3">
      <c r="A7" s="47" t="s">
        <v>257</v>
      </c>
      <c r="B7" s="48" t="s">
        <v>260</v>
      </c>
    </row>
  </sheetData>
  <mergeCells count="1">
    <mergeCell ref="A1:B2"/>
  </mergeCells>
  <hyperlinks>
    <hyperlink ref="B3" r:id="rId1" location="SALES_AGG_CONDI_Assignment!A1" xr:uid="{C234AD14-AED8-4788-9FAB-6ED0D80955FC}"/>
    <hyperlink ref="B5" r:id="rId2" location="Text_Functions_assignment!A1" xr:uid="{432D74A5-3C7A-454C-B1C2-533FD4716F1E}"/>
    <hyperlink ref="B7" r:id="rId3" location="Basic_math_funnctions!A1" xr:uid="{520C6813-B6F7-46E2-824A-526BCD55A3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9138-F606-4A4F-A9D2-DBA4F69A9722}">
  <sheetPr>
    <tabColor theme="5" tint="-0.499984740745262"/>
  </sheetPr>
  <dimension ref="A1:I62"/>
  <sheetViews>
    <sheetView topLeftCell="F1" zoomScale="132" workbookViewId="0">
      <selection activeCell="K13" sqref="K13"/>
    </sheetView>
  </sheetViews>
  <sheetFormatPr defaultColWidth="18" defaultRowHeight="15" x14ac:dyDescent="0.25"/>
  <cols>
    <col min="1" max="1" width="25.42578125" customWidth="1"/>
    <col min="2" max="2" width="25.7109375" customWidth="1"/>
    <col min="5" max="5" width="28.7109375" customWidth="1"/>
  </cols>
  <sheetData>
    <row r="1" spans="1:9" x14ac:dyDescent="0.25">
      <c r="A1" s="49" t="s">
        <v>326</v>
      </c>
      <c r="B1" s="49" t="s">
        <v>325</v>
      </c>
      <c r="D1" s="49" t="s">
        <v>334</v>
      </c>
      <c r="E1" s="49" t="s">
        <v>349</v>
      </c>
      <c r="G1" s="49" t="s">
        <v>364</v>
      </c>
      <c r="H1" s="49" t="s">
        <v>365</v>
      </c>
      <c r="I1" s="49" t="s">
        <v>366</v>
      </c>
    </row>
    <row r="2" spans="1:9" x14ac:dyDescent="0.25">
      <c r="A2" s="121">
        <v>-7</v>
      </c>
      <c r="B2" s="121">
        <f>ABS(A2)</f>
        <v>7</v>
      </c>
      <c r="D2" s="127">
        <v>5613.5436513799996</v>
      </c>
      <c r="E2" s="128">
        <f>TRUNC(D2,5)</f>
        <v>5613.5436499999996</v>
      </c>
      <c r="G2" s="129">
        <v>753</v>
      </c>
      <c r="H2" s="129">
        <v>569</v>
      </c>
      <c r="I2" s="129">
        <f ca="1">RANDBETWEEN(H2,G2)</f>
        <v>747</v>
      </c>
    </row>
    <row r="3" spans="1:9" x14ac:dyDescent="0.25">
      <c r="A3" s="11"/>
      <c r="B3" s="11"/>
      <c r="G3" s="129">
        <v>135</v>
      </c>
      <c r="H3" s="129">
        <v>248</v>
      </c>
      <c r="I3" s="129">
        <f ca="1">RANDBETWEEN(G3,H3)</f>
        <v>159</v>
      </c>
    </row>
    <row r="4" spans="1:9" x14ac:dyDescent="0.25">
      <c r="A4" s="49" t="s">
        <v>327</v>
      </c>
      <c r="B4" s="49" t="s">
        <v>328</v>
      </c>
      <c r="D4" s="49" t="s">
        <v>345</v>
      </c>
      <c r="E4" s="49" t="s">
        <v>346</v>
      </c>
      <c r="G4" s="129">
        <v>1385</v>
      </c>
      <c r="H4" s="129">
        <v>1469224</v>
      </c>
      <c r="I4" s="129">
        <f ca="1">RANDBETWEEN(G4,H4)</f>
        <v>175840</v>
      </c>
    </row>
    <row r="5" spans="1:9" x14ac:dyDescent="0.25">
      <c r="A5" s="120">
        <v>-500</v>
      </c>
      <c r="B5" s="120">
        <f>ABS(A5)</f>
        <v>500</v>
      </c>
      <c r="D5" s="123">
        <v>12.9876</v>
      </c>
      <c r="E5" s="124">
        <f>TRUNC(D5,2)</f>
        <v>12.98</v>
      </c>
      <c r="G5" s="129">
        <v>5746</v>
      </c>
      <c r="H5" s="129">
        <v>2456</v>
      </c>
      <c r="I5" s="129">
        <f t="shared" ref="I5:I7" ca="1" si="0">RANDBETWEEN(H5,G5)</f>
        <v>3264</v>
      </c>
    </row>
    <row r="6" spans="1:9" x14ac:dyDescent="0.25">
      <c r="A6" s="122">
        <v>-700</v>
      </c>
      <c r="B6" s="120">
        <f t="shared" ref="B6:B13" si="1">ABS(A6)</f>
        <v>700</v>
      </c>
      <c r="G6" s="129">
        <v>6446</v>
      </c>
      <c r="H6" s="129">
        <v>258</v>
      </c>
      <c r="I6" s="129">
        <f t="shared" ca="1" si="0"/>
        <v>6000</v>
      </c>
    </row>
    <row r="7" spans="1:9" x14ac:dyDescent="0.25">
      <c r="A7" s="120">
        <v>-900</v>
      </c>
      <c r="B7" s="120">
        <f>ABS(A7)</f>
        <v>900</v>
      </c>
      <c r="D7" s="49" t="s">
        <v>347</v>
      </c>
      <c r="E7" s="49" t="s">
        <v>348</v>
      </c>
      <c r="G7" s="129">
        <v>546563</v>
      </c>
      <c r="H7" s="129">
        <v>25574</v>
      </c>
      <c r="I7" s="129">
        <f t="shared" ca="1" si="0"/>
        <v>86199</v>
      </c>
    </row>
    <row r="8" spans="1:9" x14ac:dyDescent="0.25">
      <c r="A8" s="120">
        <v>400</v>
      </c>
      <c r="B8" s="120">
        <f t="shared" si="1"/>
        <v>400</v>
      </c>
      <c r="D8" s="127">
        <v>456.99900000000002</v>
      </c>
      <c r="E8" s="128">
        <f>TRUNC(D8,2)</f>
        <v>456.99</v>
      </c>
    </row>
    <row r="9" spans="1:9" x14ac:dyDescent="0.25">
      <c r="A9" s="120">
        <v>600</v>
      </c>
      <c r="B9" s="120">
        <f t="shared" si="1"/>
        <v>600</v>
      </c>
    </row>
    <row r="10" spans="1:9" x14ac:dyDescent="0.25">
      <c r="A10" s="120">
        <v>200</v>
      </c>
      <c r="B10" s="120">
        <f t="shared" si="1"/>
        <v>200</v>
      </c>
      <c r="D10" s="35" t="s">
        <v>350</v>
      </c>
      <c r="E10" s="35" t="s">
        <v>351</v>
      </c>
      <c r="G10" s="49" t="s">
        <v>364</v>
      </c>
      <c r="H10" s="49" t="s">
        <v>365</v>
      </c>
      <c r="I10" s="49" t="s">
        <v>366</v>
      </c>
    </row>
    <row r="11" spans="1:9" x14ac:dyDescent="0.25">
      <c r="A11" s="120">
        <v>800</v>
      </c>
      <c r="B11" s="120">
        <f t="shared" si="1"/>
        <v>800</v>
      </c>
      <c r="D11" s="122">
        <v>78.658000000000001</v>
      </c>
      <c r="E11" s="122">
        <f>ROUND(D11,2)</f>
        <v>78.66</v>
      </c>
      <c r="G11" s="129">
        <v>1</v>
      </c>
      <c r="H11" s="129">
        <v>6</v>
      </c>
      <c r="I11" s="129">
        <f ca="1">RANDBETWEEN(G11,H11)</f>
        <v>4</v>
      </c>
    </row>
    <row r="12" spans="1:9" x14ac:dyDescent="0.25">
      <c r="A12" s="120">
        <v>-100</v>
      </c>
      <c r="B12" s="120">
        <f t="shared" si="1"/>
        <v>100</v>
      </c>
    </row>
    <row r="13" spans="1:9" x14ac:dyDescent="0.25">
      <c r="A13" s="120">
        <v>-300</v>
      </c>
      <c r="B13" s="120">
        <f t="shared" si="1"/>
        <v>300</v>
      </c>
      <c r="D13" s="35" t="s">
        <v>350</v>
      </c>
      <c r="E13" s="35" t="s">
        <v>352</v>
      </c>
    </row>
    <row r="14" spans="1:9" x14ac:dyDescent="0.25">
      <c r="D14" s="126">
        <v>56.789400000000001</v>
      </c>
      <c r="E14" s="126">
        <f>ROUND(D14,2)</f>
        <v>56.79</v>
      </c>
      <c r="G14" s="49" t="s">
        <v>364</v>
      </c>
      <c r="H14" s="49" t="s">
        <v>365</v>
      </c>
      <c r="I14" s="49" t="s">
        <v>366</v>
      </c>
    </row>
    <row r="15" spans="1:9" x14ac:dyDescent="0.25">
      <c r="A15" s="49" t="s">
        <v>329</v>
      </c>
      <c r="B15" s="49" t="s">
        <v>330</v>
      </c>
      <c r="G15" s="129">
        <v>1000</v>
      </c>
      <c r="H15" s="129">
        <v>9999</v>
      </c>
      <c r="I15" s="129">
        <f ca="1">RANDBETWEEN(G15,H15)</f>
        <v>3182</v>
      </c>
    </row>
    <row r="16" spans="1:9" x14ac:dyDescent="0.25">
      <c r="A16" s="123">
        <v>242</v>
      </c>
      <c r="B16" s="124">
        <f>SQRT(A16)</f>
        <v>15.556349186104045</v>
      </c>
      <c r="D16" s="35" t="s">
        <v>350</v>
      </c>
      <c r="E16" s="35" t="s">
        <v>353</v>
      </c>
    </row>
    <row r="17" spans="1:5" x14ac:dyDescent="0.25">
      <c r="A17" s="123">
        <v>625</v>
      </c>
      <c r="B17" s="124">
        <f t="shared" ref="B17:B24" si="2">SQRT(A17)</f>
        <v>25</v>
      </c>
      <c r="D17" s="125">
        <v>1987.5</v>
      </c>
      <c r="E17" s="125">
        <f>ROUND(D17,0)</f>
        <v>1988</v>
      </c>
    </row>
    <row r="18" spans="1:5" x14ac:dyDescent="0.25">
      <c r="A18" s="123">
        <v>753</v>
      </c>
      <c r="B18" s="124">
        <f t="shared" si="2"/>
        <v>27.440845468024488</v>
      </c>
    </row>
    <row r="19" spans="1:5" x14ac:dyDescent="0.25">
      <c r="A19" s="123">
        <v>856</v>
      </c>
      <c r="B19" s="124">
        <f t="shared" si="2"/>
        <v>29.257477676655586</v>
      </c>
      <c r="D19" s="35" t="s">
        <v>350</v>
      </c>
      <c r="E19" s="35" t="s">
        <v>354</v>
      </c>
    </row>
    <row r="20" spans="1:5" x14ac:dyDescent="0.25">
      <c r="A20" s="123">
        <v>156</v>
      </c>
      <c r="B20" s="124">
        <f>SQRT(A20)</f>
        <v>12.489995996796797</v>
      </c>
      <c r="D20" s="122">
        <v>76.747</v>
      </c>
      <c r="E20" s="122">
        <f>ROUNDUP(D20,2)</f>
        <v>76.75</v>
      </c>
    </row>
    <row r="21" spans="1:5" x14ac:dyDescent="0.25">
      <c r="A21" s="123">
        <v>48</v>
      </c>
      <c r="B21" s="124">
        <f t="shared" si="2"/>
        <v>6.9282032302755088</v>
      </c>
      <c r="D21" s="122">
        <v>68.742999999999995</v>
      </c>
      <c r="E21" s="122">
        <f>ROUNDUP(D21,3)</f>
        <v>68.742999999999995</v>
      </c>
    </row>
    <row r="22" spans="1:5" x14ac:dyDescent="0.25">
      <c r="A22" s="123">
        <v>49</v>
      </c>
      <c r="B22" s="124">
        <f t="shared" si="2"/>
        <v>7</v>
      </c>
    </row>
    <row r="23" spans="1:5" x14ac:dyDescent="0.25">
      <c r="A23" s="123">
        <v>81</v>
      </c>
      <c r="B23" s="124">
        <f t="shared" si="2"/>
        <v>9</v>
      </c>
      <c r="D23" s="49" t="s">
        <v>350</v>
      </c>
      <c r="E23" s="49" t="s">
        <v>355</v>
      </c>
    </row>
    <row r="24" spans="1:5" x14ac:dyDescent="0.25">
      <c r="A24" s="123">
        <v>999</v>
      </c>
      <c r="B24" s="124">
        <f t="shared" si="2"/>
        <v>31.606961258558215</v>
      </c>
      <c r="D24" s="127">
        <v>5.1230000000000002</v>
      </c>
      <c r="E24" s="128">
        <f>ROUNDUP(D24,1)</f>
        <v>5.1999999999999993</v>
      </c>
    </row>
    <row r="26" spans="1:5" x14ac:dyDescent="0.25">
      <c r="A26" s="49" t="s">
        <v>329</v>
      </c>
      <c r="B26" s="49" t="s">
        <v>330</v>
      </c>
      <c r="D26" s="49" t="s">
        <v>356</v>
      </c>
      <c r="E26" s="49" t="s">
        <v>357</v>
      </c>
    </row>
    <row r="27" spans="1:5" x14ac:dyDescent="0.25">
      <c r="A27" s="123">
        <v>625</v>
      </c>
      <c r="B27" s="124">
        <f>SQRT(A27)</f>
        <v>25</v>
      </c>
      <c r="D27" s="123">
        <v>7.2</v>
      </c>
      <c r="E27" s="124">
        <f>ROUNDUP(D27,0)</f>
        <v>8</v>
      </c>
    </row>
    <row r="29" spans="1:5" x14ac:dyDescent="0.25">
      <c r="A29" s="35" t="s">
        <v>332</v>
      </c>
      <c r="B29" s="35" t="s">
        <v>331</v>
      </c>
      <c r="D29" s="35" t="s">
        <v>350</v>
      </c>
      <c r="E29" s="35" t="s">
        <v>358</v>
      </c>
    </row>
    <row r="30" spans="1:5" x14ac:dyDescent="0.25">
      <c r="A30" s="122" t="s">
        <v>333</v>
      </c>
      <c r="B30" s="122">
        <f>SQRT(314/PI())</f>
        <v>9.9974648917468212</v>
      </c>
      <c r="D30" s="122">
        <v>76.52</v>
      </c>
      <c r="E30" s="122">
        <f>ROUNDDOWN(D30,1)</f>
        <v>76.5</v>
      </c>
    </row>
    <row r="31" spans="1:5" x14ac:dyDescent="0.25">
      <c r="D31" s="122">
        <v>64</v>
      </c>
      <c r="E31" s="122">
        <f>ROUNDDOWN(D31,0)</f>
        <v>64</v>
      </c>
    </row>
    <row r="32" spans="1:5" x14ac:dyDescent="0.25">
      <c r="A32" s="35" t="s">
        <v>334</v>
      </c>
      <c r="B32" s="35" t="s">
        <v>335</v>
      </c>
    </row>
    <row r="33" spans="1:5" x14ac:dyDescent="0.25">
      <c r="A33" s="125">
        <v>4</v>
      </c>
      <c r="B33" s="125">
        <f>POWER(A33,3)</f>
        <v>64</v>
      </c>
      <c r="D33" s="35" t="s">
        <v>350</v>
      </c>
      <c r="E33" s="35" t="s">
        <v>358</v>
      </c>
    </row>
    <row r="34" spans="1:5" x14ac:dyDescent="0.25">
      <c r="D34" s="127">
        <v>58.975999999999999</v>
      </c>
      <c r="E34" s="128">
        <f>ROUNDDOWN(D34,1)</f>
        <v>58.9</v>
      </c>
    </row>
    <row r="35" spans="1:5" x14ac:dyDescent="0.25">
      <c r="A35" s="35" t="s">
        <v>334</v>
      </c>
      <c r="B35" s="35" t="s">
        <v>337</v>
      </c>
    </row>
    <row r="36" spans="1:5" x14ac:dyDescent="0.25">
      <c r="A36" s="126">
        <v>3</v>
      </c>
      <c r="B36" s="126">
        <f>POWER(A36,5)</f>
        <v>243</v>
      </c>
      <c r="D36" s="35" t="s">
        <v>359</v>
      </c>
      <c r="E36" s="35" t="s">
        <v>360</v>
      </c>
    </row>
    <row r="37" spans="1:5" x14ac:dyDescent="0.25">
      <c r="D37" s="125">
        <v>92.98</v>
      </c>
      <c r="E37" s="125">
        <f>ROUNDDOWN(D37,0)</f>
        <v>92</v>
      </c>
    </row>
    <row r="38" spans="1:5" x14ac:dyDescent="0.25">
      <c r="A38" s="35" t="s">
        <v>336</v>
      </c>
      <c r="B38" s="35" t="s">
        <v>338</v>
      </c>
    </row>
    <row r="39" spans="1:5" x14ac:dyDescent="0.25">
      <c r="A39" s="124">
        <v>6</v>
      </c>
      <c r="B39" s="124">
        <f>POWER(A39,3)</f>
        <v>216</v>
      </c>
      <c r="D39" s="135" t="s">
        <v>361</v>
      </c>
      <c r="E39" s="135"/>
    </row>
    <row r="40" spans="1:5" x14ac:dyDescent="0.25">
      <c r="D40" s="136">
        <f ca="1">RAND()</f>
        <v>0.89620612957243107</v>
      </c>
      <c r="E40" s="136"/>
    </row>
    <row r="41" spans="1:5" x14ac:dyDescent="0.25">
      <c r="A41" s="35" t="s">
        <v>339</v>
      </c>
      <c r="B41" s="35" t="s">
        <v>340</v>
      </c>
      <c r="D41" s="136">
        <f t="shared" ref="D41:D45" ca="1" si="3">RAND()</f>
        <v>0.24410467657076429</v>
      </c>
      <c r="E41" s="136"/>
    </row>
    <row r="42" spans="1:5" x14ac:dyDescent="0.25">
      <c r="A42" s="122">
        <v>76.760000000000005</v>
      </c>
      <c r="B42" s="122">
        <f>INT(A42)</f>
        <v>76</v>
      </c>
      <c r="D42" s="136">
        <f t="shared" ca="1" si="3"/>
        <v>0.92166225461834572</v>
      </c>
      <c r="E42" s="136"/>
    </row>
    <row r="43" spans="1:5" x14ac:dyDescent="0.25">
      <c r="D43" s="136">
        <f t="shared" ca="1" si="3"/>
        <v>0.55165947557042971</v>
      </c>
      <c r="E43" s="136"/>
    </row>
    <row r="44" spans="1:5" x14ac:dyDescent="0.25">
      <c r="A44" s="35" t="s">
        <v>341</v>
      </c>
      <c r="B44" s="35" t="s">
        <v>342</v>
      </c>
      <c r="D44" s="136">
        <f t="shared" ca="1" si="3"/>
        <v>0.69448667413198484</v>
      </c>
      <c r="E44" s="136"/>
    </row>
    <row r="45" spans="1:5" x14ac:dyDescent="0.25">
      <c r="A45" s="125">
        <v>45.89</v>
      </c>
      <c r="B45" s="125">
        <f>INT(A45)</f>
        <v>45</v>
      </c>
      <c r="D45" s="136">
        <f t="shared" ca="1" si="3"/>
        <v>0.27461562398627748</v>
      </c>
      <c r="E45" s="136"/>
    </row>
    <row r="47" spans="1:5" x14ac:dyDescent="0.25">
      <c r="A47" s="35" t="s">
        <v>343</v>
      </c>
      <c r="B47" s="35" t="s">
        <v>344</v>
      </c>
      <c r="D47" s="137" t="s">
        <v>362</v>
      </c>
      <c r="E47" s="137"/>
    </row>
    <row r="48" spans="1:5" x14ac:dyDescent="0.25">
      <c r="A48" s="124">
        <v>76.125</v>
      </c>
      <c r="B48" s="124">
        <f>INT(A48)</f>
        <v>76</v>
      </c>
      <c r="D48" s="134">
        <f ca="1">RAND()/100</f>
        <v>8.6829645976143413E-3</v>
      </c>
      <c r="E48" s="134"/>
    </row>
    <row r="49" spans="1:5" x14ac:dyDescent="0.25">
      <c r="A49" s="124">
        <v>56.967500000000001</v>
      </c>
      <c r="B49" s="124">
        <f t="shared" ref="B49:B57" si="4">INT(A49)</f>
        <v>56</v>
      </c>
      <c r="D49" s="134">
        <f t="shared" ref="D49:D53" ca="1" si="5">RAND()/100</f>
        <v>4.8044084420447841E-3</v>
      </c>
      <c r="E49" s="134"/>
    </row>
    <row r="50" spans="1:5" x14ac:dyDescent="0.25">
      <c r="A50" s="124">
        <v>99.995000000000005</v>
      </c>
      <c r="B50" s="124">
        <f t="shared" si="4"/>
        <v>99</v>
      </c>
      <c r="D50" s="134">
        <f t="shared" ca="1" si="5"/>
        <v>2.3086289843215735E-3</v>
      </c>
      <c r="E50" s="134"/>
    </row>
    <row r="51" spans="1:5" x14ac:dyDescent="0.25">
      <c r="A51" s="124">
        <v>513.75699999999995</v>
      </c>
      <c r="B51" s="124">
        <f t="shared" si="4"/>
        <v>513</v>
      </c>
      <c r="D51" s="134">
        <f t="shared" ca="1" si="5"/>
        <v>7.0676417843931463E-3</v>
      </c>
      <c r="E51" s="134"/>
    </row>
    <row r="52" spans="1:5" x14ac:dyDescent="0.25">
      <c r="A52" s="124">
        <v>823.26400000000001</v>
      </c>
      <c r="B52" s="124">
        <f t="shared" si="4"/>
        <v>823</v>
      </c>
      <c r="D52" s="134">
        <f t="shared" ca="1" si="5"/>
        <v>4.6765671146995931E-3</v>
      </c>
      <c r="E52" s="134"/>
    </row>
    <row r="53" spans="1:5" x14ac:dyDescent="0.25">
      <c r="A53" s="124">
        <v>46.23</v>
      </c>
      <c r="B53" s="124">
        <f t="shared" si="4"/>
        <v>46</v>
      </c>
      <c r="D53" s="134">
        <f t="shared" ca="1" si="5"/>
        <v>4.4818057775446599E-3</v>
      </c>
      <c r="E53" s="134"/>
    </row>
    <row r="54" spans="1:5" x14ac:dyDescent="0.25">
      <c r="A54" s="124">
        <v>44</v>
      </c>
      <c r="B54" s="124">
        <f t="shared" si="4"/>
        <v>44</v>
      </c>
    </row>
    <row r="55" spans="1:5" x14ac:dyDescent="0.25">
      <c r="A55" s="124">
        <v>658</v>
      </c>
      <c r="B55" s="124">
        <f t="shared" si="4"/>
        <v>658</v>
      </c>
    </row>
    <row r="56" spans="1:5" x14ac:dyDescent="0.25">
      <c r="A56" s="124">
        <v>135.87561122655001</v>
      </c>
      <c r="B56" s="124">
        <f t="shared" si="4"/>
        <v>135</v>
      </c>
      <c r="D56" s="138" t="s">
        <v>363</v>
      </c>
      <c r="E56" s="138"/>
    </row>
    <row r="57" spans="1:5" x14ac:dyDescent="0.25">
      <c r="A57" s="124">
        <v>2364.8649999999998</v>
      </c>
      <c r="B57" s="124">
        <f t="shared" si="4"/>
        <v>2364</v>
      </c>
      <c r="D57" s="136">
        <f ca="1">RAND()*100</f>
        <v>63.822043771953261</v>
      </c>
      <c r="E57" s="136"/>
    </row>
    <row r="58" spans="1:5" x14ac:dyDescent="0.25">
      <c r="D58" s="136">
        <f t="shared" ref="D58:D62" ca="1" si="6">RAND()*100</f>
        <v>1.5217409465220544</v>
      </c>
      <c r="E58" s="136"/>
    </row>
    <row r="59" spans="1:5" x14ac:dyDescent="0.25">
      <c r="D59" s="136">
        <f t="shared" ca="1" si="6"/>
        <v>80.417623268622648</v>
      </c>
      <c r="E59" s="136"/>
    </row>
    <row r="60" spans="1:5" x14ac:dyDescent="0.25">
      <c r="D60" s="136">
        <f t="shared" ca="1" si="6"/>
        <v>20.463465857572473</v>
      </c>
      <c r="E60" s="136"/>
    </row>
    <row r="61" spans="1:5" x14ac:dyDescent="0.25">
      <c r="D61" s="136">
        <f t="shared" ca="1" si="6"/>
        <v>99.066859694734219</v>
      </c>
      <c r="E61" s="136"/>
    </row>
    <row r="62" spans="1:5" x14ac:dyDescent="0.25">
      <c r="D62" s="136">
        <f t="shared" ca="1" si="6"/>
        <v>23.070374039508433</v>
      </c>
      <c r="E62" s="136"/>
    </row>
  </sheetData>
  <mergeCells count="21">
    <mergeCell ref="D60:E60"/>
    <mergeCell ref="D61:E61"/>
    <mergeCell ref="D62:E62"/>
    <mergeCell ref="D52:E52"/>
    <mergeCell ref="D53:E53"/>
    <mergeCell ref="D56:E56"/>
    <mergeCell ref="D57:E57"/>
    <mergeCell ref="D58:E58"/>
    <mergeCell ref="D59:E59"/>
    <mergeCell ref="D51:E51"/>
    <mergeCell ref="D39:E39"/>
    <mergeCell ref="D40:E40"/>
    <mergeCell ref="D41:E41"/>
    <mergeCell ref="D42:E42"/>
    <mergeCell ref="D43:E43"/>
    <mergeCell ref="D44:E44"/>
    <mergeCell ref="D45:E45"/>
    <mergeCell ref="D47:E47"/>
    <mergeCell ref="D48:E48"/>
    <mergeCell ref="D49:E49"/>
    <mergeCell ref="D50:E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FC86-F97D-449E-9D4C-68AECB4B7354}">
  <sheetPr>
    <tabColor rgb="FF7030A0"/>
  </sheetPr>
  <dimension ref="A1:AG161"/>
  <sheetViews>
    <sheetView topLeftCell="H1" zoomScale="66" zoomScaleNormal="112" workbookViewId="0">
      <selection activeCell="L15" sqref="L15"/>
    </sheetView>
  </sheetViews>
  <sheetFormatPr defaultRowHeight="15" x14ac:dyDescent="0.25"/>
  <cols>
    <col min="1" max="1" width="9.28515625" bestFit="1" customWidth="1"/>
    <col min="2" max="2" width="16.5703125" bestFit="1" customWidth="1"/>
    <col min="3" max="3" width="16.28515625" bestFit="1" customWidth="1"/>
    <col min="4" max="4" width="18.5703125" bestFit="1" customWidth="1"/>
    <col min="5" max="5" width="12.5703125" style="2" bestFit="1" customWidth="1"/>
    <col min="6" max="6" width="18.140625" bestFit="1" customWidth="1"/>
    <col min="7" max="7" width="25.5703125" customWidth="1"/>
    <col min="8" max="8" width="33.7109375" customWidth="1"/>
    <col min="9" max="9" width="20" customWidth="1"/>
    <col min="10" max="10" width="21" style="2" customWidth="1"/>
    <col min="11" max="11" width="29" bestFit="1" customWidth="1"/>
    <col min="12" max="12" width="22.7109375" customWidth="1"/>
    <col min="13" max="13" width="72.140625" customWidth="1"/>
    <col min="14" max="14" width="29" customWidth="1"/>
    <col min="15" max="15" width="87.42578125" customWidth="1"/>
    <col min="16" max="16" width="29" customWidth="1"/>
    <col min="21" max="21" width="25.5703125" customWidth="1"/>
    <col min="25" max="25" width="17.85546875" customWidth="1"/>
    <col min="26" max="26" width="75.140625" customWidth="1"/>
    <col min="28" max="28" width="20.85546875" customWidth="1"/>
    <col min="29" max="29" width="66.28515625" customWidth="1"/>
    <col min="32" max="32" width="21.140625" customWidth="1"/>
    <col min="33" max="33" width="52.42578125" customWidth="1"/>
  </cols>
  <sheetData>
    <row r="1" spans="1:33" ht="15.75" thickBot="1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224</v>
      </c>
      <c r="K1" t="s">
        <v>225</v>
      </c>
    </row>
    <row r="2" spans="1:33" ht="16.5" thickBot="1" x14ac:dyDescent="0.3">
      <c r="A2" t="s">
        <v>9</v>
      </c>
      <c r="B2" t="s">
        <v>10</v>
      </c>
      <c r="C2" t="s">
        <v>11</v>
      </c>
      <c r="D2" t="s">
        <v>12</v>
      </c>
      <c r="E2">
        <v>5</v>
      </c>
      <c r="F2">
        <v>62011</v>
      </c>
      <c r="G2" t="s">
        <v>13</v>
      </c>
      <c r="H2" t="s">
        <v>14</v>
      </c>
      <c r="I2" s="1">
        <v>45667</v>
      </c>
      <c r="J2" s="2">
        <f>SUM(TBL_SALES[[#This Row],[QUANTITY]]*TBL_SALES[[#This Row],[PRICE_PER_UNIT]])</f>
        <v>310055</v>
      </c>
      <c r="K2">
        <f>SUMIF(TBL_SALES[BRAND_NAME],TBL_SALES[[#This Row],[BRAND_NAME]],TBL_SALES[SALES_AMOUNT])</f>
        <v>3447703</v>
      </c>
      <c r="Q2" s="139" t="s">
        <v>226</v>
      </c>
      <c r="R2" s="139"/>
      <c r="S2" s="139"/>
      <c r="T2" s="139"/>
      <c r="U2" s="139"/>
      <c r="Y2" s="19" t="s">
        <v>243</v>
      </c>
      <c r="Z2" s="20" t="s">
        <v>244</v>
      </c>
      <c r="AB2" s="19" t="s">
        <v>243</v>
      </c>
      <c r="AC2" s="34" t="s">
        <v>246</v>
      </c>
      <c r="AF2" s="35" t="s">
        <v>250</v>
      </c>
      <c r="AG2" s="35" t="s">
        <v>251</v>
      </c>
    </row>
    <row r="3" spans="1:33" ht="15.75" customHeight="1" thickBot="1" x14ac:dyDescent="0.3">
      <c r="A3" t="s">
        <v>15</v>
      </c>
      <c r="B3" t="s">
        <v>10</v>
      </c>
      <c r="C3" t="s">
        <v>11</v>
      </c>
      <c r="D3" t="s">
        <v>16</v>
      </c>
      <c r="E3">
        <v>3</v>
      </c>
      <c r="F3">
        <v>98041</v>
      </c>
      <c r="G3" t="s">
        <v>17</v>
      </c>
      <c r="H3" t="s">
        <v>18</v>
      </c>
      <c r="I3" s="1">
        <v>45697</v>
      </c>
      <c r="J3" s="2">
        <f>SUM(TBL_SALES[[#This Row],[QUANTITY]]*TBL_SALES[[#This Row],[PRICE_PER_UNIT]])</f>
        <v>294123</v>
      </c>
      <c r="K3">
        <f>SUMIF(TBL_SALES[BRAND_NAME],TBL_SALES[[#This Row],[BRAND_NAME]],TBL_SALES[SALES_AMOUNT])</f>
        <v>3447703</v>
      </c>
      <c r="Q3" s="140">
        <f>SUMIFS(E:E,B:B,B2,H:H,TBL_SALES[[#This Row],[STATE]])</f>
        <v>103</v>
      </c>
      <c r="R3" s="140"/>
      <c r="S3" s="140"/>
      <c r="T3" s="140"/>
      <c r="U3" s="140"/>
      <c r="Y3" s="22" t="s">
        <v>11</v>
      </c>
      <c r="Z3" s="26">
        <f>_xlfn.MAXIFS(TBL_SALES[PRICE_PER_UNIT],TBL_SALES[PRODUCT_CTG],"Laptop",TBL_SALES[BRAND_NAME],Y3,TBL_SALES[STATE],"Tamil Nadu")</f>
        <v>98041</v>
      </c>
      <c r="AB3" s="28" t="s">
        <v>11</v>
      </c>
      <c r="AC3" s="33">
        <f>_xlfn.MAXIFS(TBL_SALES[PRICE_PER_UNIT],TBL_SALES[BRAND_NAME],AB3,TBL_SALES[PRODUCT_CTG],"Laptop",TBL_SALES[STATE],"Andhra Pradesh")</f>
        <v>79084</v>
      </c>
      <c r="AF3" s="36" t="s">
        <v>13</v>
      </c>
      <c r="AG3" s="36">
        <f>SUMIFS(TBL_SALES[QUANTITY],TBL_SALES[CITY],AF3)</f>
        <v>34</v>
      </c>
    </row>
    <row r="4" spans="1:33" ht="15.75" thickBot="1" x14ac:dyDescent="0.3">
      <c r="A4" t="s">
        <v>19</v>
      </c>
      <c r="B4" t="s">
        <v>10</v>
      </c>
      <c r="C4" t="s">
        <v>20</v>
      </c>
      <c r="D4" t="s">
        <v>21</v>
      </c>
      <c r="E4">
        <v>1</v>
      </c>
      <c r="F4">
        <v>88403</v>
      </c>
      <c r="G4" t="s">
        <v>17</v>
      </c>
      <c r="H4" t="s">
        <v>18</v>
      </c>
      <c r="I4" s="1">
        <v>45428</v>
      </c>
      <c r="J4" s="2">
        <f>SUM(TBL_SALES[[#This Row],[QUANTITY]]*TBL_SALES[[#This Row],[PRICE_PER_UNIT]])</f>
        <v>88403</v>
      </c>
      <c r="K4">
        <f>SUMIF(TBL_SALES[BRAND_NAME],TBL_SALES[[#This Row],[BRAND_NAME]],TBL_SALES[SALES_AMOUNT])</f>
        <v>5071935</v>
      </c>
      <c r="M4" s="12" t="s">
        <v>245</v>
      </c>
      <c r="Q4" s="140"/>
      <c r="R4" s="140"/>
      <c r="S4" s="140"/>
      <c r="T4" s="140"/>
      <c r="U4" s="140"/>
      <c r="Y4" s="23" t="s">
        <v>20</v>
      </c>
      <c r="Z4" s="26">
        <f>_xlfn.MAXIFS(TBL_SALES[PRICE_PER_UNIT],TBL_SALES[PRODUCT_CTG],"Laptop",TBL_SALES[BRAND_NAME],Y4,TBL_SALES[STATE],"Tamil Nadu")</f>
        <v>113267</v>
      </c>
      <c r="AB4" s="29" t="s">
        <v>20</v>
      </c>
      <c r="AC4" s="33">
        <f>_xlfn.MAXIFS(TBL_SALES[PRICE_PER_UNIT],TBL_SALES[BRAND_NAME],AB4,TBL_SALES[PRODUCT_CTG],"Laptop",TBL_SALES[STATE],"Andhra Pradesh")</f>
        <v>116551</v>
      </c>
      <c r="AF4" s="36" t="s">
        <v>17</v>
      </c>
      <c r="AG4" s="36">
        <f>SUMIFS(TBL_SALES[QUANTITY],TBL_SALES[CITY],AF4)</f>
        <v>63</v>
      </c>
    </row>
    <row r="5" spans="1:33" ht="15.75" thickBot="1" x14ac:dyDescent="0.3">
      <c r="A5" t="s">
        <v>22</v>
      </c>
      <c r="B5" t="s">
        <v>10</v>
      </c>
      <c r="C5" t="s">
        <v>23</v>
      </c>
      <c r="D5" t="s">
        <v>24</v>
      </c>
      <c r="E5">
        <v>3</v>
      </c>
      <c r="F5">
        <v>96072</v>
      </c>
      <c r="G5" t="s">
        <v>13</v>
      </c>
      <c r="H5" t="s">
        <v>14</v>
      </c>
      <c r="I5" s="1">
        <v>45302</v>
      </c>
      <c r="J5" s="2">
        <f>SUM(TBL_SALES[[#This Row],[QUANTITY]]*TBL_SALES[[#This Row],[PRICE_PER_UNIT]])</f>
        <v>288216</v>
      </c>
      <c r="K5">
        <f>SUMIF(TBL_SALES[BRAND_NAME],TBL_SALES[[#This Row],[BRAND_NAME]],TBL_SALES[SALES_AMOUNT])</f>
        <v>2939163</v>
      </c>
      <c r="M5" s="27">
        <f>_xlfn.MINIFS(TBL_SALES[QUANTITY],TBL_SALES[PRODUCT_CTG],"Laptop",TBL_SALES[BRAND_NAME],"HP",TBL_SALES[STATE],"Karnataka")</f>
        <v>1</v>
      </c>
      <c r="Q5" s="140"/>
      <c r="R5" s="140"/>
      <c r="S5" s="140"/>
      <c r="T5" s="140"/>
      <c r="U5" s="140"/>
      <c r="Y5" s="24" t="s">
        <v>23</v>
      </c>
      <c r="Z5" s="26">
        <f>_xlfn.MAXIFS(TBL_SALES[PRICE_PER_UNIT],TBL_SALES[PRODUCT_CTG],"Laptop",TBL_SALES[BRAND_NAME],Y5,TBL_SALES[STATE],"Tamil Nadu")</f>
        <v>69461</v>
      </c>
      <c r="AB5" s="30" t="s">
        <v>23</v>
      </c>
      <c r="AC5" s="33">
        <f>_xlfn.MAXIFS(TBL_SALES[PRICE_PER_UNIT],TBL_SALES[BRAND_NAME],AB5,TBL_SALES[PRODUCT_CTG],"Laptop",TBL_SALES[STATE],"Andhra Pradesh")</f>
        <v>100493</v>
      </c>
      <c r="AF5" s="36" t="s">
        <v>27</v>
      </c>
      <c r="AG5" s="36">
        <f>SUMIFS(TBL_SALES[QUANTITY],TBL_SALES[CITY],AF5)</f>
        <v>47</v>
      </c>
    </row>
    <row r="6" spans="1:33" ht="15.75" thickBot="1" x14ac:dyDescent="0.3">
      <c r="A6" t="s">
        <v>25</v>
      </c>
      <c r="B6" t="s">
        <v>10</v>
      </c>
      <c r="C6" t="s">
        <v>20</v>
      </c>
      <c r="D6" t="s">
        <v>26</v>
      </c>
      <c r="E6">
        <v>2</v>
      </c>
      <c r="F6">
        <v>100311</v>
      </c>
      <c r="G6" t="s">
        <v>27</v>
      </c>
      <c r="H6" t="s">
        <v>28</v>
      </c>
      <c r="I6" s="1">
        <v>45781</v>
      </c>
      <c r="J6" s="2">
        <f>SUM(TBL_SALES[[#This Row],[QUANTITY]]*TBL_SALES[[#This Row],[PRICE_PER_UNIT]])</f>
        <v>200622</v>
      </c>
      <c r="K6">
        <f>SUMIF(TBL_SALES[BRAND_NAME],TBL_SALES[[#This Row],[BRAND_NAME]],TBL_SALES[SALES_AMOUNT])</f>
        <v>5071935</v>
      </c>
      <c r="Y6" s="24" t="s">
        <v>30</v>
      </c>
      <c r="Z6" s="26">
        <f>_xlfn.MAXIFS(TBL_SALES[PRICE_PER_UNIT],TBL_SALES[PRODUCT_CTG],"Laptop",TBL_SALES[BRAND_NAME],Y6,TBL_SALES[STATE],"Tamil Nadu")</f>
        <v>92592</v>
      </c>
      <c r="AB6" s="30" t="s">
        <v>30</v>
      </c>
      <c r="AC6" s="33">
        <f>_xlfn.MAXIFS(TBL_SALES[PRICE_PER_UNIT],TBL_SALES[BRAND_NAME],AB6,TBL_SALES[PRODUCT_CTG],"Laptop",TBL_SALES[STATE],"Andhra Pradesh")</f>
        <v>114507</v>
      </c>
      <c r="AF6" s="36" t="s">
        <v>33</v>
      </c>
      <c r="AG6" s="36">
        <f>SUMIFS(TBL_SALES[QUANTITY],TBL_SALES[CITY],AF6)</f>
        <v>73</v>
      </c>
    </row>
    <row r="7" spans="1:33" ht="15.75" thickBot="1" x14ac:dyDescent="0.3">
      <c r="A7" t="s">
        <v>29</v>
      </c>
      <c r="B7" t="s">
        <v>10</v>
      </c>
      <c r="C7" t="s">
        <v>30</v>
      </c>
      <c r="D7" t="s">
        <v>31</v>
      </c>
      <c r="E7">
        <v>4</v>
      </c>
      <c r="F7">
        <v>87672</v>
      </c>
      <c r="G7" t="s">
        <v>17</v>
      </c>
      <c r="H7" t="s">
        <v>18</v>
      </c>
      <c r="I7" s="1">
        <v>45655</v>
      </c>
      <c r="J7" s="2">
        <f>SUM(TBL_SALES[[#This Row],[QUANTITY]]*TBL_SALES[[#This Row],[PRICE_PER_UNIT]])</f>
        <v>350688</v>
      </c>
      <c r="K7">
        <f>SUMIF(TBL_SALES[BRAND_NAME],TBL_SALES[[#This Row],[BRAND_NAME]],TBL_SALES[SALES_AMOUNT])</f>
        <v>6392331</v>
      </c>
      <c r="Y7" s="24" t="s">
        <v>41</v>
      </c>
      <c r="Z7" s="26">
        <f>_xlfn.MAXIFS(TBL_SALES[PRICE_PER_UNIT],TBL_SALES[PRODUCT_CTG],"Laptop",TBL_SALES[BRAND_NAME],Y7,TBL_SALES[STATE],"Tamil Nadu")</f>
        <v>113879</v>
      </c>
      <c r="AB7" s="30" t="s">
        <v>41</v>
      </c>
      <c r="AC7" s="33">
        <f>_xlfn.MAXIFS(TBL_SALES[PRICE_PER_UNIT],TBL_SALES[BRAND_NAME],AB7,TBL_SALES[PRODUCT_CTG],"Laptop",TBL_SALES[STATE],"Andhra Pradesh")</f>
        <v>119589</v>
      </c>
      <c r="AF7" s="36" t="s">
        <v>35</v>
      </c>
      <c r="AG7" s="36">
        <f>SUMIFS(TBL_SALES[QUANTITY],TBL_SALES[CITY],AF7)</f>
        <v>34</v>
      </c>
    </row>
    <row r="8" spans="1:33" ht="15.75" thickBot="1" x14ac:dyDescent="0.3">
      <c r="A8" t="s">
        <v>32</v>
      </c>
      <c r="B8" t="s">
        <v>10</v>
      </c>
      <c r="C8" t="s">
        <v>20</v>
      </c>
      <c r="D8" t="s">
        <v>26</v>
      </c>
      <c r="E8">
        <v>4</v>
      </c>
      <c r="F8">
        <v>84444</v>
      </c>
      <c r="G8" t="s">
        <v>33</v>
      </c>
      <c r="H8" t="s">
        <v>18</v>
      </c>
      <c r="I8" s="1">
        <v>45306</v>
      </c>
      <c r="J8" s="2">
        <f>SUM(TBL_SALES[[#This Row],[QUANTITY]]*TBL_SALES[[#This Row],[PRICE_PER_UNIT]])</f>
        <v>337776</v>
      </c>
      <c r="K8">
        <f>SUMIF(TBL_SALES[BRAND_NAME],TBL_SALES[[#This Row],[BRAND_NAME]],TBL_SALES[SALES_AMOUNT])</f>
        <v>5071935</v>
      </c>
      <c r="O8" s="5"/>
      <c r="Q8" s="139" t="s">
        <v>227</v>
      </c>
      <c r="R8" s="139"/>
      <c r="S8" s="139"/>
      <c r="T8" s="139"/>
      <c r="U8" s="139"/>
      <c r="Y8" s="23" t="s">
        <v>47</v>
      </c>
      <c r="Z8" s="26">
        <f>_xlfn.MAXIFS(TBL_SALES[PRICE_PER_UNIT],TBL_SALES[PRODUCT_CTG],"Laptop",TBL_SALES[BRAND_NAME],Y8,TBL_SALES[STATE],"Tamil Nadu")</f>
        <v>105811</v>
      </c>
      <c r="AB8" s="29" t="s">
        <v>47</v>
      </c>
      <c r="AC8" s="33">
        <f>_xlfn.MAXIFS(TBL_SALES[PRICE_PER_UNIT],TBL_SALES[BRAND_NAME],AB8,TBL_SALES[PRODUCT_CTG],"Laptop",TBL_SALES[STATE],"Andhra Pradesh")</f>
        <v>103163</v>
      </c>
      <c r="AF8" s="36" t="s">
        <v>39</v>
      </c>
      <c r="AG8" s="36">
        <f>SUMIFS(TBL_SALES[QUANTITY],TBL_SALES[CITY],AF8)</f>
        <v>23</v>
      </c>
    </row>
    <row r="9" spans="1:33" ht="15.75" thickBot="1" x14ac:dyDescent="0.3">
      <c r="A9" t="s">
        <v>34</v>
      </c>
      <c r="B9" t="s">
        <v>10</v>
      </c>
      <c r="C9" t="s">
        <v>20</v>
      </c>
      <c r="D9" t="s">
        <v>26</v>
      </c>
      <c r="E9">
        <v>4</v>
      </c>
      <c r="F9">
        <v>96499</v>
      </c>
      <c r="G9" t="s">
        <v>35</v>
      </c>
      <c r="H9" t="s">
        <v>36</v>
      </c>
      <c r="I9" s="1">
        <v>45926</v>
      </c>
      <c r="J9" s="2">
        <f>SUM(TBL_SALES[[#This Row],[QUANTITY]]*TBL_SALES[[#This Row],[PRICE_PER_UNIT]])</f>
        <v>385996</v>
      </c>
      <c r="K9">
        <f>SUMIF(TBL_SALES[BRAND_NAME],TBL_SALES[[#This Row],[BRAND_NAME]],TBL_SALES[SALES_AMOUNT])</f>
        <v>5071935</v>
      </c>
      <c r="Q9" s="140">
        <f>SUMIFS(E:E,B:B,B102,H:H,H5)</f>
        <v>50</v>
      </c>
      <c r="R9" s="140"/>
      <c r="S9" s="140"/>
      <c r="T9" s="140"/>
      <c r="U9" s="140"/>
      <c r="Y9" s="23" t="s">
        <v>145</v>
      </c>
      <c r="Z9" s="26">
        <f>_xlfn.MAXIFS(TBL_SALES[PRICE_PER_UNIT],TBL_SALES[PRODUCT_CTG],"smartphone",TBL_SALES[BRAND_NAME],Y9,TBL_SALES[STATE],"Tamil Nadu")</f>
        <v>67121</v>
      </c>
      <c r="AB9" s="29" t="s">
        <v>145</v>
      </c>
      <c r="AC9" s="33">
        <f>_xlfn.MAXIFS(TBL_SALES[PRICE_PER_UNIT],TBL_SALES[BRAND_NAME],AB9,TBL_SALES[PRODUCT_CTG],"Smartphone",TBL_SALES[STATE],"Andhra Pradesh")</f>
        <v>0</v>
      </c>
      <c r="AF9" s="36" t="s">
        <v>43</v>
      </c>
      <c r="AG9" s="36">
        <f>SUMIFS(TBL_SALES[QUANTITY],TBL_SALES[CITY],AF9)</f>
        <v>56</v>
      </c>
    </row>
    <row r="10" spans="1:33" ht="15.75" thickBot="1" x14ac:dyDescent="0.3">
      <c r="A10" t="s">
        <v>37</v>
      </c>
      <c r="B10" t="s">
        <v>10</v>
      </c>
      <c r="C10" t="s">
        <v>30</v>
      </c>
      <c r="D10" t="s">
        <v>38</v>
      </c>
      <c r="E10">
        <v>5</v>
      </c>
      <c r="F10">
        <v>91084</v>
      </c>
      <c r="G10" t="s">
        <v>39</v>
      </c>
      <c r="H10" t="s">
        <v>18</v>
      </c>
      <c r="I10" s="1">
        <v>45482</v>
      </c>
      <c r="J10" s="2">
        <f>SUM(TBL_SALES[[#This Row],[QUANTITY]]*TBL_SALES[[#This Row],[PRICE_PER_UNIT]])</f>
        <v>455420</v>
      </c>
      <c r="K10">
        <f>SUMIF(TBL_SALES[BRAND_NAME],TBL_SALES[[#This Row],[BRAND_NAME]],TBL_SALES[SALES_AMOUNT])</f>
        <v>6392331</v>
      </c>
      <c r="O10" s="7" t="s">
        <v>231</v>
      </c>
      <c r="Q10" s="140"/>
      <c r="R10" s="140"/>
      <c r="S10" s="140"/>
      <c r="T10" s="140"/>
      <c r="U10" s="140"/>
      <c r="Y10" s="24" t="s">
        <v>148</v>
      </c>
      <c r="Z10" s="26">
        <f>_xlfn.MAXIFS(TBL_SALES[PRICE_PER_UNIT],TBL_SALES[PRODUCT_CTG],"smartphone",TBL_SALES[BRAND_NAME],Y10,TBL_SALES[STATE],"Tamil Nadu")</f>
        <v>69307</v>
      </c>
      <c r="AB10" s="30" t="s">
        <v>148</v>
      </c>
      <c r="AC10" s="33">
        <f>AC5</f>
        <v>100493</v>
      </c>
      <c r="AF10" s="36" t="s">
        <v>50</v>
      </c>
      <c r="AG10" s="36">
        <f>SUMIFS(TBL_SALES[QUANTITY],TBL_SALES[CITY],AF10)</f>
        <v>61</v>
      </c>
    </row>
    <row r="11" spans="1:33" ht="15.75" thickBot="1" x14ac:dyDescent="0.3">
      <c r="A11" t="s">
        <v>40</v>
      </c>
      <c r="B11" t="s">
        <v>10</v>
      </c>
      <c r="C11" t="s">
        <v>41</v>
      </c>
      <c r="D11" t="s">
        <v>42</v>
      </c>
      <c r="E11">
        <v>5</v>
      </c>
      <c r="F11">
        <v>100663</v>
      </c>
      <c r="G11" t="s">
        <v>43</v>
      </c>
      <c r="H11" t="s">
        <v>14</v>
      </c>
      <c r="I11" s="1">
        <v>45881</v>
      </c>
      <c r="J11" s="2">
        <f>SUM(TBL_SALES[[#This Row],[QUANTITY]]*TBL_SALES[[#This Row],[PRICE_PER_UNIT]])</f>
        <v>503315</v>
      </c>
      <c r="K11">
        <f>SUMIF(TBL_SALES[BRAND_NAME],TBL_SALES[[#This Row],[BRAND_NAME]],TBL_SALES[SALES_AMOUNT])</f>
        <v>4627368</v>
      </c>
      <c r="O11" s="6">
        <f>AVERAGEIFS(F:F,B:B,B4,H:H,H6)</f>
        <v>83348.192307692312</v>
      </c>
      <c r="Q11" s="140"/>
      <c r="R11" s="140"/>
      <c r="S11" s="140"/>
      <c r="T11" s="140"/>
      <c r="U11" s="140"/>
      <c r="Y11" s="23" t="s">
        <v>151</v>
      </c>
      <c r="Z11" s="26">
        <f>_xlfn.MAXIFS(TBL_SALES[PRICE_PER_UNIT],TBL_SALES[PRODUCT_CTG],"smartphone",TBL_SALES[BRAND_NAME],Y11,TBL_SALES[STATE],"Tamil Nadu")</f>
        <v>87888</v>
      </c>
      <c r="AB11" s="29" t="s">
        <v>151</v>
      </c>
      <c r="AC11" s="33">
        <f>_xlfn.MAXIFS(TBL_SALES[PRICE_PER_UNIT],TBL_SALES[BRAND_NAME],AB11,TBL_SALES[PRODUCT_CTG],"Smartphone",TBL_SALES[STATE],"Andhra Pradesh")</f>
        <v>0</v>
      </c>
      <c r="AF11" s="36" t="s">
        <v>55</v>
      </c>
      <c r="AG11" s="36">
        <f>SUMIFS(TBL_SALES[QUANTITY],TBL_SALES[CITY],AF11)</f>
        <v>27</v>
      </c>
    </row>
    <row r="12" spans="1:33" ht="15.75" thickBot="1" x14ac:dyDescent="0.3">
      <c r="A12" t="s">
        <v>44</v>
      </c>
      <c r="B12" t="s">
        <v>10</v>
      </c>
      <c r="C12" t="s">
        <v>20</v>
      </c>
      <c r="D12" t="s">
        <v>21</v>
      </c>
      <c r="E12">
        <v>5</v>
      </c>
      <c r="F12">
        <v>116551</v>
      </c>
      <c r="G12" t="s">
        <v>27</v>
      </c>
      <c r="H12" t="s">
        <v>28</v>
      </c>
      <c r="I12" s="1">
        <v>45834</v>
      </c>
      <c r="J12" s="2">
        <f>SUM(TBL_SALES[[#This Row],[QUANTITY]]*TBL_SALES[[#This Row],[PRICE_PER_UNIT]])</f>
        <v>582755</v>
      </c>
      <c r="K12">
        <f>SUMIF(TBL_SALES[BRAND_NAME],TBL_SALES[[#This Row],[BRAND_NAME]],TBL_SALES[SALES_AMOUNT])</f>
        <v>5071935</v>
      </c>
      <c r="M12" s="16" t="s">
        <v>241</v>
      </c>
      <c r="Y12" s="24" t="s">
        <v>154</v>
      </c>
      <c r="Z12" s="26">
        <f>_xlfn.MAXIFS(TBL_SALES[PRICE_PER_UNIT],TBL_SALES[PRODUCT_CTG],"smartphone",TBL_SALES[BRAND_NAME],Y12,TBL_SALES[STATE],"Tamil Nadu")</f>
        <v>30710</v>
      </c>
      <c r="AB12" s="30" t="s">
        <v>154</v>
      </c>
      <c r="AC12" s="33">
        <f>_xlfn.MAXIFS(TBL_SALES[PRICE_PER_UNIT],TBL_SALES[BRAND_NAME],AB12,TBL_SALES[PRODUCT_CTG],"Smartphone",TBL_SALES[STATE],"Andhra Pradesh")</f>
        <v>0</v>
      </c>
      <c r="AF12" s="36" t="s">
        <v>59</v>
      </c>
      <c r="AG12" s="36">
        <f>SUMIFS(TBL_SALES[QUANTITY],TBL_SALES[CITY],AF12)</f>
        <v>55</v>
      </c>
    </row>
    <row r="13" spans="1:33" ht="15.75" thickBot="1" x14ac:dyDescent="0.3">
      <c r="A13" t="s">
        <v>45</v>
      </c>
      <c r="B13" t="s">
        <v>10</v>
      </c>
      <c r="C13" t="s">
        <v>11</v>
      </c>
      <c r="D13" t="s">
        <v>16</v>
      </c>
      <c r="E13">
        <v>5</v>
      </c>
      <c r="F13">
        <v>62573</v>
      </c>
      <c r="G13" t="s">
        <v>17</v>
      </c>
      <c r="H13" t="s">
        <v>18</v>
      </c>
      <c r="I13" s="1">
        <v>45285</v>
      </c>
      <c r="J13" s="2">
        <f>SUM(TBL_SALES[[#This Row],[QUANTITY]]*TBL_SALES[[#This Row],[PRICE_PER_UNIT]])</f>
        <v>312865</v>
      </c>
      <c r="K13">
        <f>SUMIF(TBL_SALES[BRAND_NAME],TBL_SALES[[#This Row],[BRAND_NAME]],TBL_SALES[SALES_AMOUNT])</f>
        <v>3447703</v>
      </c>
      <c r="M13" s="13">
        <f>_xlfn.MAXIFS(F:F,B:B,B5,G:G,G21)</f>
        <v>119905</v>
      </c>
      <c r="Y13" s="23" t="s">
        <v>157</v>
      </c>
      <c r="Z13" s="26">
        <f>_xlfn.MAXIFS(TBL_SALES[PRICE_PER_UNIT],TBL_SALES[PRODUCT_CTG],"smartphone",TBL_SALES[BRAND_NAME],Y13,TBL_SALES[STATE],"Tamil Nadu")</f>
        <v>32893</v>
      </c>
      <c r="AB13" s="29" t="s">
        <v>157</v>
      </c>
      <c r="AC13" s="33">
        <f>_xlfn.MAXIFS(TBL_SALES[PRICE_PER_UNIT],TBL_SALES[BRAND_NAME],AB13,TBL_SALES[PRODUCT_CTG],"Smartphone",TBL_SALES[STATE],"Andhra Pradesh")</f>
        <v>0</v>
      </c>
    </row>
    <row r="14" spans="1:33" ht="15.75" thickBot="1" x14ac:dyDescent="0.3">
      <c r="A14" t="s">
        <v>46</v>
      </c>
      <c r="B14" t="s">
        <v>10</v>
      </c>
      <c r="C14" t="s">
        <v>47</v>
      </c>
      <c r="D14" t="s">
        <v>48</v>
      </c>
      <c r="E14">
        <v>2</v>
      </c>
      <c r="F14">
        <v>85445</v>
      </c>
      <c r="G14" t="s">
        <v>17</v>
      </c>
      <c r="H14" t="s">
        <v>18</v>
      </c>
      <c r="I14" s="1">
        <v>45392</v>
      </c>
      <c r="J14" s="2">
        <f>SUM(TBL_SALES[[#This Row],[QUANTITY]]*TBL_SALES[[#This Row],[PRICE_PER_UNIT]])</f>
        <v>170890</v>
      </c>
      <c r="K14">
        <f>SUMIF(TBL_SALES[BRAND_NAME],TBL_SALES[[#This Row],[BRAND_NAME]],TBL_SALES[SALES_AMOUNT])</f>
        <v>2863185</v>
      </c>
      <c r="O14" s="4" t="s">
        <v>232</v>
      </c>
      <c r="Q14" s="139" t="s">
        <v>228</v>
      </c>
      <c r="R14" s="139"/>
      <c r="S14" s="139"/>
      <c r="T14" s="139"/>
      <c r="U14" s="139"/>
      <c r="Y14" s="23" t="s">
        <v>161</v>
      </c>
      <c r="Z14" s="26">
        <f>_xlfn.MAXIFS(TBL_SALES[PRICE_PER_UNIT],TBL_SALES[PRODUCT_CTG],"smartphone",TBL_SALES[BRAND_NAME],Y14,TBL_SALES[STATE],"Tamil Nadu")</f>
        <v>61792</v>
      </c>
      <c r="AB14" s="29" t="s">
        <v>161</v>
      </c>
      <c r="AC14" s="33">
        <f>_xlfn.MAXIFS(TBL_SALES[PRICE_PER_UNIT],TBL_SALES[BRAND_NAME],AB14,TBL_SALES[PRODUCT_CTG],"Smartphone",TBL_SALES[STATE],"Andhra Pradesh")</f>
        <v>0</v>
      </c>
    </row>
    <row r="15" spans="1:33" ht="15.75" thickBot="1" x14ac:dyDescent="0.3">
      <c r="A15" t="s">
        <v>49</v>
      </c>
      <c r="B15" t="s">
        <v>10</v>
      </c>
      <c r="C15" t="s">
        <v>23</v>
      </c>
      <c r="D15" t="s">
        <v>24</v>
      </c>
      <c r="E15">
        <v>5</v>
      </c>
      <c r="F15">
        <v>67954</v>
      </c>
      <c r="G15" t="s">
        <v>50</v>
      </c>
      <c r="H15" t="s">
        <v>36</v>
      </c>
      <c r="I15" s="1">
        <v>45421</v>
      </c>
      <c r="J15" s="2">
        <f>SUM(TBL_SALES[[#This Row],[QUANTITY]]*TBL_SALES[[#This Row],[PRICE_PER_UNIT]])</f>
        <v>339770</v>
      </c>
      <c r="K15">
        <f>SUMIF(TBL_SALES[BRAND_NAME],TBL_SALES[[#This Row],[BRAND_NAME]],TBL_SALES[SALES_AMOUNT])</f>
        <v>2939163</v>
      </c>
      <c r="O15" s="9">
        <f>COUNTA(TBL_SALES[SALEID])</f>
        <v>160</v>
      </c>
      <c r="Q15" s="140">
        <f>AVERAGEIFS(F:F,C:C,C8)</f>
        <v>82926.350000000006</v>
      </c>
      <c r="R15" s="140"/>
      <c r="S15" s="140"/>
      <c r="T15" s="140"/>
      <c r="U15" s="140"/>
      <c r="Y15" s="23" t="s">
        <v>167</v>
      </c>
      <c r="Z15" s="26">
        <f>_xlfn.MAXIFS(TBL_SALES[PRICE_PER_UNIT],TBL_SALES[PRODUCT_CTG],"smartphone",TBL_SALES[BRAND_NAME],Y15,TBL_SALES[STATE],"Tamil Nadu")</f>
        <v>0</v>
      </c>
      <c r="AB15" s="29" t="s">
        <v>167</v>
      </c>
      <c r="AC15" s="33">
        <f>_xlfn.MAXIFS(TBL_SALES[PRICE_PER_UNIT],TBL_SALES[BRAND_NAME],AB15,TBL_SALES[PRODUCT_CTG],"Smartphone",TBL_SALES[STATE],"Andhra Pradesh")</f>
        <v>0</v>
      </c>
    </row>
    <row r="16" spans="1:33" ht="15.75" thickBot="1" x14ac:dyDescent="0.3">
      <c r="A16" t="s">
        <v>51</v>
      </c>
      <c r="B16" t="s">
        <v>10</v>
      </c>
      <c r="C16" t="s">
        <v>30</v>
      </c>
      <c r="D16" t="s">
        <v>31</v>
      </c>
      <c r="E16">
        <v>2</v>
      </c>
      <c r="F16">
        <v>72979</v>
      </c>
      <c r="G16" t="s">
        <v>27</v>
      </c>
      <c r="H16" t="s">
        <v>28</v>
      </c>
      <c r="I16" s="1">
        <v>45893</v>
      </c>
      <c r="J16" s="2">
        <f>SUM(TBL_SALES[[#This Row],[QUANTITY]]*TBL_SALES[[#This Row],[PRICE_PER_UNIT]])</f>
        <v>145958</v>
      </c>
      <c r="K16">
        <f>SUMIF(TBL_SALES[BRAND_NAME],TBL_SALES[[#This Row],[BRAND_NAME]],TBL_SALES[SALES_AMOUNT])</f>
        <v>6392331</v>
      </c>
      <c r="M16" s="8" t="s">
        <v>242</v>
      </c>
      <c r="Q16" s="140"/>
      <c r="R16" s="140"/>
      <c r="S16" s="140"/>
      <c r="T16" s="140"/>
      <c r="U16" s="140"/>
      <c r="Y16" s="23" t="s">
        <v>171</v>
      </c>
      <c r="Z16" s="26">
        <f>_xlfn.MAXIFS(TBL_SALES[PRICE_PER_UNIT],TBL_SALES[PRODUCT_CTG],"smartphone",TBL_SALES[BRAND_NAME],Y16,TBL_SALES[STATE],"Tamil Nadu")</f>
        <v>0</v>
      </c>
      <c r="AB16" s="29" t="s">
        <v>171</v>
      </c>
      <c r="AC16" s="33">
        <f>_xlfn.MAXIFS(TBL_SALES[PRICE_PER_UNIT],TBL_SALES[BRAND_NAME],AB16,TBL_SALES[PRODUCT_CTG],"Smartphone",TBL_SALES[STATE],"Andhra Pradesh")</f>
        <v>0</v>
      </c>
    </row>
    <row r="17" spans="1:29" ht="15.75" thickBot="1" x14ac:dyDescent="0.3">
      <c r="A17" t="s">
        <v>52</v>
      </c>
      <c r="B17" t="s">
        <v>10</v>
      </c>
      <c r="C17" t="s">
        <v>20</v>
      </c>
      <c r="D17" t="s">
        <v>21</v>
      </c>
      <c r="E17">
        <v>4</v>
      </c>
      <c r="F17">
        <v>95618</v>
      </c>
      <c r="G17" t="s">
        <v>33</v>
      </c>
      <c r="H17" t="s">
        <v>18</v>
      </c>
      <c r="I17" s="1">
        <v>45479</v>
      </c>
      <c r="J17" s="2">
        <f>SUM(TBL_SALES[[#This Row],[QUANTITY]]*TBL_SALES[[#This Row],[PRICE_PER_UNIT]])</f>
        <v>382472</v>
      </c>
      <c r="K17">
        <f>SUMIF(TBL_SALES[BRAND_NAME],TBL_SALES[[#This Row],[BRAND_NAME]],TBL_SALES[SALES_AMOUNT])</f>
        <v>5071935</v>
      </c>
      <c r="M17" s="14">
        <f>_xlfn.MINIFS(F:F,B:B,B129)</f>
        <v>13403</v>
      </c>
      <c r="Q17" s="140"/>
      <c r="R17" s="140"/>
      <c r="S17" s="140"/>
      <c r="T17" s="140"/>
      <c r="U17" s="140"/>
      <c r="Y17" s="25" t="s">
        <v>181</v>
      </c>
      <c r="Z17" s="26">
        <f>_xlfn.MAXIFS(TBL_SALES[PRICE_PER_UNIT],TBL_SALES[PRODUCT_CTG],"smartphone",TBL_SALES[BRAND_NAME],Y17,TBL_SALES[STATE],"Tamil Nadu")</f>
        <v>0</v>
      </c>
      <c r="AB17" s="31" t="s">
        <v>181</v>
      </c>
      <c r="AC17" s="33">
        <f>_xlfn.MAXIFS(TBL_SALES[PRICE_PER_UNIT],TBL_SALES[BRAND_NAME],AB17,TBL_SALES[PRODUCT_CTG],"Smartphone",TBL_SALES[STATE],"Andhra Pradesh")</f>
        <v>0</v>
      </c>
    </row>
    <row r="18" spans="1:29" ht="15.75" thickBot="1" x14ac:dyDescent="0.3">
      <c r="A18" t="s">
        <v>53</v>
      </c>
      <c r="B18" t="s">
        <v>10</v>
      </c>
      <c r="C18" t="s">
        <v>23</v>
      </c>
      <c r="D18" t="s">
        <v>24</v>
      </c>
      <c r="E18">
        <v>1</v>
      </c>
      <c r="F18">
        <v>73160</v>
      </c>
      <c r="G18" t="s">
        <v>13</v>
      </c>
      <c r="H18" t="s">
        <v>14</v>
      </c>
      <c r="I18" s="1">
        <v>45643</v>
      </c>
      <c r="J18" s="2">
        <f>SUM(TBL_SALES[[#This Row],[QUANTITY]]*TBL_SALES[[#This Row],[PRICE_PER_UNIT]])</f>
        <v>73160</v>
      </c>
      <c r="K18">
        <f>SUMIF(TBL_SALES[BRAND_NAME],TBL_SALES[[#This Row],[BRAND_NAME]],TBL_SALES[SALES_AMOUNT])</f>
        <v>2939163</v>
      </c>
      <c r="O18" s="4" t="s">
        <v>233</v>
      </c>
      <c r="Q18" s="140"/>
      <c r="R18" s="140"/>
      <c r="S18" s="140"/>
      <c r="T18" s="140"/>
      <c r="U18" s="140"/>
      <c r="Y18" s="21" t="s">
        <v>189</v>
      </c>
      <c r="Z18" s="26">
        <f>_xlfn.MAXIFS(TBL_SALES[PRICE_PER_UNIT],TBL_SALES[PRODUCT_CTG],"smartphone",TBL_SALES[BRAND_NAME],Y18,TBL_SALES[STATE],"Tamil Nadu")</f>
        <v>0</v>
      </c>
      <c r="AB18" s="32" t="s">
        <v>189</v>
      </c>
      <c r="AC18" s="33">
        <f>_xlfn.MAXIFS(TBL_SALES[PRICE_PER_UNIT],TBL_SALES[BRAND_NAME],AB18,TBL_SALES[PRODUCT_CTG],"Smartphone",TBL_SALES[STATE],"Andhra Pradesh")</f>
        <v>0</v>
      </c>
    </row>
    <row r="19" spans="1:29" x14ac:dyDescent="0.25">
      <c r="A19" t="s">
        <v>54</v>
      </c>
      <c r="B19" t="s">
        <v>10</v>
      </c>
      <c r="C19" t="s">
        <v>11</v>
      </c>
      <c r="D19" t="s">
        <v>16</v>
      </c>
      <c r="E19">
        <v>3</v>
      </c>
      <c r="F19">
        <v>70126</v>
      </c>
      <c r="G19" t="s">
        <v>55</v>
      </c>
      <c r="H19" t="s">
        <v>28</v>
      </c>
      <c r="I19" s="1">
        <v>45674</v>
      </c>
      <c r="J19" s="2">
        <f>SUM(TBL_SALES[[#This Row],[QUANTITY]]*TBL_SALES[[#This Row],[PRICE_PER_UNIT]])</f>
        <v>210378</v>
      </c>
      <c r="K19">
        <f>SUMIF(TBL_SALES[BRAND_NAME],TBL_SALES[[#This Row],[BRAND_NAME]],TBL_SALES[SALES_AMOUNT])</f>
        <v>3447703</v>
      </c>
      <c r="O19" s="10">
        <f>SUMPRODUCT(1/COUNTIF(TBL_SALES[BRAND_NAME], TBL_SALES[BRAND_NAME]))</f>
        <v>15.999999999999973</v>
      </c>
    </row>
    <row r="20" spans="1:29" x14ac:dyDescent="0.25">
      <c r="A20" t="s">
        <v>56</v>
      </c>
      <c r="B20" t="s">
        <v>10</v>
      </c>
      <c r="C20" t="s">
        <v>11</v>
      </c>
      <c r="D20" t="s">
        <v>12</v>
      </c>
      <c r="E20">
        <v>2</v>
      </c>
      <c r="F20">
        <v>57240</v>
      </c>
      <c r="G20" t="s">
        <v>27</v>
      </c>
      <c r="H20" t="s">
        <v>28</v>
      </c>
      <c r="I20" s="1">
        <v>45682</v>
      </c>
      <c r="J20" s="2">
        <f>SUM(TBL_SALES[[#This Row],[QUANTITY]]*TBL_SALES[[#This Row],[PRICE_PER_UNIT]])</f>
        <v>114480</v>
      </c>
      <c r="K20">
        <f>SUMIF(TBL_SALES[BRAND_NAME],TBL_SALES[[#This Row],[BRAND_NAME]],TBL_SALES[SALES_AMOUNT])</f>
        <v>3447703</v>
      </c>
    </row>
    <row r="21" spans="1:29" ht="15" customHeight="1" x14ac:dyDescent="0.25">
      <c r="A21" t="s">
        <v>57</v>
      </c>
      <c r="B21" t="s">
        <v>10</v>
      </c>
      <c r="C21" t="s">
        <v>23</v>
      </c>
      <c r="D21" t="s">
        <v>58</v>
      </c>
      <c r="E21">
        <v>1</v>
      </c>
      <c r="F21">
        <v>119905</v>
      </c>
      <c r="G21" t="s">
        <v>59</v>
      </c>
      <c r="H21" t="s">
        <v>60</v>
      </c>
      <c r="I21" s="1">
        <v>45829</v>
      </c>
      <c r="J21" s="2">
        <f>SUM(TBL_SALES[[#This Row],[QUANTITY]]*TBL_SALES[[#This Row],[PRICE_PER_UNIT]])</f>
        <v>119905</v>
      </c>
      <c r="K21">
        <f>SUMIF(TBL_SALES[BRAND_NAME],TBL_SALES[[#This Row],[BRAND_NAME]],TBL_SALES[SALES_AMOUNT])</f>
        <v>2939163</v>
      </c>
      <c r="Q21" s="139" t="s">
        <v>229</v>
      </c>
      <c r="R21" s="139"/>
      <c r="S21" s="139"/>
      <c r="T21" s="139"/>
      <c r="U21" s="139"/>
      <c r="Y21" s="34" t="s">
        <v>243</v>
      </c>
      <c r="Z21" s="34" t="s">
        <v>249</v>
      </c>
      <c r="AB21" s="37" t="s">
        <v>252</v>
      </c>
      <c r="AC21" s="35" t="s">
        <v>253</v>
      </c>
    </row>
    <row r="22" spans="1:29" x14ac:dyDescent="0.25">
      <c r="A22" t="s">
        <v>61</v>
      </c>
      <c r="B22" t="s">
        <v>10</v>
      </c>
      <c r="C22" t="s">
        <v>41</v>
      </c>
      <c r="D22" t="s">
        <v>62</v>
      </c>
      <c r="E22">
        <v>5</v>
      </c>
      <c r="F22">
        <v>107793</v>
      </c>
      <c r="G22" t="s">
        <v>17</v>
      </c>
      <c r="H22" t="s">
        <v>18</v>
      </c>
      <c r="I22" s="1">
        <v>45727</v>
      </c>
      <c r="J22" s="2">
        <f>SUM(TBL_SALES[[#This Row],[QUANTITY]]*TBL_SALES[[#This Row],[PRICE_PER_UNIT]])</f>
        <v>538965</v>
      </c>
      <c r="K22">
        <f>SUMIF(TBL_SALES[BRAND_NAME],TBL_SALES[[#This Row],[BRAND_NAME]],TBL_SALES[SALES_AMOUNT])</f>
        <v>4627368</v>
      </c>
      <c r="O22" s="12" t="s">
        <v>234</v>
      </c>
      <c r="Q22" s="140">
        <f>AVERAGEIFS(E:E,B:B,B2)</f>
        <v>3.1</v>
      </c>
      <c r="R22" s="140"/>
      <c r="S22" s="140"/>
      <c r="T22" s="140"/>
      <c r="U22" s="140"/>
      <c r="Y22" s="18" t="s">
        <v>11</v>
      </c>
      <c r="Z22" s="33">
        <f>AVERAGEIFS(TBL_SALES[PRICE_PER_UNIT],TBL_SALES[PRODUCT_CTG],"Laptop",TBL_SALES[BRAND_NAME],Y22,TBL_SALES[STATE],"Kerala")</f>
        <v>61425.333333333336</v>
      </c>
      <c r="AB22" s="38" t="s">
        <v>14</v>
      </c>
      <c r="AC22" s="39">
        <f>COUNTIFS(TBL_SALES[STATE],AB22)</f>
        <v>31</v>
      </c>
    </row>
    <row r="23" spans="1:29" x14ac:dyDescent="0.25">
      <c r="A23" t="s">
        <v>63</v>
      </c>
      <c r="B23" t="s">
        <v>10</v>
      </c>
      <c r="C23" t="s">
        <v>41</v>
      </c>
      <c r="D23" t="s">
        <v>62</v>
      </c>
      <c r="E23">
        <v>1</v>
      </c>
      <c r="F23">
        <v>57087</v>
      </c>
      <c r="G23" t="s">
        <v>55</v>
      </c>
      <c r="H23" t="s">
        <v>28</v>
      </c>
      <c r="I23" s="1">
        <v>45800</v>
      </c>
      <c r="J23" s="2">
        <f>SUM(TBL_SALES[[#This Row],[QUANTITY]]*TBL_SALES[[#This Row],[PRICE_PER_UNIT]])</f>
        <v>57087</v>
      </c>
      <c r="K23">
        <f>SUMIF(TBL_SALES[BRAND_NAME],TBL_SALES[[#This Row],[BRAND_NAME]],TBL_SALES[SALES_AMOUNT])</f>
        <v>4627368</v>
      </c>
      <c r="O23" s="13">
        <f>COUNTBLANK(TBL_SALES[STATE])</f>
        <v>0</v>
      </c>
      <c r="Q23" s="140"/>
      <c r="R23" s="140"/>
      <c r="S23" s="140"/>
      <c r="T23" s="140"/>
      <c r="U23" s="140"/>
      <c r="Y23" s="17" t="s">
        <v>20</v>
      </c>
      <c r="Z23" s="33">
        <f>AVERAGEIFS(TBL_SALES[PRICE_PER_UNIT],TBL_SALES[PRODUCT_CTG],"Laptop",TBL_SALES[BRAND_NAME],Y23,TBL_SALES[STATE],"Kerala")</f>
        <v>73797</v>
      </c>
      <c r="AB23" s="39" t="s">
        <v>18</v>
      </c>
      <c r="AC23" s="39">
        <f>COUNTIFS(TBL_SALES[STATE],AB23)</f>
        <v>44</v>
      </c>
    </row>
    <row r="24" spans="1:29" x14ac:dyDescent="0.25">
      <c r="A24" t="s">
        <v>64</v>
      </c>
      <c r="B24" t="s">
        <v>10</v>
      </c>
      <c r="C24" t="s">
        <v>11</v>
      </c>
      <c r="D24" t="s">
        <v>16</v>
      </c>
      <c r="E24">
        <v>2</v>
      </c>
      <c r="F24">
        <v>56557</v>
      </c>
      <c r="G24" t="s">
        <v>55</v>
      </c>
      <c r="H24" t="s">
        <v>28</v>
      </c>
      <c r="I24" s="1">
        <v>45533</v>
      </c>
      <c r="J24" s="2">
        <f>SUM(TBL_SALES[[#This Row],[QUANTITY]]*TBL_SALES[[#This Row],[PRICE_PER_UNIT]])</f>
        <v>113114</v>
      </c>
      <c r="K24">
        <f>SUMIF(TBL_SALES[BRAND_NAME],TBL_SALES[[#This Row],[BRAND_NAME]],TBL_SALES[SALES_AMOUNT])</f>
        <v>3447703</v>
      </c>
      <c r="Q24" s="140"/>
      <c r="R24" s="140"/>
      <c r="S24" s="140"/>
      <c r="T24" s="140"/>
      <c r="U24" s="140"/>
      <c r="Y24" s="18" t="s">
        <v>23</v>
      </c>
      <c r="Z24" s="33">
        <f>AVERAGEIFS(TBL_SALES[PRICE_PER_UNIT],TBL_SALES[PRODUCT_CTG],"Laptop",TBL_SALES[BRAND_NAME],Y24,TBL_SALES[STATE],"Kerala")</f>
        <v>84616</v>
      </c>
      <c r="AB24" s="38" t="s">
        <v>28</v>
      </c>
      <c r="AC24" s="39">
        <f>COUNTIFS(TBL_SALES[STATE],AB24)</f>
        <v>26</v>
      </c>
    </row>
    <row r="25" spans="1:29" x14ac:dyDescent="0.25">
      <c r="A25" t="s">
        <v>65</v>
      </c>
      <c r="B25" t="s">
        <v>10</v>
      </c>
      <c r="C25" t="s">
        <v>23</v>
      </c>
      <c r="D25" t="s">
        <v>24</v>
      </c>
      <c r="E25">
        <v>3</v>
      </c>
      <c r="F25">
        <v>69461</v>
      </c>
      <c r="G25" t="s">
        <v>33</v>
      </c>
      <c r="H25" t="s">
        <v>18</v>
      </c>
      <c r="I25" s="1">
        <v>45486</v>
      </c>
      <c r="J25" s="2">
        <f>SUM(TBL_SALES[[#This Row],[QUANTITY]]*TBL_SALES[[#This Row],[PRICE_PER_UNIT]])</f>
        <v>208383</v>
      </c>
      <c r="K25">
        <f>SUMIF(TBL_SALES[BRAND_NAME],TBL_SALES[[#This Row],[BRAND_NAME]],TBL_SALES[SALES_AMOUNT])</f>
        <v>2939163</v>
      </c>
      <c r="O25" s="12" t="s">
        <v>235</v>
      </c>
      <c r="Q25" s="140"/>
      <c r="R25" s="140"/>
      <c r="S25" s="140"/>
      <c r="T25" s="140"/>
      <c r="U25" s="140"/>
      <c r="Y25" s="18" t="s">
        <v>30</v>
      </c>
      <c r="Z25" s="33">
        <f>AVERAGEIFS(TBL_SALES[PRICE_PER_UNIT],TBL_SALES[PRODUCT_CTG],"Laptop",TBL_SALES[BRAND_NAME],Y25,TBL_SALES[STATE],"Kerala")</f>
        <v>112735</v>
      </c>
      <c r="AB25" s="39" t="s">
        <v>36</v>
      </c>
      <c r="AC25" s="39">
        <f>COUNTIFS(TBL_SALES[STATE],AB25)</f>
        <v>35</v>
      </c>
    </row>
    <row r="26" spans="1:29" x14ac:dyDescent="0.25">
      <c r="A26" t="s">
        <v>66</v>
      </c>
      <c r="B26" t="s">
        <v>10</v>
      </c>
      <c r="C26" t="s">
        <v>11</v>
      </c>
      <c r="D26" t="s">
        <v>12</v>
      </c>
      <c r="E26">
        <v>4</v>
      </c>
      <c r="F26">
        <v>54984</v>
      </c>
      <c r="G26" t="s">
        <v>13</v>
      </c>
      <c r="H26" t="s">
        <v>14</v>
      </c>
      <c r="I26" s="1">
        <v>45659</v>
      </c>
      <c r="J26" s="2">
        <f>SUM(TBL_SALES[[#This Row],[QUANTITY]]*TBL_SALES[[#This Row],[PRICE_PER_UNIT]])</f>
        <v>219936</v>
      </c>
      <c r="K26">
        <f>SUMIF(TBL_SALES[BRAND_NAME],TBL_SALES[[#This Row],[BRAND_NAME]],TBL_SALES[SALES_AMOUNT])</f>
        <v>3447703</v>
      </c>
      <c r="O26" s="13">
        <f>COUNTA(TBL_SALES[STATE])</f>
        <v>160</v>
      </c>
      <c r="Y26" s="18" t="s">
        <v>41</v>
      </c>
      <c r="Z26" s="33">
        <f>AVERAGEIFS(TBL_SALES[PRICE_PER_UNIT],TBL_SALES[PRODUCT_CTG],"Laptop",TBL_SALES[BRAND_NAME],Y26,TBL_SALES[STATE],"Kerala")</f>
        <v>102466.75</v>
      </c>
      <c r="AB26" s="39" t="s">
        <v>60</v>
      </c>
      <c r="AC26" s="39">
        <f>COUNTIFS(TBL_SALES[STATE],AB26)</f>
        <v>24</v>
      </c>
    </row>
    <row r="27" spans="1:29" x14ac:dyDescent="0.25">
      <c r="A27" t="s">
        <v>67</v>
      </c>
      <c r="B27" t="s">
        <v>10</v>
      </c>
      <c r="C27" t="s">
        <v>41</v>
      </c>
      <c r="D27" t="s">
        <v>62</v>
      </c>
      <c r="E27">
        <v>2</v>
      </c>
      <c r="F27">
        <v>77624</v>
      </c>
      <c r="G27" t="s">
        <v>33</v>
      </c>
      <c r="H27" t="s">
        <v>18</v>
      </c>
      <c r="I27" s="1">
        <v>45305</v>
      </c>
      <c r="J27" s="2">
        <f>SUM(TBL_SALES[[#This Row],[QUANTITY]]*TBL_SALES[[#This Row],[PRICE_PER_UNIT]])</f>
        <v>155248</v>
      </c>
      <c r="K27">
        <f>SUMIF(TBL_SALES[BRAND_NAME],TBL_SALES[[#This Row],[BRAND_NAME]],TBL_SALES[SALES_AMOUNT])</f>
        <v>4627368</v>
      </c>
      <c r="Q27" s="139" t="s">
        <v>230</v>
      </c>
      <c r="R27" s="139"/>
      <c r="S27" s="139"/>
      <c r="T27" s="139"/>
      <c r="U27" s="139"/>
      <c r="Y27" s="17" t="s">
        <v>47</v>
      </c>
      <c r="Z27" s="33">
        <f>AVERAGEIFS(TBL_SALES[PRICE_PER_UNIT],TBL_SALES[PRODUCT_CTG],"Laptop",TBL_SALES[BRAND_NAME],Y27,TBL_SALES[STATE],"Kerala")</f>
        <v>56224</v>
      </c>
    </row>
    <row r="28" spans="1:29" x14ac:dyDescent="0.25">
      <c r="A28" t="s">
        <v>68</v>
      </c>
      <c r="B28" t="s">
        <v>10</v>
      </c>
      <c r="C28" t="s">
        <v>30</v>
      </c>
      <c r="D28" t="s">
        <v>38</v>
      </c>
      <c r="E28">
        <v>3</v>
      </c>
      <c r="F28">
        <v>67976</v>
      </c>
      <c r="G28" t="s">
        <v>27</v>
      </c>
      <c r="H28" t="s">
        <v>28</v>
      </c>
      <c r="I28" s="1">
        <v>45823</v>
      </c>
      <c r="J28" s="2">
        <f>SUM(TBL_SALES[[#This Row],[QUANTITY]]*TBL_SALES[[#This Row],[PRICE_PER_UNIT]])</f>
        <v>203928</v>
      </c>
      <c r="K28">
        <f>SUMIF(TBL_SALES[BRAND_NAME],TBL_SALES[[#This Row],[BRAND_NAME]],TBL_SALES[SALES_AMOUNT])</f>
        <v>6392331</v>
      </c>
      <c r="M28" s="12" t="s">
        <v>247</v>
      </c>
      <c r="Q28" s="140">
        <f>AVERAGEIFS(TBL_SALES[QUANTITY],TBL_SALES[PRODUCT_CTG],B153)</f>
        <v>2.7166666666666668</v>
      </c>
      <c r="R28" s="140"/>
      <c r="S28" s="140"/>
      <c r="T28" s="140"/>
      <c r="U28" s="140"/>
      <c r="Y28" s="17" t="s">
        <v>145</v>
      </c>
      <c r="Z28" s="33">
        <f>AVERAGEIFS(TBL_SALES[PRICE_PER_UNIT],TBL_SALES[PRODUCT_CTG],"Smartphone",TBL_SALES[BRAND_NAME],Y28,TBL_SALES[STATE],"Kerala")</f>
        <v>43084</v>
      </c>
    </row>
    <row r="29" spans="1:29" x14ac:dyDescent="0.25">
      <c r="A29" t="s">
        <v>69</v>
      </c>
      <c r="B29" t="s">
        <v>10</v>
      </c>
      <c r="C29" t="s">
        <v>30</v>
      </c>
      <c r="D29" t="s">
        <v>31</v>
      </c>
      <c r="E29">
        <v>2</v>
      </c>
      <c r="F29">
        <v>108534</v>
      </c>
      <c r="G29" t="s">
        <v>55</v>
      </c>
      <c r="H29" t="s">
        <v>28</v>
      </c>
      <c r="I29" s="1">
        <v>45605</v>
      </c>
      <c r="J29" s="2">
        <f>SUM(TBL_SALES[[#This Row],[QUANTITY]]*TBL_SALES[[#This Row],[PRICE_PER_UNIT]])</f>
        <v>217068</v>
      </c>
      <c r="K29">
        <f>SUMIF(TBL_SALES[BRAND_NAME],TBL_SALES[[#This Row],[BRAND_NAME]],TBL_SALES[SALES_AMOUNT])</f>
        <v>6392331</v>
      </c>
      <c r="M29" s="13">
        <f>_xlfn.MINIFS(TBL_SALES[PRICE_PER_UNIT],TBL_SALES[PRODUCT_CTG],"Laptop",TBL_SALES[DATE],"&gt;= " &amp; DATE(2024,1,1), TBL_SALES[DATE],"&lt;=" &amp; DATE(2024,12,31))</f>
        <v>45458</v>
      </c>
      <c r="O29" s="12" t="s">
        <v>236</v>
      </c>
      <c r="Q29" s="140"/>
      <c r="R29" s="140"/>
      <c r="S29" s="140"/>
      <c r="T29" s="140"/>
      <c r="U29" s="140"/>
      <c r="Y29" s="18" t="s">
        <v>148</v>
      </c>
      <c r="Z29" s="33">
        <f>AVERAGEIFS(TBL_SALES[PRICE_PER_UNIT],TBL_SALES[PRODUCT_CTG],"Smartphone",TBL_SALES[BRAND_NAME],Y29,TBL_SALES[STATE],"Kerala")</f>
        <v>71760</v>
      </c>
    </row>
    <row r="30" spans="1:29" x14ac:dyDescent="0.25">
      <c r="A30" t="s">
        <v>70</v>
      </c>
      <c r="B30" t="s">
        <v>10</v>
      </c>
      <c r="C30" t="s">
        <v>30</v>
      </c>
      <c r="D30" t="s">
        <v>38</v>
      </c>
      <c r="E30">
        <v>2</v>
      </c>
      <c r="F30">
        <v>82353</v>
      </c>
      <c r="G30" t="s">
        <v>59</v>
      </c>
      <c r="H30" t="s">
        <v>60</v>
      </c>
      <c r="I30" s="1">
        <v>45400</v>
      </c>
      <c r="J30" s="2">
        <f>SUM(TBL_SALES[[#This Row],[QUANTITY]]*TBL_SALES[[#This Row],[PRICE_PER_UNIT]])</f>
        <v>164706</v>
      </c>
      <c r="K30">
        <f>SUMIF(TBL_SALES[BRAND_NAME],TBL_SALES[[#This Row],[BRAND_NAME]],TBL_SALES[SALES_AMOUNT])</f>
        <v>6392331</v>
      </c>
      <c r="O30" s="14">
        <f>COUNTIFS(TBL_SALES[DATE], "&gt;=" &amp; DATE(2025,1,1), TBL_SALES[DATE], "&lt;=" &amp; DATE(2025,12,31))</f>
        <v>91</v>
      </c>
      <c r="Q30" s="140"/>
      <c r="R30" s="140"/>
      <c r="S30" s="140"/>
      <c r="T30" s="140"/>
      <c r="U30" s="140"/>
      <c r="Y30" s="17" t="s">
        <v>151</v>
      </c>
      <c r="Z30" s="33">
        <f>AVERAGEIFS(TBL_SALES[PRICE_PER_UNIT],TBL_SALES[PRODUCT_CTG],"Smartphone",TBL_SALES[BRAND_NAME],Y30,TBL_SALES[STATE],"Kerala")</f>
        <v>26059</v>
      </c>
    </row>
    <row r="31" spans="1:29" x14ac:dyDescent="0.25">
      <c r="A31" t="s">
        <v>71</v>
      </c>
      <c r="B31" t="s">
        <v>10</v>
      </c>
      <c r="C31" t="s">
        <v>47</v>
      </c>
      <c r="D31" t="s">
        <v>72</v>
      </c>
      <c r="E31">
        <v>2</v>
      </c>
      <c r="F31">
        <v>65285</v>
      </c>
      <c r="G31" t="s">
        <v>33</v>
      </c>
      <c r="H31" t="s">
        <v>18</v>
      </c>
      <c r="I31" s="1">
        <v>45372</v>
      </c>
      <c r="J31" s="2">
        <f>SUM(TBL_SALES[[#This Row],[QUANTITY]]*TBL_SALES[[#This Row],[PRICE_PER_UNIT]])</f>
        <v>130570</v>
      </c>
      <c r="K31">
        <f>SUMIF(TBL_SALES[BRAND_NAME],TBL_SALES[[#This Row],[BRAND_NAME]],TBL_SALES[SALES_AMOUNT])</f>
        <v>2863185</v>
      </c>
      <c r="Q31" s="140"/>
      <c r="R31" s="140"/>
      <c r="S31" s="140"/>
      <c r="T31" s="140"/>
      <c r="U31" s="140"/>
      <c r="Y31" s="18" t="s">
        <v>154</v>
      </c>
      <c r="Z31" s="33">
        <f>AVERAGEIFS(TBL_SALES[PRICE_PER_UNIT],TBL_SALES[PRODUCT_CTG],"Smartphone",TBL_SALES[BRAND_NAME],Y31,TBL_SALES[STATE],"Kerala")</f>
        <v>49744</v>
      </c>
    </row>
    <row r="32" spans="1:29" x14ac:dyDescent="0.25">
      <c r="A32" t="s">
        <v>73</v>
      </c>
      <c r="B32" t="s">
        <v>10</v>
      </c>
      <c r="C32" t="s">
        <v>30</v>
      </c>
      <c r="D32" t="s">
        <v>38</v>
      </c>
      <c r="E32">
        <v>5</v>
      </c>
      <c r="F32">
        <v>104901</v>
      </c>
      <c r="G32" t="s">
        <v>55</v>
      </c>
      <c r="H32" t="s">
        <v>28</v>
      </c>
      <c r="I32" s="1">
        <v>45562</v>
      </c>
      <c r="J32" s="2">
        <f>SUM(TBL_SALES[[#This Row],[QUANTITY]]*TBL_SALES[[#This Row],[PRICE_PER_UNIT]])</f>
        <v>524505</v>
      </c>
      <c r="K32">
        <f>SUMIF(TBL_SALES[BRAND_NAME],TBL_SALES[[#This Row],[BRAND_NAME]],TBL_SALES[SALES_AMOUNT])</f>
        <v>6392331</v>
      </c>
      <c r="M32" s="12" t="s">
        <v>248</v>
      </c>
      <c r="Y32" s="17" t="s">
        <v>157</v>
      </c>
      <c r="Z32" s="33">
        <f>AVERAGEIFS(TBL_SALES[PRICE_PER_UNIT],TBL_SALES[PRODUCT_CTG],"Smartphone",TBL_SALES[BRAND_NAME],Y32,TBL_SALES[STATE],"Kerala")</f>
        <v>81376</v>
      </c>
    </row>
    <row r="33" spans="1:26" x14ac:dyDescent="0.25">
      <c r="A33" t="s">
        <v>74</v>
      </c>
      <c r="B33" t="s">
        <v>10</v>
      </c>
      <c r="C33" t="s">
        <v>30</v>
      </c>
      <c r="D33" t="s">
        <v>31</v>
      </c>
      <c r="E33">
        <v>3</v>
      </c>
      <c r="F33">
        <v>83539</v>
      </c>
      <c r="G33" t="s">
        <v>39</v>
      </c>
      <c r="H33" t="s">
        <v>18</v>
      </c>
      <c r="I33" s="1">
        <v>45954</v>
      </c>
      <c r="J33" s="2">
        <f>SUM(TBL_SALES[[#This Row],[QUANTITY]]*TBL_SALES[[#This Row],[PRICE_PER_UNIT]])</f>
        <v>250617</v>
      </c>
      <c r="K33">
        <f>SUMIF(TBL_SALES[BRAND_NAME],TBL_SALES[[#This Row],[BRAND_NAME]],TBL_SALES[SALES_AMOUNT])</f>
        <v>6392331</v>
      </c>
      <c r="M33" s="27">
        <f>_xlfn.MAXIFS(TBL_SALES[PRICE_PER_UNIT],TBL_SALES[PRODUCT_CTG],"Smartphone",TBL_SALES[DATE],"&gt;="&amp;DATE(2025,1,1),TBL_SALES[DATE],"&lt;="&amp;DATE(2025,12,31))</f>
        <v>89091</v>
      </c>
      <c r="Y33" s="17" t="s">
        <v>161</v>
      </c>
      <c r="Z33" s="33">
        <f>AVERAGEIFS(TBL_SALES[PRICE_PER_UNIT],TBL_SALES[PRODUCT_CTG],"Smartphone",TBL_SALES[BRAND_NAME],Y33,TBL_SALES[STATE],"Kerala")</f>
        <v>57871</v>
      </c>
    </row>
    <row r="34" spans="1:26" x14ac:dyDescent="0.25">
      <c r="A34" t="s">
        <v>75</v>
      </c>
      <c r="B34" t="s">
        <v>10</v>
      </c>
      <c r="C34" t="s">
        <v>20</v>
      </c>
      <c r="D34" t="s">
        <v>26</v>
      </c>
      <c r="E34">
        <v>2</v>
      </c>
      <c r="F34">
        <v>102302</v>
      </c>
      <c r="G34" t="s">
        <v>33</v>
      </c>
      <c r="H34" t="s">
        <v>18</v>
      </c>
      <c r="I34" s="1">
        <v>45522</v>
      </c>
      <c r="J34" s="2">
        <f>SUM(TBL_SALES[[#This Row],[QUANTITY]]*TBL_SALES[[#This Row],[PRICE_PER_UNIT]])</f>
        <v>204604</v>
      </c>
      <c r="K34">
        <f>SUMIF(TBL_SALES[BRAND_NAME],TBL_SALES[[#This Row],[BRAND_NAME]],TBL_SALES[SALES_AMOUNT])</f>
        <v>5071935</v>
      </c>
      <c r="O34" s="15" t="s">
        <v>238</v>
      </c>
      <c r="Y34" s="17" t="s">
        <v>167</v>
      </c>
      <c r="Z34" s="33">
        <f>AVERAGEIFS(TBL_SALES[PRICE_PER_UNIT],TBL_SALES[PRODUCT_CTG],"Smartphone",TBL_SALES[BRAND_NAME],Y34,TBL_SALES[STATE],"Kerala")</f>
        <v>21686.5</v>
      </c>
    </row>
    <row r="35" spans="1:26" x14ac:dyDescent="0.25">
      <c r="A35" t="s">
        <v>76</v>
      </c>
      <c r="B35" t="s">
        <v>10</v>
      </c>
      <c r="C35" t="s">
        <v>41</v>
      </c>
      <c r="D35" t="s">
        <v>62</v>
      </c>
      <c r="E35">
        <v>3</v>
      </c>
      <c r="F35">
        <v>45613</v>
      </c>
      <c r="G35" t="s">
        <v>33</v>
      </c>
      <c r="H35" t="s">
        <v>18</v>
      </c>
      <c r="I35" s="1">
        <v>45403</v>
      </c>
      <c r="J35" s="2">
        <f>SUM(TBL_SALES[[#This Row],[QUANTITY]]*TBL_SALES[[#This Row],[PRICE_PER_UNIT]])</f>
        <v>136839</v>
      </c>
      <c r="K35">
        <f>SUMIF(TBL_SALES[BRAND_NAME],TBL_SALES[[#This Row],[BRAND_NAME]],TBL_SALES[SALES_AMOUNT])</f>
        <v>4627368</v>
      </c>
      <c r="O35" s="13">
        <f>SUMIFS(J:J,C:C,C7)</f>
        <v>6392331</v>
      </c>
      <c r="Y35" s="17" t="s">
        <v>171</v>
      </c>
      <c r="Z35" s="33">
        <f>AVERAGEIFS(TBL_SALES[PRICE_PER_UNIT],TBL_SALES[PRODUCT_CTG],"Smartphone",TBL_SALES[BRAND_NAME],Y35,TBL_SALES[STATE],"Kerala")</f>
        <v>13403</v>
      </c>
    </row>
    <row r="36" spans="1:26" x14ac:dyDescent="0.25">
      <c r="A36" t="s">
        <v>77</v>
      </c>
      <c r="B36" t="s">
        <v>10</v>
      </c>
      <c r="C36" t="s">
        <v>47</v>
      </c>
      <c r="D36" t="s">
        <v>72</v>
      </c>
      <c r="E36">
        <v>2</v>
      </c>
      <c r="F36">
        <v>68107</v>
      </c>
      <c r="G36" t="s">
        <v>59</v>
      </c>
      <c r="H36" t="s">
        <v>60</v>
      </c>
      <c r="I36" s="1">
        <v>45686</v>
      </c>
      <c r="J36" s="2">
        <f>SUM(TBL_SALES[[#This Row],[QUANTITY]]*TBL_SALES[[#This Row],[PRICE_PER_UNIT]])</f>
        <v>136214</v>
      </c>
      <c r="K36">
        <f>SUMIF(TBL_SALES[BRAND_NAME],TBL_SALES[[#This Row],[BRAND_NAME]],TBL_SALES[SALES_AMOUNT])</f>
        <v>2863185</v>
      </c>
      <c r="Y36" s="17" t="s">
        <v>181</v>
      </c>
      <c r="Z36" s="33">
        <f>AVERAGEIFS(TBL_SALES[PRICE_PER_UNIT],TBL_SALES[PRODUCT_CTG],"Smartphone",TBL_SALES[BRAND_NAME],Y36,TBL_SALES[STATE],"Kerala")</f>
        <v>25166</v>
      </c>
    </row>
    <row r="37" spans="1:26" x14ac:dyDescent="0.25">
      <c r="A37" t="s">
        <v>78</v>
      </c>
      <c r="B37" t="s">
        <v>10</v>
      </c>
      <c r="C37" t="s">
        <v>20</v>
      </c>
      <c r="D37" t="s">
        <v>26</v>
      </c>
      <c r="E37">
        <v>1</v>
      </c>
      <c r="F37">
        <v>81879</v>
      </c>
      <c r="G37" t="s">
        <v>55</v>
      </c>
      <c r="H37" t="s">
        <v>28</v>
      </c>
      <c r="I37" s="1">
        <v>45486</v>
      </c>
      <c r="J37" s="2">
        <f>SUM(TBL_SALES[[#This Row],[QUANTITY]]*TBL_SALES[[#This Row],[PRICE_PER_UNIT]])</f>
        <v>81879</v>
      </c>
      <c r="K37">
        <f>SUMIF(TBL_SALES[BRAND_NAME],TBL_SALES[[#This Row],[BRAND_NAME]],TBL_SALES[SALES_AMOUNT])</f>
        <v>5071935</v>
      </c>
      <c r="O37" s="4" t="s">
        <v>239</v>
      </c>
      <c r="Y37" s="17" t="s">
        <v>189</v>
      </c>
      <c r="Z37" s="33">
        <f>AVERAGEIFS(TBL_SALES[PRICE_PER_UNIT],TBL_SALES[PRODUCT_CTG],"Smartphone",TBL_SALES[BRAND_NAME],Y37,TBL_SALES[STATE],"Kerala")</f>
        <v>71478</v>
      </c>
    </row>
    <row r="38" spans="1:26" x14ac:dyDescent="0.25">
      <c r="A38" t="s">
        <v>79</v>
      </c>
      <c r="B38" t="s">
        <v>10</v>
      </c>
      <c r="C38" t="s">
        <v>30</v>
      </c>
      <c r="D38" t="s">
        <v>31</v>
      </c>
      <c r="E38">
        <v>5</v>
      </c>
      <c r="F38">
        <v>95837</v>
      </c>
      <c r="G38" t="s">
        <v>27</v>
      </c>
      <c r="H38" t="s">
        <v>28</v>
      </c>
      <c r="I38" s="1">
        <v>45732</v>
      </c>
      <c r="J38" s="2">
        <f>SUM(TBL_SALES[[#This Row],[QUANTITY]]*TBL_SALES[[#This Row],[PRICE_PER_UNIT]])</f>
        <v>479185</v>
      </c>
      <c r="K38">
        <f>SUMIF(TBL_SALES[BRAND_NAME],TBL_SALES[[#This Row],[BRAND_NAME]],TBL_SALES[SALES_AMOUNT])</f>
        <v>6392331</v>
      </c>
      <c r="O38" s="3">
        <f>SUMIFS(J:J,H:H,H16)</f>
        <v>6236719</v>
      </c>
    </row>
    <row r="39" spans="1:26" x14ac:dyDescent="0.25">
      <c r="A39" t="s">
        <v>80</v>
      </c>
      <c r="B39" t="s">
        <v>10</v>
      </c>
      <c r="C39" t="s">
        <v>11</v>
      </c>
      <c r="D39" t="s">
        <v>12</v>
      </c>
      <c r="E39">
        <v>3</v>
      </c>
      <c r="F39">
        <v>48970</v>
      </c>
      <c r="G39" t="s">
        <v>27</v>
      </c>
      <c r="H39" t="s">
        <v>28</v>
      </c>
      <c r="I39" s="1">
        <v>45554</v>
      </c>
      <c r="J39" s="2">
        <f>SUM(TBL_SALES[[#This Row],[QUANTITY]]*TBL_SALES[[#This Row],[PRICE_PER_UNIT]])</f>
        <v>146910</v>
      </c>
      <c r="K39">
        <f>SUMIF(TBL_SALES[BRAND_NAME],TBL_SALES[[#This Row],[BRAND_NAME]],TBL_SALES[SALES_AMOUNT])</f>
        <v>3447703</v>
      </c>
    </row>
    <row r="40" spans="1:26" x14ac:dyDescent="0.25">
      <c r="A40" t="s">
        <v>81</v>
      </c>
      <c r="B40" t="s">
        <v>10</v>
      </c>
      <c r="C40" t="s">
        <v>11</v>
      </c>
      <c r="D40" t="s">
        <v>12</v>
      </c>
      <c r="E40">
        <v>3</v>
      </c>
      <c r="F40">
        <v>99447</v>
      </c>
      <c r="G40" t="s">
        <v>35</v>
      </c>
      <c r="H40" t="s">
        <v>36</v>
      </c>
      <c r="I40" s="1">
        <v>45784</v>
      </c>
      <c r="J40" s="2">
        <f>SUM(TBL_SALES[[#This Row],[QUANTITY]]*TBL_SALES[[#This Row],[PRICE_PER_UNIT]])</f>
        <v>298341</v>
      </c>
      <c r="K40">
        <f>SUMIF(TBL_SALES[BRAND_NAME],TBL_SALES[[#This Row],[BRAND_NAME]],TBL_SALES[SALES_AMOUNT])</f>
        <v>3447703</v>
      </c>
    </row>
    <row r="41" spans="1:26" x14ac:dyDescent="0.25">
      <c r="A41" t="s">
        <v>82</v>
      </c>
      <c r="B41" t="s">
        <v>10</v>
      </c>
      <c r="C41" t="s">
        <v>47</v>
      </c>
      <c r="D41" t="s">
        <v>72</v>
      </c>
      <c r="E41">
        <v>5</v>
      </c>
      <c r="F41">
        <v>87400</v>
      </c>
      <c r="G41" t="s">
        <v>17</v>
      </c>
      <c r="H41" t="s">
        <v>18</v>
      </c>
      <c r="I41" s="1">
        <v>45541</v>
      </c>
      <c r="J41" s="2">
        <f>SUM(TBL_SALES[[#This Row],[QUANTITY]]*TBL_SALES[[#This Row],[PRICE_PER_UNIT]])</f>
        <v>437000</v>
      </c>
      <c r="K41">
        <f>SUMIF(TBL_SALES[BRAND_NAME],TBL_SALES[[#This Row],[BRAND_NAME]],TBL_SALES[SALES_AMOUNT])</f>
        <v>2863185</v>
      </c>
      <c r="O41" s="8" t="s">
        <v>240</v>
      </c>
    </row>
    <row r="42" spans="1:26" x14ac:dyDescent="0.25">
      <c r="A42" t="s">
        <v>83</v>
      </c>
      <c r="B42" t="s">
        <v>10</v>
      </c>
      <c r="C42" t="s">
        <v>41</v>
      </c>
      <c r="D42" t="s">
        <v>62</v>
      </c>
      <c r="E42">
        <v>1</v>
      </c>
      <c r="F42">
        <v>94011</v>
      </c>
      <c r="G42" t="s">
        <v>39</v>
      </c>
      <c r="H42" t="s">
        <v>18</v>
      </c>
      <c r="I42" s="1">
        <v>45547</v>
      </c>
      <c r="J42" s="2">
        <f>SUM(TBL_SALES[[#This Row],[QUANTITY]]*TBL_SALES[[#This Row],[PRICE_PER_UNIT]])</f>
        <v>94011</v>
      </c>
      <c r="K42">
        <f>SUMIF(TBL_SALES[BRAND_NAME],TBL_SALES[[#This Row],[BRAND_NAME]],TBL_SALES[SALES_AMOUNT])</f>
        <v>4627368</v>
      </c>
      <c r="O42" s="14">
        <f>SUMIFS(J:J,C:C,C42,H:H,H18)</f>
        <v>1408379</v>
      </c>
    </row>
    <row r="43" spans="1:26" x14ac:dyDescent="0.25">
      <c r="A43" t="s">
        <v>84</v>
      </c>
      <c r="B43" t="s">
        <v>10</v>
      </c>
      <c r="C43" t="s">
        <v>23</v>
      </c>
      <c r="D43" t="s">
        <v>58</v>
      </c>
      <c r="E43">
        <v>5</v>
      </c>
      <c r="F43">
        <v>71406</v>
      </c>
      <c r="G43" t="s">
        <v>55</v>
      </c>
      <c r="H43" t="s">
        <v>28</v>
      </c>
      <c r="I43" s="1">
        <v>45407</v>
      </c>
      <c r="J43" s="2">
        <f>SUM(TBL_SALES[[#This Row],[QUANTITY]]*TBL_SALES[[#This Row],[PRICE_PER_UNIT]])</f>
        <v>357030</v>
      </c>
      <c r="K43">
        <f>SUMIF(TBL_SALES[BRAND_NAME],TBL_SALES[[#This Row],[BRAND_NAME]],TBL_SALES[SALES_AMOUNT])</f>
        <v>2939163</v>
      </c>
    </row>
    <row r="44" spans="1:26" x14ac:dyDescent="0.25">
      <c r="A44" t="s">
        <v>85</v>
      </c>
      <c r="B44" t="s">
        <v>10</v>
      </c>
      <c r="C44" t="s">
        <v>20</v>
      </c>
      <c r="D44" t="s">
        <v>21</v>
      </c>
      <c r="E44">
        <v>1</v>
      </c>
      <c r="F44">
        <v>72235</v>
      </c>
      <c r="G44" t="s">
        <v>35</v>
      </c>
      <c r="H44" t="s">
        <v>36</v>
      </c>
      <c r="I44" s="1">
        <v>45293</v>
      </c>
      <c r="J44" s="2">
        <f>SUM(TBL_SALES[[#This Row],[QUANTITY]]*TBL_SALES[[#This Row],[PRICE_PER_UNIT]])</f>
        <v>72235</v>
      </c>
      <c r="K44">
        <f>SUMIF(TBL_SALES[BRAND_NAME],TBL_SALES[[#This Row],[BRAND_NAME]],TBL_SALES[SALES_AMOUNT])</f>
        <v>5071935</v>
      </c>
    </row>
    <row r="45" spans="1:26" x14ac:dyDescent="0.25">
      <c r="A45" t="s">
        <v>86</v>
      </c>
      <c r="B45" t="s">
        <v>10</v>
      </c>
      <c r="C45" t="s">
        <v>11</v>
      </c>
      <c r="D45" t="s">
        <v>12</v>
      </c>
      <c r="E45">
        <v>3</v>
      </c>
      <c r="F45">
        <v>49573</v>
      </c>
      <c r="G45" t="s">
        <v>35</v>
      </c>
      <c r="H45" t="s">
        <v>36</v>
      </c>
      <c r="I45" s="1">
        <v>45326</v>
      </c>
      <c r="J45" s="2">
        <f>SUM(TBL_SALES[[#This Row],[QUANTITY]]*TBL_SALES[[#This Row],[PRICE_PER_UNIT]])</f>
        <v>148719</v>
      </c>
      <c r="K45">
        <f>SUMIF(TBL_SALES[BRAND_NAME],TBL_SALES[[#This Row],[BRAND_NAME]],TBL_SALES[SALES_AMOUNT])</f>
        <v>3447703</v>
      </c>
    </row>
    <row r="46" spans="1:26" x14ac:dyDescent="0.25">
      <c r="A46" t="s">
        <v>87</v>
      </c>
      <c r="B46" t="s">
        <v>10</v>
      </c>
      <c r="C46" t="s">
        <v>20</v>
      </c>
      <c r="D46" t="s">
        <v>26</v>
      </c>
      <c r="E46">
        <v>5</v>
      </c>
      <c r="F46">
        <v>55340</v>
      </c>
      <c r="G46" t="s">
        <v>17</v>
      </c>
      <c r="H46" t="s">
        <v>18</v>
      </c>
      <c r="I46" s="1">
        <v>45266</v>
      </c>
      <c r="J46" s="2">
        <f>SUM(TBL_SALES[[#This Row],[QUANTITY]]*TBL_SALES[[#This Row],[PRICE_PER_UNIT]])</f>
        <v>276700</v>
      </c>
      <c r="K46">
        <f>SUMIF(TBL_SALES[BRAND_NAME],TBL_SALES[[#This Row],[BRAND_NAME]],TBL_SALES[SALES_AMOUNT])</f>
        <v>5071935</v>
      </c>
    </row>
    <row r="47" spans="1:26" x14ac:dyDescent="0.25">
      <c r="A47" t="s">
        <v>88</v>
      </c>
      <c r="B47" t="s">
        <v>10</v>
      </c>
      <c r="C47" t="s">
        <v>30</v>
      </c>
      <c r="D47" t="s">
        <v>31</v>
      </c>
      <c r="E47">
        <v>5</v>
      </c>
      <c r="F47">
        <v>71100</v>
      </c>
      <c r="G47" t="s">
        <v>27</v>
      </c>
      <c r="H47" t="s">
        <v>28</v>
      </c>
      <c r="I47" s="1">
        <v>45705</v>
      </c>
      <c r="J47" s="2">
        <f>SUM(TBL_SALES[[#This Row],[QUANTITY]]*TBL_SALES[[#This Row],[PRICE_PER_UNIT]])</f>
        <v>355500</v>
      </c>
      <c r="K47">
        <f>SUMIF(TBL_SALES[BRAND_NAME],TBL_SALES[[#This Row],[BRAND_NAME]],TBL_SALES[SALES_AMOUNT])</f>
        <v>6392331</v>
      </c>
      <c r="O47" s="4" t="s">
        <v>237</v>
      </c>
    </row>
    <row r="48" spans="1:26" x14ac:dyDescent="0.25">
      <c r="A48" t="s">
        <v>89</v>
      </c>
      <c r="B48" t="s">
        <v>10</v>
      </c>
      <c r="C48" t="s">
        <v>11</v>
      </c>
      <c r="D48" t="s">
        <v>16</v>
      </c>
      <c r="E48">
        <v>2</v>
      </c>
      <c r="F48">
        <v>79084</v>
      </c>
      <c r="G48" t="s">
        <v>55</v>
      </c>
      <c r="H48" t="s">
        <v>28</v>
      </c>
      <c r="I48" s="1">
        <v>45588</v>
      </c>
      <c r="J48" s="2">
        <f>SUM(TBL_SALES[[#This Row],[QUANTITY]]*TBL_SALES[[#This Row],[PRICE_PER_UNIT]])</f>
        <v>158168</v>
      </c>
      <c r="K48">
        <f>SUMIF(TBL_SALES[BRAND_NAME],TBL_SALES[[#This Row],[BRAND_NAME]],TBL_SALES[SALES_AMOUNT])</f>
        <v>3447703</v>
      </c>
      <c r="O48" s="13">
        <f>COUNTIFS(D:D,D6,C:C,C6,G:G,G27)</f>
        <v>2</v>
      </c>
    </row>
    <row r="49" spans="1:11" x14ac:dyDescent="0.25">
      <c r="A49" t="s">
        <v>90</v>
      </c>
      <c r="B49" t="s">
        <v>10</v>
      </c>
      <c r="C49" t="s">
        <v>30</v>
      </c>
      <c r="D49" t="s">
        <v>38</v>
      </c>
      <c r="E49">
        <v>2</v>
      </c>
      <c r="F49">
        <v>105836</v>
      </c>
      <c r="G49" t="s">
        <v>27</v>
      </c>
      <c r="H49" t="s">
        <v>28</v>
      </c>
      <c r="I49" s="1">
        <v>45686</v>
      </c>
      <c r="J49" s="2">
        <f>SUM(TBL_SALES[[#This Row],[QUANTITY]]*TBL_SALES[[#This Row],[PRICE_PER_UNIT]])</f>
        <v>211672</v>
      </c>
      <c r="K49">
        <f>SUMIF(TBL_SALES[BRAND_NAME],TBL_SALES[[#This Row],[BRAND_NAME]],TBL_SALES[SALES_AMOUNT])</f>
        <v>6392331</v>
      </c>
    </row>
    <row r="50" spans="1:11" x14ac:dyDescent="0.25">
      <c r="A50" t="s">
        <v>91</v>
      </c>
      <c r="B50" t="s">
        <v>10</v>
      </c>
      <c r="C50" t="s">
        <v>20</v>
      </c>
      <c r="D50" t="s">
        <v>26</v>
      </c>
      <c r="E50">
        <v>3</v>
      </c>
      <c r="F50">
        <v>100948</v>
      </c>
      <c r="G50" t="s">
        <v>35</v>
      </c>
      <c r="H50" t="s">
        <v>36</v>
      </c>
      <c r="I50" s="1">
        <v>45266</v>
      </c>
      <c r="J50" s="2">
        <f>SUM(TBL_SALES[[#This Row],[QUANTITY]]*TBL_SALES[[#This Row],[PRICE_PER_UNIT]])</f>
        <v>302844</v>
      </c>
      <c r="K50">
        <f>SUMIF(TBL_SALES[BRAND_NAME],TBL_SALES[[#This Row],[BRAND_NAME]],TBL_SALES[SALES_AMOUNT])</f>
        <v>5071935</v>
      </c>
    </row>
    <row r="51" spans="1:11" x14ac:dyDescent="0.25">
      <c r="A51" t="s">
        <v>92</v>
      </c>
      <c r="B51" t="s">
        <v>10</v>
      </c>
      <c r="C51" t="s">
        <v>23</v>
      </c>
      <c r="D51" t="s">
        <v>58</v>
      </c>
      <c r="E51">
        <v>1</v>
      </c>
      <c r="F51">
        <v>100493</v>
      </c>
      <c r="G51" t="s">
        <v>55</v>
      </c>
      <c r="H51" t="s">
        <v>28</v>
      </c>
      <c r="I51" s="1">
        <v>45799</v>
      </c>
      <c r="J51" s="2">
        <f>SUM(TBL_SALES[[#This Row],[QUANTITY]]*TBL_SALES[[#This Row],[PRICE_PER_UNIT]])</f>
        <v>100493</v>
      </c>
      <c r="K51">
        <f>SUMIF(TBL_SALES[BRAND_NAME],TBL_SALES[[#This Row],[BRAND_NAME]],TBL_SALES[SALES_AMOUNT])</f>
        <v>2939163</v>
      </c>
    </row>
    <row r="52" spans="1:11" x14ac:dyDescent="0.25">
      <c r="A52" t="s">
        <v>93</v>
      </c>
      <c r="B52" t="s">
        <v>10</v>
      </c>
      <c r="C52" t="s">
        <v>11</v>
      </c>
      <c r="D52" t="s">
        <v>16</v>
      </c>
      <c r="E52">
        <v>5</v>
      </c>
      <c r="F52">
        <v>87968</v>
      </c>
      <c r="G52" t="s">
        <v>50</v>
      </c>
      <c r="H52" t="s">
        <v>36</v>
      </c>
      <c r="I52" s="1">
        <v>45789</v>
      </c>
      <c r="J52" s="2">
        <f>SUM(TBL_SALES[[#This Row],[QUANTITY]]*TBL_SALES[[#This Row],[PRICE_PER_UNIT]])</f>
        <v>439840</v>
      </c>
      <c r="K52">
        <f>SUMIF(TBL_SALES[BRAND_NAME],TBL_SALES[[#This Row],[BRAND_NAME]],TBL_SALES[SALES_AMOUNT])</f>
        <v>3447703</v>
      </c>
    </row>
    <row r="53" spans="1:11" x14ac:dyDescent="0.25">
      <c r="A53" t="s">
        <v>94</v>
      </c>
      <c r="B53" t="s">
        <v>10</v>
      </c>
      <c r="C53" t="s">
        <v>41</v>
      </c>
      <c r="D53" t="s">
        <v>42</v>
      </c>
      <c r="E53">
        <v>4</v>
      </c>
      <c r="F53">
        <v>119589</v>
      </c>
      <c r="G53" t="s">
        <v>27</v>
      </c>
      <c r="H53" t="s">
        <v>28</v>
      </c>
      <c r="I53" s="1">
        <v>45819</v>
      </c>
      <c r="J53" s="2">
        <f>SUM(TBL_SALES[[#This Row],[QUANTITY]]*TBL_SALES[[#This Row],[PRICE_PER_UNIT]])</f>
        <v>478356</v>
      </c>
      <c r="K53">
        <f>SUMIF(TBL_SALES[BRAND_NAME],TBL_SALES[[#This Row],[BRAND_NAME]],TBL_SALES[SALES_AMOUNT])</f>
        <v>4627368</v>
      </c>
    </row>
    <row r="54" spans="1:11" x14ac:dyDescent="0.25">
      <c r="A54" t="s">
        <v>95</v>
      </c>
      <c r="B54" t="s">
        <v>10</v>
      </c>
      <c r="C54" t="s">
        <v>20</v>
      </c>
      <c r="D54" t="s">
        <v>26</v>
      </c>
      <c r="E54">
        <v>5</v>
      </c>
      <c r="F54">
        <v>113267</v>
      </c>
      <c r="G54" t="s">
        <v>17</v>
      </c>
      <c r="H54" t="s">
        <v>18</v>
      </c>
      <c r="I54" s="1">
        <v>45758</v>
      </c>
      <c r="J54" s="2">
        <f>SUM(TBL_SALES[[#This Row],[QUANTITY]]*TBL_SALES[[#This Row],[PRICE_PER_UNIT]])</f>
        <v>566335</v>
      </c>
      <c r="K54">
        <f>SUMIF(TBL_SALES[BRAND_NAME],TBL_SALES[[#This Row],[BRAND_NAME]],TBL_SALES[SALES_AMOUNT])</f>
        <v>5071935</v>
      </c>
    </row>
    <row r="55" spans="1:11" x14ac:dyDescent="0.25">
      <c r="A55" t="s">
        <v>96</v>
      </c>
      <c r="B55" t="s">
        <v>10</v>
      </c>
      <c r="C55" t="s">
        <v>41</v>
      </c>
      <c r="D55" t="s">
        <v>42</v>
      </c>
      <c r="E55">
        <v>1</v>
      </c>
      <c r="F55">
        <v>113879</v>
      </c>
      <c r="G55" t="s">
        <v>39</v>
      </c>
      <c r="H55" t="s">
        <v>18</v>
      </c>
      <c r="I55" s="1">
        <v>45649</v>
      </c>
      <c r="J55" s="2">
        <f>SUM(TBL_SALES[[#This Row],[QUANTITY]]*TBL_SALES[[#This Row],[PRICE_PER_UNIT]])</f>
        <v>113879</v>
      </c>
      <c r="K55">
        <f>SUMIF(TBL_SALES[BRAND_NAME],TBL_SALES[[#This Row],[BRAND_NAME]],TBL_SALES[SALES_AMOUNT])</f>
        <v>4627368</v>
      </c>
    </row>
    <row r="56" spans="1:11" x14ac:dyDescent="0.25">
      <c r="A56" t="s">
        <v>97</v>
      </c>
      <c r="B56" t="s">
        <v>10</v>
      </c>
      <c r="C56" t="s">
        <v>23</v>
      </c>
      <c r="D56" t="s">
        <v>58</v>
      </c>
      <c r="E56">
        <v>4</v>
      </c>
      <c r="F56">
        <v>53632</v>
      </c>
      <c r="G56" t="s">
        <v>27</v>
      </c>
      <c r="H56" t="s">
        <v>28</v>
      </c>
      <c r="I56" s="1">
        <v>45648</v>
      </c>
      <c r="J56" s="2">
        <f>SUM(TBL_SALES[[#This Row],[QUANTITY]]*TBL_SALES[[#This Row],[PRICE_PER_UNIT]])</f>
        <v>214528</v>
      </c>
      <c r="K56">
        <f>SUMIF(TBL_SALES[BRAND_NAME],TBL_SALES[[#This Row],[BRAND_NAME]],TBL_SALES[SALES_AMOUNT])</f>
        <v>2939163</v>
      </c>
    </row>
    <row r="57" spans="1:11" x14ac:dyDescent="0.25">
      <c r="A57" t="s">
        <v>98</v>
      </c>
      <c r="B57" t="s">
        <v>10</v>
      </c>
      <c r="C57" t="s">
        <v>41</v>
      </c>
      <c r="D57" t="s">
        <v>62</v>
      </c>
      <c r="E57">
        <v>5</v>
      </c>
      <c r="F57">
        <v>95552</v>
      </c>
      <c r="G57" t="s">
        <v>43</v>
      </c>
      <c r="H57" t="s">
        <v>14</v>
      </c>
      <c r="I57" s="1">
        <v>45716</v>
      </c>
      <c r="J57" s="2">
        <f>SUM(TBL_SALES[[#This Row],[QUANTITY]]*TBL_SALES[[#This Row],[PRICE_PER_UNIT]])</f>
        <v>477760</v>
      </c>
      <c r="K57">
        <f>SUMIF(TBL_SALES[BRAND_NAME],TBL_SALES[[#This Row],[BRAND_NAME]],TBL_SALES[SALES_AMOUNT])</f>
        <v>4627368</v>
      </c>
    </row>
    <row r="58" spans="1:11" x14ac:dyDescent="0.25">
      <c r="A58" t="s">
        <v>99</v>
      </c>
      <c r="B58" t="s">
        <v>10</v>
      </c>
      <c r="C58" t="s">
        <v>20</v>
      </c>
      <c r="D58" t="s">
        <v>21</v>
      </c>
      <c r="E58">
        <v>3</v>
      </c>
      <c r="F58">
        <v>81687</v>
      </c>
      <c r="G58" t="s">
        <v>13</v>
      </c>
      <c r="H58" t="s">
        <v>14</v>
      </c>
      <c r="I58" s="1">
        <v>45376</v>
      </c>
      <c r="J58" s="2">
        <f>SUM(TBL_SALES[[#This Row],[QUANTITY]]*TBL_SALES[[#This Row],[PRICE_PER_UNIT]])</f>
        <v>245061</v>
      </c>
      <c r="K58">
        <f>SUMIF(TBL_SALES[BRAND_NAME],TBL_SALES[[#This Row],[BRAND_NAME]],TBL_SALES[SALES_AMOUNT])</f>
        <v>5071935</v>
      </c>
    </row>
    <row r="59" spans="1:11" x14ac:dyDescent="0.25">
      <c r="A59" t="s">
        <v>100</v>
      </c>
      <c r="B59" t="s">
        <v>10</v>
      </c>
      <c r="C59" t="s">
        <v>11</v>
      </c>
      <c r="D59" t="s">
        <v>12</v>
      </c>
      <c r="E59">
        <v>2</v>
      </c>
      <c r="F59">
        <v>63680</v>
      </c>
      <c r="G59" t="s">
        <v>27</v>
      </c>
      <c r="H59" t="s">
        <v>28</v>
      </c>
      <c r="I59" s="1">
        <v>45490</v>
      </c>
      <c r="J59" s="2">
        <f>SUM(TBL_SALES[[#This Row],[QUANTITY]]*TBL_SALES[[#This Row],[PRICE_PER_UNIT]])</f>
        <v>127360</v>
      </c>
      <c r="K59">
        <f>SUMIF(TBL_SALES[BRAND_NAME],TBL_SALES[[#This Row],[BRAND_NAME]],TBL_SALES[SALES_AMOUNT])</f>
        <v>3447703</v>
      </c>
    </row>
    <row r="60" spans="1:11" x14ac:dyDescent="0.25">
      <c r="A60" t="s">
        <v>101</v>
      </c>
      <c r="B60" t="s">
        <v>10</v>
      </c>
      <c r="C60" t="s">
        <v>11</v>
      </c>
      <c r="D60" t="s">
        <v>16</v>
      </c>
      <c r="E60">
        <v>2</v>
      </c>
      <c r="F60">
        <v>97934</v>
      </c>
      <c r="G60" t="s">
        <v>59</v>
      </c>
      <c r="H60" t="s">
        <v>60</v>
      </c>
      <c r="I60" s="1">
        <v>45445</v>
      </c>
      <c r="J60" s="2">
        <f>SUM(TBL_SALES[[#This Row],[QUANTITY]]*TBL_SALES[[#This Row],[PRICE_PER_UNIT]])</f>
        <v>195868</v>
      </c>
      <c r="K60">
        <f>SUMIF(TBL_SALES[BRAND_NAME],TBL_SALES[[#This Row],[BRAND_NAME]],TBL_SALES[SALES_AMOUNT])</f>
        <v>3447703</v>
      </c>
    </row>
    <row r="61" spans="1:11" x14ac:dyDescent="0.25">
      <c r="A61" t="s">
        <v>102</v>
      </c>
      <c r="B61" t="s">
        <v>10</v>
      </c>
      <c r="C61" t="s">
        <v>47</v>
      </c>
      <c r="D61" t="s">
        <v>72</v>
      </c>
      <c r="E61">
        <v>4</v>
      </c>
      <c r="F61">
        <v>95916</v>
      </c>
      <c r="G61" t="s">
        <v>59</v>
      </c>
      <c r="H61" t="s">
        <v>60</v>
      </c>
      <c r="I61" s="1">
        <v>45408</v>
      </c>
      <c r="J61" s="2">
        <f>SUM(TBL_SALES[[#This Row],[QUANTITY]]*TBL_SALES[[#This Row],[PRICE_PER_UNIT]])</f>
        <v>383664</v>
      </c>
      <c r="K61">
        <f>SUMIF(TBL_SALES[BRAND_NAME],TBL_SALES[[#This Row],[BRAND_NAME]],TBL_SALES[SALES_AMOUNT])</f>
        <v>2863185</v>
      </c>
    </row>
    <row r="62" spans="1:11" x14ac:dyDescent="0.25">
      <c r="A62" t="s">
        <v>103</v>
      </c>
      <c r="B62" t="s">
        <v>10</v>
      </c>
      <c r="C62" t="s">
        <v>41</v>
      </c>
      <c r="D62" t="s">
        <v>42</v>
      </c>
      <c r="E62">
        <v>5</v>
      </c>
      <c r="F62">
        <v>89611</v>
      </c>
      <c r="G62" t="s">
        <v>35</v>
      </c>
      <c r="H62" t="s">
        <v>36</v>
      </c>
      <c r="I62" s="1">
        <v>45454</v>
      </c>
      <c r="J62" s="2">
        <f>SUM(TBL_SALES[[#This Row],[QUANTITY]]*TBL_SALES[[#This Row],[PRICE_PER_UNIT]])</f>
        <v>448055</v>
      </c>
      <c r="K62">
        <f>SUMIF(TBL_SALES[BRAND_NAME],TBL_SALES[[#This Row],[BRAND_NAME]],TBL_SALES[SALES_AMOUNT])</f>
        <v>4627368</v>
      </c>
    </row>
    <row r="63" spans="1:11" x14ac:dyDescent="0.25">
      <c r="A63" t="s">
        <v>104</v>
      </c>
      <c r="B63" t="s">
        <v>10</v>
      </c>
      <c r="C63" t="s">
        <v>41</v>
      </c>
      <c r="D63" t="s">
        <v>62</v>
      </c>
      <c r="E63">
        <v>4</v>
      </c>
      <c r="F63">
        <v>117107</v>
      </c>
      <c r="G63" t="s">
        <v>59</v>
      </c>
      <c r="H63" t="s">
        <v>60</v>
      </c>
      <c r="I63" s="1">
        <v>45694</v>
      </c>
      <c r="J63" s="2">
        <f>SUM(TBL_SALES[[#This Row],[QUANTITY]]*TBL_SALES[[#This Row],[PRICE_PER_UNIT]])</f>
        <v>468428</v>
      </c>
      <c r="K63">
        <f>SUMIF(TBL_SALES[BRAND_NAME],TBL_SALES[[#This Row],[BRAND_NAME]],TBL_SALES[SALES_AMOUNT])</f>
        <v>4627368</v>
      </c>
    </row>
    <row r="64" spans="1:11" x14ac:dyDescent="0.25">
      <c r="A64" t="s">
        <v>105</v>
      </c>
      <c r="B64" t="s">
        <v>10</v>
      </c>
      <c r="C64" t="s">
        <v>23</v>
      </c>
      <c r="D64" t="s">
        <v>58</v>
      </c>
      <c r="E64">
        <v>4</v>
      </c>
      <c r="F64">
        <v>63622</v>
      </c>
      <c r="G64" t="s">
        <v>33</v>
      </c>
      <c r="H64" t="s">
        <v>18</v>
      </c>
      <c r="I64" s="1">
        <v>45877</v>
      </c>
      <c r="J64" s="2">
        <f>SUM(TBL_SALES[[#This Row],[QUANTITY]]*TBL_SALES[[#This Row],[PRICE_PER_UNIT]])</f>
        <v>254488</v>
      </c>
      <c r="K64">
        <f>SUMIF(TBL_SALES[BRAND_NAME],TBL_SALES[[#This Row],[BRAND_NAME]],TBL_SALES[SALES_AMOUNT])</f>
        <v>2939163</v>
      </c>
    </row>
    <row r="65" spans="1:11" x14ac:dyDescent="0.25">
      <c r="A65" t="s">
        <v>106</v>
      </c>
      <c r="B65" t="s">
        <v>10</v>
      </c>
      <c r="C65" t="s">
        <v>30</v>
      </c>
      <c r="D65" t="s">
        <v>31</v>
      </c>
      <c r="E65">
        <v>3</v>
      </c>
      <c r="F65">
        <v>93983</v>
      </c>
      <c r="G65" t="s">
        <v>35</v>
      </c>
      <c r="H65" t="s">
        <v>36</v>
      </c>
      <c r="I65" s="1">
        <v>45655</v>
      </c>
      <c r="J65" s="2">
        <f>SUM(TBL_SALES[[#This Row],[QUANTITY]]*TBL_SALES[[#This Row],[PRICE_PER_UNIT]])</f>
        <v>281949</v>
      </c>
      <c r="K65">
        <f>SUMIF(TBL_SALES[BRAND_NAME],TBL_SALES[[#This Row],[BRAND_NAME]],TBL_SALES[SALES_AMOUNT])</f>
        <v>6392331</v>
      </c>
    </row>
    <row r="66" spans="1:11" x14ac:dyDescent="0.25">
      <c r="A66" t="s">
        <v>107</v>
      </c>
      <c r="B66" t="s">
        <v>10</v>
      </c>
      <c r="C66" t="s">
        <v>47</v>
      </c>
      <c r="D66" t="s">
        <v>48</v>
      </c>
      <c r="E66">
        <v>3</v>
      </c>
      <c r="F66">
        <v>49533</v>
      </c>
      <c r="G66" t="s">
        <v>35</v>
      </c>
      <c r="H66" t="s">
        <v>36</v>
      </c>
      <c r="I66" s="1">
        <v>45602</v>
      </c>
      <c r="J66" s="2">
        <f>SUM(TBL_SALES[[#This Row],[QUANTITY]]*TBL_SALES[[#This Row],[PRICE_PER_UNIT]])</f>
        <v>148599</v>
      </c>
      <c r="K66">
        <f>SUMIF(TBL_SALES[BRAND_NAME],TBL_SALES[[#This Row],[BRAND_NAME]],TBL_SALES[SALES_AMOUNT])</f>
        <v>2863185</v>
      </c>
    </row>
    <row r="67" spans="1:11" x14ac:dyDescent="0.25">
      <c r="A67" t="s">
        <v>108</v>
      </c>
      <c r="B67" t="s">
        <v>10</v>
      </c>
      <c r="C67" t="s">
        <v>47</v>
      </c>
      <c r="D67" t="s">
        <v>48</v>
      </c>
      <c r="E67">
        <v>4</v>
      </c>
      <c r="F67">
        <v>65659</v>
      </c>
      <c r="G67" t="s">
        <v>59</v>
      </c>
      <c r="H67" t="s">
        <v>60</v>
      </c>
      <c r="I67" s="1">
        <v>45430</v>
      </c>
      <c r="J67" s="2">
        <f>SUM(TBL_SALES[[#This Row],[QUANTITY]]*TBL_SALES[[#This Row],[PRICE_PER_UNIT]])</f>
        <v>262636</v>
      </c>
      <c r="K67">
        <f>SUMIF(TBL_SALES[BRAND_NAME],TBL_SALES[[#This Row],[BRAND_NAME]],TBL_SALES[SALES_AMOUNT])</f>
        <v>2863185</v>
      </c>
    </row>
    <row r="68" spans="1:11" x14ac:dyDescent="0.25">
      <c r="A68" t="s">
        <v>109</v>
      </c>
      <c r="B68" t="s">
        <v>10</v>
      </c>
      <c r="C68" t="s">
        <v>30</v>
      </c>
      <c r="D68" t="s">
        <v>31</v>
      </c>
      <c r="E68">
        <v>5</v>
      </c>
      <c r="F68">
        <v>110308</v>
      </c>
      <c r="G68" t="s">
        <v>13</v>
      </c>
      <c r="H68" t="s">
        <v>14</v>
      </c>
      <c r="I68" s="1">
        <v>45681</v>
      </c>
      <c r="J68" s="2">
        <f>SUM(TBL_SALES[[#This Row],[QUANTITY]]*TBL_SALES[[#This Row],[PRICE_PER_UNIT]])</f>
        <v>551540</v>
      </c>
      <c r="K68">
        <f>SUMIF(TBL_SALES[BRAND_NAME],TBL_SALES[[#This Row],[BRAND_NAME]],TBL_SALES[SALES_AMOUNT])</f>
        <v>6392331</v>
      </c>
    </row>
    <row r="69" spans="1:11" x14ac:dyDescent="0.25">
      <c r="A69" t="s">
        <v>110</v>
      </c>
      <c r="B69" t="s">
        <v>10</v>
      </c>
      <c r="C69" t="s">
        <v>30</v>
      </c>
      <c r="D69" t="s">
        <v>38</v>
      </c>
      <c r="E69">
        <v>4</v>
      </c>
      <c r="F69">
        <v>66725</v>
      </c>
      <c r="G69" t="s">
        <v>50</v>
      </c>
      <c r="H69" t="s">
        <v>36</v>
      </c>
      <c r="I69" s="1">
        <v>45715</v>
      </c>
      <c r="J69" s="2">
        <f>SUM(TBL_SALES[[#This Row],[QUANTITY]]*TBL_SALES[[#This Row],[PRICE_PER_UNIT]])</f>
        <v>266900</v>
      </c>
      <c r="K69">
        <f>SUMIF(TBL_SALES[BRAND_NAME],TBL_SALES[[#This Row],[BRAND_NAME]],TBL_SALES[SALES_AMOUNT])</f>
        <v>6392331</v>
      </c>
    </row>
    <row r="70" spans="1:11" x14ac:dyDescent="0.25">
      <c r="A70" t="s">
        <v>111</v>
      </c>
      <c r="B70" t="s">
        <v>10</v>
      </c>
      <c r="C70" t="s">
        <v>41</v>
      </c>
      <c r="D70" t="s">
        <v>62</v>
      </c>
      <c r="E70">
        <v>2</v>
      </c>
      <c r="F70">
        <v>102776</v>
      </c>
      <c r="G70" t="s">
        <v>13</v>
      </c>
      <c r="H70" t="s">
        <v>14</v>
      </c>
      <c r="I70" s="1">
        <v>45817</v>
      </c>
      <c r="J70" s="2">
        <f>SUM(TBL_SALES[[#This Row],[QUANTITY]]*TBL_SALES[[#This Row],[PRICE_PER_UNIT]])</f>
        <v>205552</v>
      </c>
      <c r="K70">
        <f>SUMIF(TBL_SALES[BRAND_NAME],TBL_SALES[[#This Row],[BRAND_NAME]],TBL_SALES[SALES_AMOUNT])</f>
        <v>4627368</v>
      </c>
    </row>
    <row r="71" spans="1:11" x14ac:dyDescent="0.25">
      <c r="A71" t="s">
        <v>112</v>
      </c>
      <c r="B71" t="s">
        <v>10</v>
      </c>
      <c r="C71" t="s">
        <v>20</v>
      </c>
      <c r="D71" t="s">
        <v>21</v>
      </c>
      <c r="E71">
        <v>2</v>
      </c>
      <c r="F71">
        <v>89014</v>
      </c>
      <c r="G71" t="s">
        <v>59</v>
      </c>
      <c r="H71" t="s">
        <v>60</v>
      </c>
      <c r="I71" s="1">
        <v>45493</v>
      </c>
      <c r="J71" s="2">
        <f>SUM(TBL_SALES[[#This Row],[QUANTITY]]*TBL_SALES[[#This Row],[PRICE_PER_UNIT]])</f>
        <v>178028</v>
      </c>
      <c r="K71">
        <f>SUMIF(TBL_SALES[BRAND_NAME],TBL_SALES[[#This Row],[BRAND_NAME]],TBL_SALES[SALES_AMOUNT])</f>
        <v>5071935</v>
      </c>
    </row>
    <row r="72" spans="1:11" x14ac:dyDescent="0.25">
      <c r="A72" t="s">
        <v>113</v>
      </c>
      <c r="B72" t="s">
        <v>10</v>
      </c>
      <c r="C72" t="s">
        <v>23</v>
      </c>
      <c r="D72" t="s">
        <v>58</v>
      </c>
      <c r="E72">
        <v>1</v>
      </c>
      <c r="F72">
        <v>84305</v>
      </c>
      <c r="G72" t="s">
        <v>55</v>
      </c>
      <c r="H72" t="s">
        <v>28</v>
      </c>
      <c r="I72" s="1">
        <v>45662</v>
      </c>
      <c r="J72" s="2">
        <f>SUM(TBL_SALES[[#This Row],[QUANTITY]]*TBL_SALES[[#This Row],[PRICE_PER_UNIT]])</f>
        <v>84305</v>
      </c>
      <c r="K72">
        <f>SUMIF(TBL_SALES[BRAND_NAME],TBL_SALES[[#This Row],[BRAND_NAME]],TBL_SALES[SALES_AMOUNT])</f>
        <v>2939163</v>
      </c>
    </row>
    <row r="73" spans="1:11" x14ac:dyDescent="0.25">
      <c r="A73" t="s">
        <v>114</v>
      </c>
      <c r="B73" t="s">
        <v>10</v>
      </c>
      <c r="C73" t="s">
        <v>23</v>
      </c>
      <c r="D73" t="s">
        <v>58</v>
      </c>
      <c r="E73">
        <v>5</v>
      </c>
      <c r="F73">
        <v>68983</v>
      </c>
      <c r="G73" t="s">
        <v>59</v>
      </c>
      <c r="H73" t="s">
        <v>60</v>
      </c>
      <c r="I73" s="1">
        <v>45395</v>
      </c>
      <c r="J73" s="2">
        <f>SUM(TBL_SALES[[#This Row],[QUANTITY]]*TBL_SALES[[#This Row],[PRICE_PER_UNIT]])</f>
        <v>344915</v>
      </c>
      <c r="K73">
        <f>SUMIF(TBL_SALES[BRAND_NAME],TBL_SALES[[#This Row],[BRAND_NAME]],TBL_SALES[SALES_AMOUNT])</f>
        <v>2939163</v>
      </c>
    </row>
    <row r="74" spans="1:11" x14ac:dyDescent="0.25">
      <c r="A74" t="s">
        <v>115</v>
      </c>
      <c r="B74" t="s">
        <v>10</v>
      </c>
      <c r="C74" t="s">
        <v>41</v>
      </c>
      <c r="D74" t="s">
        <v>62</v>
      </c>
      <c r="E74">
        <v>4</v>
      </c>
      <c r="F74">
        <v>83072</v>
      </c>
      <c r="G74" t="s">
        <v>17</v>
      </c>
      <c r="H74" t="s">
        <v>18</v>
      </c>
      <c r="I74" s="1">
        <v>45375</v>
      </c>
      <c r="J74" s="2">
        <f>SUM(TBL_SALES[[#This Row],[QUANTITY]]*TBL_SALES[[#This Row],[PRICE_PER_UNIT]])</f>
        <v>332288</v>
      </c>
      <c r="K74">
        <f>SUMIF(TBL_SALES[BRAND_NAME],TBL_SALES[[#This Row],[BRAND_NAME]],TBL_SALES[SALES_AMOUNT])</f>
        <v>4627368</v>
      </c>
    </row>
    <row r="75" spans="1:11" x14ac:dyDescent="0.25">
      <c r="A75" t="s">
        <v>116</v>
      </c>
      <c r="B75" t="s">
        <v>10</v>
      </c>
      <c r="C75" t="s">
        <v>30</v>
      </c>
      <c r="D75" t="s">
        <v>31</v>
      </c>
      <c r="E75">
        <v>4</v>
      </c>
      <c r="F75">
        <v>92592</v>
      </c>
      <c r="G75" t="s">
        <v>17</v>
      </c>
      <c r="H75" t="s">
        <v>18</v>
      </c>
      <c r="I75" s="1">
        <v>45603</v>
      </c>
      <c r="J75" s="2">
        <f>SUM(TBL_SALES[[#This Row],[QUANTITY]]*TBL_SALES[[#This Row],[PRICE_PER_UNIT]])</f>
        <v>370368</v>
      </c>
      <c r="K75">
        <f>SUMIF(TBL_SALES[BRAND_NAME],TBL_SALES[[#This Row],[BRAND_NAME]],TBL_SALES[SALES_AMOUNT])</f>
        <v>6392331</v>
      </c>
    </row>
    <row r="76" spans="1:11" x14ac:dyDescent="0.25">
      <c r="A76" t="s">
        <v>117</v>
      </c>
      <c r="B76" t="s">
        <v>10</v>
      </c>
      <c r="C76" t="s">
        <v>20</v>
      </c>
      <c r="D76" t="s">
        <v>21</v>
      </c>
      <c r="E76">
        <v>4</v>
      </c>
      <c r="F76">
        <v>52476</v>
      </c>
      <c r="G76" t="s">
        <v>35</v>
      </c>
      <c r="H76" t="s">
        <v>36</v>
      </c>
      <c r="I76" s="1">
        <v>45871</v>
      </c>
      <c r="J76" s="2">
        <f>SUM(TBL_SALES[[#This Row],[QUANTITY]]*TBL_SALES[[#This Row],[PRICE_PER_UNIT]])</f>
        <v>209904</v>
      </c>
      <c r="K76">
        <f>SUMIF(TBL_SALES[BRAND_NAME],TBL_SALES[[#This Row],[BRAND_NAME]],TBL_SALES[SALES_AMOUNT])</f>
        <v>5071935</v>
      </c>
    </row>
    <row r="77" spans="1:11" x14ac:dyDescent="0.25">
      <c r="A77" t="s">
        <v>118</v>
      </c>
      <c r="B77" t="s">
        <v>10</v>
      </c>
      <c r="C77" t="s">
        <v>20</v>
      </c>
      <c r="D77" t="s">
        <v>26</v>
      </c>
      <c r="E77">
        <v>4</v>
      </c>
      <c r="F77">
        <v>65907</v>
      </c>
      <c r="G77" t="s">
        <v>13</v>
      </c>
      <c r="H77" t="s">
        <v>14</v>
      </c>
      <c r="I77" s="1">
        <v>45834</v>
      </c>
      <c r="J77" s="2">
        <f>SUM(TBL_SALES[[#This Row],[QUANTITY]]*TBL_SALES[[#This Row],[PRICE_PER_UNIT]])</f>
        <v>263628</v>
      </c>
      <c r="K77">
        <f>SUMIF(TBL_SALES[BRAND_NAME],TBL_SALES[[#This Row],[BRAND_NAME]],TBL_SALES[SALES_AMOUNT])</f>
        <v>5071935</v>
      </c>
    </row>
    <row r="78" spans="1:11" x14ac:dyDescent="0.25">
      <c r="A78" t="s">
        <v>119</v>
      </c>
      <c r="B78" t="s">
        <v>10</v>
      </c>
      <c r="C78" t="s">
        <v>30</v>
      </c>
      <c r="D78" t="s">
        <v>31</v>
      </c>
      <c r="E78">
        <v>2</v>
      </c>
      <c r="F78">
        <v>95160</v>
      </c>
      <c r="G78" t="s">
        <v>50</v>
      </c>
      <c r="H78" t="s">
        <v>36</v>
      </c>
      <c r="I78" s="1">
        <v>45379</v>
      </c>
      <c r="J78" s="2">
        <f>SUM(TBL_SALES[[#This Row],[QUANTITY]]*TBL_SALES[[#This Row],[PRICE_PER_UNIT]])</f>
        <v>190320</v>
      </c>
      <c r="K78">
        <f>SUMIF(TBL_SALES[BRAND_NAME],TBL_SALES[[#This Row],[BRAND_NAME]],TBL_SALES[SALES_AMOUNT])</f>
        <v>6392331</v>
      </c>
    </row>
    <row r="79" spans="1:11" x14ac:dyDescent="0.25">
      <c r="A79" t="s">
        <v>120</v>
      </c>
      <c r="B79" t="s">
        <v>10</v>
      </c>
      <c r="C79" t="s">
        <v>41</v>
      </c>
      <c r="D79" t="s">
        <v>62</v>
      </c>
      <c r="E79">
        <v>1</v>
      </c>
      <c r="F79">
        <v>45868</v>
      </c>
      <c r="G79" t="s">
        <v>39</v>
      </c>
      <c r="H79" t="s">
        <v>18</v>
      </c>
      <c r="I79" s="1">
        <v>45249</v>
      </c>
      <c r="J79" s="2">
        <f>SUM(TBL_SALES[[#This Row],[QUANTITY]]*TBL_SALES[[#This Row],[PRICE_PER_UNIT]])</f>
        <v>45868</v>
      </c>
      <c r="K79">
        <f>SUMIF(TBL_SALES[BRAND_NAME],TBL_SALES[[#This Row],[BRAND_NAME]],TBL_SALES[SALES_AMOUNT])</f>
        <v>4627368</v>
      </c>
    </row>
    <row r="80" spans="1:11" x14ac:dyDescent="0.25">
      <c r="A80" t="s">
        <v>121</v>
      </c>
      <c r="B80" t="s">
        <v>10</v>
      </c>
      <c r="C80" t="s">
        <v>47</v>
      </c>
      <c r="D80" t="s">
        <v>72</v>
      </c>
      <c r="E80">
        <v>3</v>
      </c>
      <c r="F80">
        <v>45942</v>
      </c>
      <c r="G80" t="s">
        <v>33</v>
      </c>
      <c r="H80" t="s">
        <v>18</v>
      </c>
      <c r="I80" s="1">
        <v>45867</v>
      </c>
      <c r="J80" s="2">
        <f>SUM(TBL_SALES[[#This Row],[QUANTITY]]*TBL_SALES[[#This Row],[PRICE_PER_UNIT]])</f>
        <v>137826</v>
      </c>
      <c r="K80">
        <f>SUMIF(TBL_SALES[BRAND_NAME],TBL_SALES[[#This Row],[BRAND_NAME]],TBL_SALES[SALES_AMOUNT])</f>
        <v>2863185</v>
      </c>
    </row>
    <row r="81" spans="1:11" x14ac:dyDescent="0.25">
      <c r="A81" t="s">
        <v>122</v>
      </c>
      <c r="B81" t="s">
        <v>10</v>
      </c>
      <c r="C81" t="s">
        <v>47</v>
      </c>
      <c r="D81" t="s">
        <v>48</v>
      </c>
      <c r="E81">
        <v>1</v>
      </c>
      <c r="F81">
        <v>56224</v>
      </c>
      <c r="G81" t="s">
        <v>13</v>
      </c>
      <c r="H81" t="s">
        <v>14</v>
      </c>
      <c r="I81" s="1">
        <v>45580</v>
      </c>
      <c r="J81" s="2">
        <f>SUM(TBL_SALES[[#This Row],[QUANTITY]]*TBL_SALES[[#This Row],[PRICE_PER_UNIT]])</f>
        <v>56224</v>
      </c>
      <c r="K81">
        <f>SUMIF(TBL_SALES[BRAND_NAME],TBL_SALES[[#This Row],[BRAND_NAME]],TBL_SALES[SALES_AMOUNT])</f>
        <v>2863185</v>
      </c>
    </row>
    <row r="82" spans="1:11" x14ac:dyDescent="0.25">
      <c r="A82" t="s">
        <v>123</v>
      </c>
      <c r="B82" t="s">
        <v>10</v>
      </c>
      <c r="C82" t="s">
        <v>41</v>
      </c>
      <c r="D82" t="s">
        <v>42</v>
      </c>
      <c r="E82">
        <v>2</v>
      </c>
      <c r="F82">
        <v>110876</v>
      </c>
      <c r="G82" t="s">
        <v>13</v>
      </c>
      <c r="H82" t="s">
        <v>14</v>
      </c>
      <c r="I82" s="1">
        <v>45762</v>
      </c>
      <c r="J82" s="2">
        <f>SUM(TBL_SALES[[#This Row],[QUANTITY]]*TBL_SALES[[#This Row],[PRICE_PER_UNIT]])</f>
        <v>221752</v>
      </c>
      <c r="K82">
        <f>SUMIF(TBL_SALES[BRAND_NAME],TBL_SALES[[#This Row],[BRAND_NAME]],TBL_SALES[SALES_AMOUNT])</f>
        <v>4627368</v>
      </c>
    </row>
    <row r="83" spans="1:11" x14ac:dyDescent="0.25">
      <c r="A83" t="s">
        <v>124</v>
      </c>
      <c r="B83" t="s">
        <v>10</v>
      </c>
      <c r="C83" t="s">
        <v>41</v>
      </c>
      <c r="D83" t="s">
        <v>62</v>
      </c>
      <c r="E83">
        <v>3</v>
      </c>
      <c r="F83">
        <v>100961</v>
      </c>
      <c r="G83" t="s">
        <v>27</v>
      </c>
      <c r="H83" t="s">
        <v>28</v>
      </c>
      <c r="I83" s="1">
        <v>45753</v>
      </c>
      <c r="J83" s="2">
        <f>SUM(TBL_SALES[[#This Row],[QUANTITY]]*TBL_SALES[[#This Row],[PRICE_PER_UNIT]])</f>
        <v>302883</v>
      </c>
      <c r="K83">
        <f>SUMIF(TBL_SALES[BRAND_NAME],TBL_SALES[[#This Row],[BRAND_NAME]],TBL_SALES[SALES_AMOUNT])</f>
        <v>4627368</v>
      </c>
    </row>
    <row r="84" spans="1:11" x14ac:dyDescent="0.25">
      <c r="A84" t="s">
        <v>125</v>
      </c>
      <c r="B84" t="s">
        <v>10</v>
      </c>
      <c r="C84" t="s">
        <v>47</v>
      </c>
      <c r="D84" t="s">
        <v>48</v>
      </c>
      <c r="E84">
        <v>3</v>
      </c>
      <c r="F84">
        <v>54509</v>
      </c>
      <c r="G84" t="s">
        <v>39</v>
      </c>
      <c r="H84" t="s">
        <v>18</v>
      </c>
      <c r="I84" s="1">
        <v>45893</v>
      </c>
      <c r="J84" s="2">
        <f>SUM(TBL_SALES[[#This Row],[QUANTITY]]*TBL_SALES[[#This Row],[PRICE_PER_UNIT]])</f>
        <v>163527</v>
      </c>
      <c r="K84">
        <f>SUMIF(TBL_SALES[BRAND_NAME],TBL_SALES[[#This Row],[BRAND_NAME]],TBL_SALES[SALES_AMOUNT])</f>
        <v>2863185</v>
      </c>
    </row>
    <row r="85" spans="1:11" x14ac:dyDescent="0.25">
      <c r="A85" t="s">
        <v>126</v>
      </c>
      <c r="B85" t="s">
        <v>10</v>
      </c>
      <c r="C85" t="s">
        <v>47</v>
      </c>
      <c r="D85" t="s">
        <v>72</v>
      </c>
      <c r="E85">
        <v>4</v>
      </c>
      <c r="F85">
        <v>79393</v>
      </c>
      <c r="G85" t="s">
        <v>50</v>
      </c>
      <c r="H85" t="s">
        <v>36</v>
      </c>
      <c r="I85" s="1">
        <v>45574</v>
      </c>
      <c r="J85" s="2">
        <f>SUM(TBL_SALES[[#This Row],[QUANTITY]]*TBL_SALES[[#This Row],[PRICE_PER_UNIT]])</f>
        <v>317572</v>
      </c>
      <c r="K85">
        <f>SUMIF(TBL_SALES[BRAND_NAME],TBL_SALES[[#This Row],[BRAND_NAME]],TBL_SALES[SALES_AMOUNT])</f>
        <v>2863185</v>
      </c>
    </row>
    <row r="86" spans="1:11" x14ac:dyDescent="0.25">
      <c r="A86" t="s">
        <v>127</v>
      </c>
      <c r="B86" t="s">
        <v>10</v>
      </c>
      <c r="C86" t="s">
        <v>23</v>
      </c>
      <c r="D86" t="s">
        <v>58</v>
      </c>
      <c r="E86">
        <v>4</v>
      </c>
      <c r="F86">
        <v>81670</v>
      </c>
      <c r="G86" t="s">
        <v>35</v>
      </c>
      <c r="H86" t="s">
        <v>36</v>
      </c>
      <c r="I86" s="1">
        <v>45844</v>
      </c>
      <c r="J86" s="2">
        <f>SUM(TBL_SALES[[#This Row],[QUANTITY]]*TBL_SALES[[#This Row],[PRICE_PER_UNIT]])</f>
        <v>326680</v>
      </c>
      <c r="K86">
        <f>SUMIF(TBL_SALES[BRAND_NAME],TBL_SALES[[#This Row],[BRAND_NAME]],TBL_SALES[SALES_AMOUNT])</f>
        <v>2939163</v>
      </c>
    </row>
    <row r="87" spans="1:11" x14ac:dyDescent="0.25">
      <c r="A87" t="s">
        <v>128</v>
      </c>
      <c r="B87" t="s">
        <v>10</v>
      </c>
      <c r="C87" t="s">
        <v>11</v>
      </c>
      <c r="D87" t="s">
        <v>16</v>
      </c>
      <c r="E87">
        <v>5</v>
      </c>
      <c r="F87">
        <v>58053</v>
      </c>
      <c r="G87" t="s">
        <v>33</v>
      </c>
      <c r="H87" t="s">
        <v>18</v>
      </c>
      <c r="I87" s="1">
        <v>45340</v>
      </c>
      <c r="J87" s="2">
        <f>SUM(TBL_SALES[[#This Row],[QUANTITY]]*TBL_SALES[[#This Row],[PRICE_PER_UNIT]])</f>
        <v>290265</v>
      </c>
      <c r="K87">
        <f>SUMIF(TBL_SALES[BRAND_NAME],TBL_SALES[[#This Row],[BRAND_NAME]],TBL_SALES[SALES_AMOUNT])</f>
        <v>3447703</v>
      </c>
    </row>
    <row r="88" spans="1:11" x14ac:dyDescent="0.25">
      <c r="A88" t="s">
        <v>129</v>
      </c>
      <c r="B88" t="s">
        <v>10</v>
      </c>
      <c r="C88" t="s">
        <v>30</v>
      </c>
      <c r="D88" t="s">
        <v>38</v>
      </c>
      <c r="E88">
        <v>3</v>
      </c>
      <c r="F88">
        <v>115336</v>
      </c>
      <c r="G88" t="s">
        <v>59</v>
      </c>
      <c r="H88" t="s">
        <v>60</v>
      </c>
      <c r="I88" s="1">
        <v>45699</v>
      </c>
      <c r="J88" s="2">
        <f>SUM(TBL_SALES[[#This Row],[QUANTITY]]*TBL_SALES[[#This Row],[PRICE_PER_UNIT]])</f>
        <v>346008</v>
      </c>
      <c r="K88">
        <f>SUMIF(TBL_SALES[BRAND_NAME],TBL_SALES[[#This Row],[BRAND_NAME]],TBL_SALES[SALES_AMOUNT])</f>
        <v>6392331</v>
      </c>
    </row>
    <row r="89" spans="1:11" x14ac:dyDescent="0.25">
      <c r="A89" t="s">
        <v>130</v>
      </c>
      <c r="B89" t="s">
        <v>10</v>
      </c>
      <c r="C89" t="s">
        <v>20</v>
      </c>
      <c r="D89" t="s">
        <v>26</v>
      </c>
      <c r="E89">
        <v>1</v>
      </c>
      <c r="F89">
        <v>77223</v>
      </c>
      <c r="G89" t="s">
        <v>35</v>
      </c>
      <c r="H89" t="s">
        <v>36</v>
      </c>
      <c r="I89" s="1">
        <v>45864</v>
      </c>
      <c r="J89" s="2">
        <f>SUM(TBL_SALES[[#This Row],[QUANTITY]]*TBL_SALES[[#This Row],[PRICE_PER_UNIT]])</f>
        <v>77223</v>
      </c>
      <c r="K89">
        <f>SUMIF(TBL_SALES[BRAND_NAME],TBL_SALES[[#This Row],[BRAND_NAME]],TBL_SALES[SALES_AMOUNT])</f>
        <v>5071935</v>
      </c>
    </row>
    <row r="90" spans="1:11" x14ac:dyDescent="0.25">
      <c r="A90" t="s">
        <v>131</v>
      </c>
      <c r="B90" t="s">
        <v>10</v>
      </c>
      <c r="C90" t="s">
        <v>20</v>
      </c>
      <c r="D90" t="s">
        <v>21</v>
      </c>
      <c r="E90">
        <v>1</v>
      </c>
      <c r="F90">
        <v>61574</v>
      </c>
      <c r="G90" t="s">
        <v>17</v>
      </c>
      <c r="H90" t="s">
        <v>18</v>
      </c>
      <c r="I90" s="1">
        <v>45969</v>
      </c>
      <c r="J90" s="2">
        <f>SUM(TBL_SALES[[#This Row],[QUANTITY]]*TBL_SALES[[#This Row],[PRICE_PER_UNIT]])</f>
        <v>61574</v>
      </c>
      <c r="K90">
        <f>SUMIF(TBL_SALES[BRAND_NAME],TBL_SALES[[#This Row],[BRAND_NAME]],TBL_SALES[SALES_AMOUNT])</f>
        <v>5071935</v>
      </c>
    </row>
    <row r="91" spans="1:11" x14ac:dyDescent="0.25">
      <c r="A91" t="s">
        <v>132</v>
      </c>
      <c r="B91" t="s">
        <v>10</v>
      </c>
      <c r="C91" t="s">
        <v>30</v>
      </c>
      <c r="D91" t="s">
        <v>38</v>
      </c>
      <c r="E91">
        <v>5</v>
      </c>
      <c r="F91">
        <v>79624</v>
      </c>
      <c r="G91" t="s">
        <v>59</v>
      </c>
      <c r="H91" t="s">
        <v>60</v>
      </c>
      <c r="I91" s="1">
        <v>45894</v>
      </c>
      <c r="J91" s="2">
        <f>SUM(TBL_SALES[[#This Row],[QUANTITY]]*TBL_SALES[[#This Row],[PRICE_PER_UNIT]])</f>
        <v>398120</v>
      </c>
      <c r="K91">
        <f>SUMIF(TBL_SALES[BRAND_NAME],TBL_SALES[[#This Row],[BRAND_NAME]],TBL_SALES[SALES_AMOUNT])</f>
        <v>6392331</v>
      </c>
    </row>
    <row r="92" spans="1:11" x14ac:dyDescent="0.25">
      <c r="A92" t="s">
        <v>133</v>
      </c>
      <c r="B92" t="s">
        <v>10</v>
      </c>
      <c r="C92" t="s">
        <v>23</v>
      </c>
      <c r="D92" t="s">
        <v>24</v>
      </c>
      <c r="E92">
        <v>5</v>
      </c>
      <c r="F92">
        <v>45458</v>
      </c>
      <c r="G92" t="s">
        <v>17</v>
      </c>
      <c r="H92" t="s">
        <v>18</v>
      </c>
      <c r="I92" s="1">
        <v>45632</v>
      </c>
      <c r="J92" s="2">
        <f>SUM(TBL_SALES[[#This Row],[QUANTITY]]*TBL_SALES[[#This Row],[PRICE_PER_UNIT]])</f>
        <v>227290</v>
      </c>
      <c r="K92">
        <f>SUMIF(TBL_SALES[BRAND_NAME],TBL_SALES[[#This Row],[BRAND_NAME]],TBL_SALES[SALES_AMOUNT])</f>
        <v>2939163</v>
      </c>
    </row>
    <row r="93" spans="1:11" x14ac:dyDescent="0.25">
      <c r="A93" t="s">
        <v>134</v>
      </c>
      <c r="B93" t="s">
        <v>10</v>
      </c>
      <c r="C93" t="s">
        <v>20</v>
      </c>
      <c r="D93" t="s">
        <v>26</v>
      </c>
      <c r="E93">
        <v>4</v>
      </c>
      <c r="F93">
        <v>60349</v>
      </c>
      <c r="G93" t="s">
        <v>55</v>
      </c>
      <c r="H93" t="s">
        <v>28</v>
      </c>
      <c r="I93" s="1">
        <v>45253</v>
      </c>
      <c r="J93" s="2">
        <f>SUM(TBL_SALES[[#This Row],[QUANTITY]]*TBL_SALES[[#This Row],[PRICE_PER_UNIT]])</f>
        <v>241396</v>
      </c>
      <c r="K93">
        <f>SUMIF(TBL_SALES[BRAND_NAME],TBL_SALES[[#This Row],[BRAND_NAME]],TBL_SALES[SALES_AMOUNT])</f>
        <v>5071935</v>
      </c>
    </row>
    <row r="94" spans="1:11" x14ac:dyDescent="0.25">
      <c r="A94" t="s">
        <v>135</v>
      </c>
      <c r="B94" t="s">
        <v>10</v>
      </c>
      <c r="C94" t="s">
        <v>47</v>
      </c>
      <c r="D94" t="s">
        <v>48</v>
      </c>
      <c r="E94">
        <v>4</v>
      </c>
      <c r="F94">
        <v>103163</v>
      </c>
      <c r="G94" t="s">
        <v>27</v>
      </c>
      <c r="H94" t="s">
        <v>28</v>
      </c>
      <c r="I94" s="1">
        <v>45295</v>
      </c>
      <c r="J94" s="2">
        <f>SUM(TBL_SALES[[#This Row],[QUANTITY]]*TBL_SALES[[#This Row],[PRICE_PER_UNIT]])</f>
        <v>412652</v>
      </c>
      <c r="K94">
        <f>SUMIF(TBL_SALES[BRAND_NAME],TBL_SALES[[#This Row],[BRAND_NAME]],TBL_SALES[SALES_AMOUNT])</f>
        <v>2863185</v>
      </c>
    </row>
    <row r="95" spans="1:11" x14ac:dyDescent="0.25">
      <c r="A95" t="s">
        <v>136</v>
      </c>
      <c r="B95" t="s">
        <v>10</v>
      </c>
      <c r="C95" t="s">
        <v>30</v>
      </c>
      <c r="D95" t="s">
        <v>31</v>
      </c>
      <c r="E95">
        <v>1</v>
      </c>
      <c r="F95">
        <v>52724</v>
      </c>
      <c r="G95" t="s">
        <v>17</v>
      </c>
      <c r="H95" t="s">
        <v>18</v>
      </c>
      <c r="I95" s="1">
        <v>45424</v>
      </c>
      <c r="J95" s="2">
        <f>SUM(TBL_SALES[[#This Row],[QUANTITY]]*TBL_SALES[[#This Row],[PRICE_PER_UNIT]])</f>
        <v>52724</v>
      </c>
      <c r="K95">
        <f>SUMIF(TBL_SALES[BRAND_NAME],TBL_SALES[[#This Row],[BRAND_NAME]],TBL_SALES[SALES_AMOUNT])</f>
        <v>6392331</v>
      </c>
    </row>
    <row r="96" spans="1:11" x14ac:dyDescent="0.25">
      <c r="A96" t="s">
        <v>137</v>
      </c>
      <c r="B96" t="s">
        <v>10</v>
      </c>
      <c r="C96" t="s">
        <v>11</v>
      </c>
      <c r="D96" t="s">
        <v>12</v>
      </c>
      <c r="E96">
        <v>1</v>
      </c>
      <c r="F96">
        <v>67281</v>
      </c>
      <c r="G96" t="s">
        <v>43</v>
      </c>
      <c r="H96" t="s">
        <v>14</v>
      </c>
      <c r="I96" s="1">
        <v>45901</v>
      </c>
      <c r="J96" s="2">
        <f>SUM(TBL_SALES[[#This Row],[QUANTITY]]*TBL_SALES[[#This Row],[PRICE_PER_UNIT]])</f>
        <v>67281</v>
      </c>
      <c r="K96">
        <f>SUMIF(TBL_SALES[BRAND_NAME],TBL_SALES[[#This Row],[BRAND_NAME]],TBL_SALES[SALES_AMOUNT])</f>
        <v>3447703</v>
      </c>
    </row>
    <row r="97" spans="1:11" x14ac:dyDescent="0.25">
      <c r="A97" t="s">
        <v>138</v>
      </c>
      <c r="B97" t="s">
        <v>10</v>
      </c>
      <c r="C97" t="s">
        <v>41</v>
      </c>
      <c r="D97" t="s">
        <v>62</v>
      </c>
      <c r="E97">
        <v>1</v>
      </c>
      <c r="F97">
        <v>47082</v>
      </c>
      <c r="G97" t="s">
        <v>33</v>
      </c>
      <c r="H97" t="s">
        <v>18</v>
      </c>
      <c r="I97" s="1">
        <v>45522</v>
      </c>
      <c r="J97" s="2">
        <f>SUM(TBL_SALES[[#This Row],[QUANTITY]]*TBL_SALES[[#This Row],[PRICE_PER_UNIT]])</f>
        <v>47082</v>
      </c>
      <c r="K97">
        <f>SUMIF(TBL_SALES[BRAND_NAME],TBL_SALES[[#This Row],[BRAND_NAME]],TBL_SALES[SALES_AMOUNT])</f>
        <v>4627368</v>
      </c>
    </row>
    <row r="98" spans="1:11" x14ac:dyDescent="0.25">
      <c r="A98" t="s">
        <v>139</v>
      </c>
      <c r="B98" t="s">
        <v>10</v>
      </c>
      <c r="C98" t="s">
        <v>30</v>
      </c>
      <c r="D98" t="s">
        <v>31</v>
      </c>
      <c r="E98">
        <v>4</v>
      </c>
      <c r="F98">
        <v>115162</v>
      </c>
      <c r="G98" t="s">
        <v>13</v>
      </c>
      <c r="H98" t="s">
        <v>14</v>
      </c>
      <c r="I98" s="1">
        <v>45845</v>
      </c>
      <c r="J98" s="2">
        <f>SUM(TBL_SALES[[#This Row],[QUANTITY]]*TBL_SALES[[#This Row],[PRICE_PER_UNIT]])</f>
        <v>460648</v>
      </c>
      <c r="K98">
        <f>SUMIF(TBL_SALES[BRAND_NAME],TBL_SALES[[#This Row],[BRAND_NAME]],TBL_SALES[SALES_AMOUNT])</f>
        <v>6392331</v>
      </c>
    </row>
    <row r="99" spans="1:11" x14ac:dyDescent="0.25">
      <c r="A99" t="s">
        <v>140</v>
      </c>
      <c r="B99" t="s">
        <v>10</v>
      </c>
      <c r="C99" t="s">
        <v>20</v>
      </c>
      <c r="D99" t="s">
        <v>21</v>
      </c>
      <c r="E99">
        <v>5</v>
      </c>
      <c r="F99">
        <v>62500</v>
      </c>
      <c r="G99" t="s">
        <v>33</v>
      </c>
      <c r="H99" t="s">
        <v>18</v>
      </c>
      <c r="I99" s="1">
        <v>45504</v>
      </c>
      <c r="J99" s="2">
        <f>SUM(TBL_SALES[[#This Row],[QUANTITY]]*TBL_SALES[[#This Row],[PRICE_PER_UNIT]])</f>
        <v>312500</v>
      </c>
      <c r="K99">
        <f>SUMIF(TBL_SALES[BRAND_NAME],TBL_SALES[[#This Row],[BRAND_NAME]],TBL_SALES[SALES_AMOUNT])</f>
        <v>5071935</v>
      </c>
    </row>
    <row r="100" spans="1:11" x14ac:dyDescent="0.25">
      <c r="A100" t="s">
        <v>141</v>
      </c>
      <c r="B100" t="s">
        <v>10</v>
      </c>
      <c r="C100" t="s">
        <v>30</v>
      </c>
      <c r="D100" t="s">
        <v>38</v>
      </c>
      <c r="E100">
        <v>1</v>
      </c>
      <c r="F100">
        <v>114507</v>
      </c>
      <c r="G100" t="s">
        <v>27</v>
      </c>
      <c r="H100" t="s">
        <v>28</v>
      </c>
      <c r="I100" s="1">
        <v>45384</v>
      </c>
      <c r="J100" s="2">
        <f>SUM(TBL_SALES[[#This Row],[QUANTITY]]*TBL_SALES[[#This Row],[PRICE_PER_UNIT]])</f>
        <v>114507</v>
      </c>
      <c r="K100">
        <f>SUMIF(TBL_SALES[BRAND_NAME],TBL_SALES[[#This Row],[BRAND_NAME]],TBL_SALES[SALES_AMOUNT])</f>
        <v>6392331</v>
      </c>
    </row>
    <row r="101" spans="1:11" x14ac:dyDescent="0.25">
      <c r="A101" t="s">
        <v>142</v>
      </c>
      <c r="B101" t="s">
        <v>10</v>
      </c>
      <c r="C101" t="s">
        <v>47</v>
      </c>
      <c r="D101" t="s">
        <v>72</v>
      </c>
      <c r="E101">
        <v>1</v>
      </c>
      <c r="F101">
        <v>105811</v>
      </c>
      <c r="G101" t="s">
        <v>39</v>
      </c>
      <c r="H101" t="s">
        <v>18</v>
      </c>
      <c r="I101" s="1">
        <v>45459</v>
      </c>
      <c r="J101" s="2">
        <f>SUM(TBL_SALES[[#This Row],[QUANTITY]]*TBL_SALES[[#This Row],[PRICE_PER_UNIT]])</f>
        <v>105811</v>
      </c>
      <c r="K101">
        <f>SUMIF(TBL_SALES[BRAND_NAME],TBL_SALES[[#This Row],[BRAND_NAME]],TBL_SALES[SALES_AMOUNT])</f>
        <v>2863185</v>
      </c>
    </row>
    <row r="102" spans="1:11" x14ac:dyDescent="0.25">
      <c r="A102" t="s">
        <v>143</v>
      </c>
      <c r="B102" t="s">
        <v>144</v>
      </c>
      <c r="C102" t="s">
        <v>145</v>
      </c>
      <c r="D102" t="s">
        <v>146</v>
      </c>
      <c r="E102">
        <v>1</v>
      </c>
      <c r="F102">
        <v>15624</v>
      </c>
      <c r="G102" t="s">
        <v>39</v>
      </c>
      <c r="H102" t="s">
        <v>60</v>
      </c>
      <c r="I102" s="1">
        <v>45734</v>
      </c>
      <c r="J102" s="2">
        <f>SUM(TBL_SALES[[#This Row],[QUANTITY]]*TBL_SALES[[#This Row],[PRICE_PER_UNIT]])</f>
        <v>15624</v>
      </c>
      <c r="K102">
        <f>SUMIF(TBL_SALES[BRAND_NAME],TBL_SALES[[#This Row],[BRAND_NAME]],TBL_SALES[SALES_AMOUNT])</f>
        <v>872059</v>
      </c>
    </row>
    <row r="103" spans="1:11" x14ac:dyDescent="0.25">
      <c r="A103" t="s">
        <v>147</v>
      </c>
      <c r="B103" t="s">
        <v>144</v>
      </c>
      <c r="C103" t="s">
        <v>148</v>
      </c>
      <c r="D103" t="s">
        <v>149</v>
      </c>
      <c r="E103">
        <v>2</v>
      </c>
      <c r="F103">
        <v>66123</v>
      </c>
      <c r="G103" t="s">
        <v>33</v>
      </c>
      <c r="H103" t="s">
        <v>18</v>
      </c>
      <c r="I103" s="1">
        <v>45744</v>
      </c>
      <c r="J103" s="2">
        <f>SUM(TBL_SALES[[#This Row],[QUANTITY]]*TBL_SALES[[#This Row],[PRICE_PER_UNIT]])</f>
        <v>132246</v>
      </c>
      <c r="K103">
        <f>SUMIF(TBL_SALES[BRAND_NAME],TBL_SALES[[#This Row],[BRAND_NAME]],TBL_SALES[SALES_AMOUNT])</f>
        <v>926044</v>
      </c>
    </row>
    <row r="104" spans="1:11" x14ac:dyDescent="0.25">
      <c r="A104" t="s">
        <v>150</v>
      </c>
      <c r="B104" t="s">
        <v>144</v>
      </c>
      <c r="C104" t="s">
        <v>151</v>
      </c>
      <c r="D104" t="s">
        <v>152</v>
      </c>
      <c r="E104">
        <v>4</v>
      </c>
      <c r="F104">
        <v>26124</v>
      </c>
      <c r="G104" t="s">
        <v>43</v>
      </c>
      <c r="H104" t="s">
        <v>60</v>
      </c>
      <c r="I104" s="1">
        <v>45926</v>
      </c>
      <c r="J104" s="2">
        <f>SUM(TBL_SALES[[#This Row],[QUANTITY]]*TBL_SALES[[#This Row],[PRICE_PER_UNIT]])</f>
        <v>104496</v>
      </c>
      <c r="K104">
        <f>SUMIF(TBL_SALES[BRAND_NAME],TBL_SALES[[#This Row],[BRAND_NAME]],TBL_SALES[SALES_AMOUNT])</f>
        <v>1033916</v>
      </c>
    </row>
    <row r="105" spans="1:11" x14ac:dyDescent="0.25">
      <c r="A105" t="s">
        <v>153</v>
      </c>
      <c r="B105" t="s">
        <v>144</v>
      </c>
      <c r="C105" t="s">
        <v>154</v>
      </c>
      <c r="D105" t="s">
        <v>155</v>
      </c>
      <c r="E105">
        <v>5</v>
      </c>
      <c r="F105">
        <v>57429</v>
      </c>
      <c r="G105" t="s">
        <v>33</v>
      </c>
      <c r="H105" t="s">
        <v>14</v>
      </c>
      <c r="I105" s="1">
        <v>45787</v>
      </c>
      <c r="J105" s="2">
        <f>SUM(TBL_SALES[[#This Row],[QUANTITY]]*TBL_SALES[[#This Row],[PRICE_PER_UNIT]])</f>
        <v>287145</v>
      </c>
      <c r="K105">
        <f>SUMIF(TBL_SALES[BRAND_NAME],TBL_SALES[[#This Row],[BRAND_NAME]],TBL_SALES[SALES_AMOUNT])</f>
        <v>788607</v>
      </c>
    </row>
    <row r="106" spans="1:11" x14ac:dyDescent="0.25">
      <c r="A106" t="s">
        <v>156</v>
      </c>
      <c r="B106" t="s">
        <v>144</v>
      </c>
      <c r="C106" t="s">
        <v>157</v>
      </c>
      <c r="D106" t="s">
        <v>158</v>
      </c>
      <c r="E106">
        <v>2</v>
      </c>
      <c r="F106">
        <v>89091</v>
      </c>
      <c r="G106" t="s">
        <v>43</v>
      </c>
      <c r="H106" t="s">
        <v>36</v>
      </c>
      <c r="I106" s="1">
        <v>45734</v>
      </c>
      <c r="J106" s="2">
        <f>SUM(TBL_SALES[[#This Row],[QUANTITY]]*TBL_SALES[[#This Row],[PRICE_PER_UNIT]])</f>
        <v>178182</v>
      </c>
      <c r="K106">
        <f>SUMIF(TBL_SALES[BRAND_NAME],TBL_SALES[[#This Row],[BRAND_NAME]],TBL_SALES[SALES_AMOUNT])</f>
        <v>461421</v>
      </c>
    </row>
    <row r="107" spans="1:11" x14ac:dyDescent="0.25">
      <c r="A107" t="s">
        <v>159</v>
      </c>
      <c r="B107" t="s">
        <v>144</v>
      </c>
      <c r="C107" t="s">
        <v>154</v>
      </c>
      <c r="D107" t="s">
        <v>155</v>
      </c>
      <c r="E107">
        <v>4</v>
      </c>
      <c r="F107">
        <v>30710</v>
      </c>
      <c r="G107" t="s">
        <v>33</v>
      </c>
      <c r="H107" t="s">
        <v>18</v>
      </c>
      <c r="I107" s="1">
        <v>45926</v>
      </c>
      <c r="J107" s="2">
        <f>SUM(TBL_SALES[[#This Row],[QUANTITY]]*TBL_SALES[[#This Row],[PRICE_PER_UNIT]])</f>
        <v>122840</v>
      </c>
      <c r="K107">
        <f>SUMIF(TBL_SALES[BRAND_NAME],TBL_SALES[[#This Row],[BRAND_NAME]],TBL_SALES[SALES_AMOUNT])</f>
        <v>788607</v>
      </c>
    </row>
    <row r="108" spans="1:11" x14ac:dyDescent="0.25">
      <c r="A108" t="s">
        <v>160</v>
      </c>
      <c r="B108" t="s">
        <v>144</v>
      </c>
      <c r="C108" t="s">
        <v>161</v>
      </c>
      <c r="D108" t="s">
        <v>162</v>
      </c>
      <c r="E108">
        <v>2</v>
      </c>
      <c r="F108">
        <v>45254</v>
      </c>
      <c r="G108" t="s">
        <v>17</v>
      </c>
      <c r="H108" t="s">
        <v>14</v>
      </c>
      <c r="I108" s="1">
        <v>45667</v>
      </c>
      <c r="J108" s="2">
        <f>SUM(TBL_SALES[[#This Row],[QUANTITY]]*TBL_SALES[[#This Row],[PRICE_PER_UNIT]])</f>
        <v>90508</v>
      </c>
      <c r="K108">
        <f>SUMIF(TBL_SALES[BRAND_NAME],TBL_SALES[[#This Row],[BRAND_NAME]],TBL_SALES[SALES_AMOUNT])</f>
        <v>696807</v>
      </c>
    </row>
    <row r="109" spans="1:11" x14ac:dyDescent="0.25">
      <c r="A109" t="s">
        <v>163</v>
      </c>
      <c r="B109" t="s">
        <v>144</v>
      </c>
      <c r="C109" t="s">
        <v>151</v>
      </c>
      <c r="D109" t="s">
        <v>152</v>
      </c>
      <c r="E109">
        <v>3</v>
      </c>
      <c r="F109">
        <v>41447</v>
      </c>
      <c r="G109" t="s">
        <v>43</v>
      </c>
      <c r="H109" t="s">
        <v>60</v>
      </c>
      <c r="I109" s="1">
        <v>45928</v>
      </c>
      <c r="J109" s="2">
        <f>SUM(TBL_SALES[[#This Row],[QUANTITY]]*TBL_SALES[[#This Row],[PRICE_PER_UNIT]])</f>
        <v>124341</v>
      </c>
      <c r="K109">
        <f>SUMIF(TBL_SALES[BRAND_NAME],TBL_SALES[[#This Row],[BRAND_NAME]],TBL_SALES[SALES_AMOUNT])</f>
        <v>1033916</v>
      </c>
    </row>
    <row r="110" spans="1:11" x14ac:dyDescent="0.25">
      <c r="A110" t="s">
        <v>164</v>
      </c>
      <c r="B110" t="s">
        <v>144</v>
      </c>
      <c r="C110" t="s">
        <v>161</v>
      </c>
      <c r="D110" t="s">
        <v>162</v>
      </c>
      <c r="E110">
        <v>2</v>
      </c>
      <c r="F110">
        <v>50220</v>
      </c>
      <c r="G110" t="s">
        <v>43</v>
      </c>
      <c r="H110" t="s">
        <v>14</v>
      </c>
      <c r="I110" s="1">
        <v>45924</v>
      </c>
      <c r="J110" s="2">
        <f>SUM(TBL_SALES[[#This Row],[QUANTITY]]*TBL_SALES[[#This Row],[PRICE_PER_UNIT]])</f>
        <v>100440</v>
      </c>
      <c r="K110">
        <f>SUMIF(TBL_SALES[BRAND_NAME],TBL_SALES[[#This Row],[BRAND_NAME]],TBL_SALES[SALES_AMOUNT])</f>
        <v>696807</v>
      </c>
    </row>
    <row r="111" spans="1:11" x14ac:dyDescent="0.25">
      <c r="A111" t="s">
        <v>165</v>
      </c>
      <c r="B111" t="s">
        <v>144</v>
      </c>
      <c r="C111" t="s">
        <v>145</v>
      </c>
      <c r="D111" t="s">
        <v>146</v>
      </c>
      <c r="E111">
        <v>5</v>
      </c>
      <c r="F111">
        <v>56642</v>
      </c>
      <c r="G111" t="s">
        <v>50</v>
      </c>
      <c r="H111" t="s">
        <v>18</v>
      </c>
      <c r="I111" s="1">
        <v>45957</v>
      </c>
      <c r="J111" s="2">
        <f>SUM(TBL_SALES[[#This Row],[QUANTITY]]*TBL_SALES[[#This Row],[PRICE_PER_UNIT]])</f>
        <v>283210</v>
      </c>
      <c r="K111">
        <f>SUMIF(TBL_SALES[BRAND_NAME],TBL_SALES[[#This Row],[BRAND_NAME]],TBL_SALES[SALES_AMOUNT])</f>
        <v>872059</v>
      </c>
    </row>
    <row r="112" spans="1:11" x14ac:dyDescent="0.25">
      <c r="A112" t="s">
        <v>166</v>
      </c>
      <c r="B112" t="s">
        <v>144</v>
      </c>
      <c r="C112" t="s">
        <v>167</v>
      </c>
      <c r="D112" t="s">
        <v>168</v>
      </c>
      <c r="E112">
        <v>2</v>
      </c>
      <c r="F112">
        <v>47995</v>
      </c>
      <c r="G112" t="s">
        <v>43</v>
      </c>
      <c r="H112" t="s">
        <v>36</v>
      </c>
      <c r="I112" s="1">
        <v>45944</v>
      </c>
      <c r="J112" s="2">
        <f>SUM(TBL_SALES[[#This Row],[QUANTITY]]*TBL_SALES[[#This Row],[PRICE_PER_UNIT]])</f>
        <v>95990</v>
      </c>
      <c r="K112">
        <f>SUMIF(TBL_SALES[BRAND_NAME],TBL_SALES[[#This Row],[BRAND_NAME]],TBL_SALES[SALES_AMOUNT])</f>
        <v>663890</v>
      </c>
    </row>
    <row r="113" spans="1:11" x14ac:dyDescent="0.25">
      <c r="A113" t="s">
        <v>169</v>
      </c>
      <c r="B113" t="s">
        <v>144</v>
      </c>
      <c r="C113" t="s">
        <v>145</v>
      </c>
      <c r="D113" t="s">
        <v>146</v>
      </c>
      <c r="E113">
        <v>2</v>
      </c>
      <c r="F113">
        <v>41980</v>
      </c>
      <c r="G113" t="s">
        <v>59</v>
      </c>
      <c r="H113" t="s">
        <v>14</v>
      </c>
      <c r="I113" s="1">
        <v>45912</v>
      </c>
      <c r="J113" s="2">
        <f>SUM(TBL_SALES[[#This Row],[QUANTITY]]*TBL_SALES[[#This Row],[PRICE_PER_UNIT]])</f>
        <v>83960</v>
      </c>
      <c r="K113">
        <f>SUMIF(TBL_SALES[BRAND_NAME],TBL_SALES[[#This Row],[BRAND_NAME]],TBL_SALES[SALES_AMOUNT])</f>
        <v>872059</v>
      </c>
    </row>
    <row r="114" spans="1:11" x14ac:dyDescent="0.25">
      <c r="A114" t="s">
        <v>170</v>
      </c>
      <c r="B114" t="s">
        <v>144</v>
      </c>
      <c r="C114" t="s">
        <v>171</v>
      </c>
      <c r="D114" t="s">
        <v>172</v>
      </c>
      <c r="E114">
        <v>4</v>
      </c>
      <c r="F114">
        <v>77679</v>
      </c>
      <c r="G114" t="s">
        <v>43</v>
      </c>
      <c r="H114" t="s">
        <v>60</v>
      </c>
      <c r="I114" s="1">
        <v>45959</v>
      </c>
      <c r="J114" s="2">
        <f>SUM(TBL_SALES[[#This Row],[QUANTITY]]*TBL_SALES[[#This Row],[PRICE_PER_UNIT]])</f>
        <v>310716</v>
      </c>
      <c r="K114">
        <f>SUMIF(TBL_SALES[BRAND_NAME],TBL_SALES[[#This Row],[BRAND_NAME]],TBL_SALES[SALES_AMOUNT])</f>
        <v>883221</v>
      </c>
    </row>
    <row r="115" spans="1:11" x14ac:dyDescent="0.25">
      <c r="A115" t="s">
        <v>173</v>
      </c>
      <c r="B115" t="s">
        <v>144</v>
      </c>
      <c r="C115" t="s">
        <v>167</v>
      </c>
      <c r="D115" t="s">
        <v>168</v>
      </c>
      <c r="E115">
        <v>3</v>
      </c>
      <c r="F115">
        <v>15212</v>
      </c>
      <c r="G115" t="s">
        <v>17</v>
      </c>
      <c r="H115" t="s">
        <v>14</v>
      </c>
      <c r="I115" s="1">
        <v>45863</v>
      </c>
      <c r="J115" s="2">
        <f>SUM(TBL_SALES[[#This Row],[QUANTITY]]*TBL_SALES[[#This Row],[PRICE_PER_UNIT]])</f>
        <v>45636</v>
      </c>
      <c r="K115">
        <f>SUMIF(TBL_SALES[BRAND_NAME],TBL_SALES[[#This Row],[BRAND_NAME]],TBL_SALES[SALES_AMOUNT])</f>
        <v>663890</v>
      </c>
    </row>
    <row r="116" spans="1:11" x14ac:dyDescent="0.25">
      <c r="A116" t="s">
        <v>174</v>
      </c>
      <c r="B116" t="s">
        <v>144</v>
      </c>
      <c r="C116" t="s">
        <v>145</v>
      </c>
      <c r="D116" t="s">
        <v>146</v>
      </c>
      <c r="E116">
        <v>4</v>
      </c>
      <c r="F116">
        <v>23594</v>
      </c>
      <c r="G116" t="s">
        <v>33</v>
      </c>
      <c r="H116" t="s">
        <v>18</v>
      </c>
      <c r="I116" s="1">
        <v>45721</v>
      </c>
      <c r="J116" s="2">
        <f>SUM(TBL_SALES[[#This Row],[QUANTITY]]*TBL_SALES[[#This Row],[PRICE_PER_UNIT]])</f>
        <v>94376</v>
      </c>
      <c r="K116">
        <f>SUMIF(TBL_SALES[BRAND_NAME],TBL_SALES[[#This Row],[BRAND_NAME]],TBL_SALES[SALES_AMOUNT])</f>
        <v>872059</v>
      </c>
    </row>
    <row r="117" spans="1:11" x14ac:dyDescent="0.25">
      <c r="A117" t="s">
        <v>175</v>
      </c>
      <c r="B117" t="s">
        <v>144</v>
      </c>
      <c r="C117" t="s">
        <v>148</v>
      </c>
      <c r="D117" t="s">
        <v>149</v>
      </c>
      <c r="E117">
        <v>2</v>
      </c>
      <c r="F117">
        <v>39135</v>
      </c>
      <c r="G117" t="s">
        <v>17</v>
      </c>
      <c r="H117" t="s">
        <v>36</v>
      </c>
      <c r="I117" s="1">
        <v>45630</v>
      </c>
      <c r="J117" s="2">
        <f>SUM(TBL_SALES[[#This Row],[QUANTITY]]*TBL_SALES[[#This Row],[PRICE_PER_UNIT]])</f>
        <v>78270</v>
      </c>
      <c r="K117">
        <f>SUMIF(TBL_SALES[BRAND_NAME],TBL_SALES[[#This Row],[BRAND_NAME]],TBL_SALES[SALES_AMOUNT])</f>
        <v>926044</v>
      </c>
    </row>
    <row r="118" spans="1:11" x14ac:dyDescent="0.25">
      <c r="A118" t="s">
        <v>176</v>
      </c>
      <c r="B118" t="s">
        <v>144</v>
      </c>
      <c r="C118" t="s">
        <v>161</v>
      </c>
      <c r="D118" t="s">
        <v>162</v>
      </c>
      <c r="E118">
        <v>1</v>
      </c>
      <c r="F118">
        <v>78139</v>
      </c>
      <c r="G118" t="s">
        <v>50</v>
      </c>
      <c r="H118" t="s">
        <v>14</v>
      </c>
      <c r="I118" s="1">
        <v>45923</v>
      </c>
      <c r="J118" s="2">
        <f>SUM(TBL_SALES[[#This Row],[QUANTITY]]*TBL_SALES[[#This Row],[PRICE_PER_UNIT]])</f>
        <v>78139</v>
      </c>
      <c r="K118">
        <f>SUMIF(TBL_SALES[BRAND_NAME],TBL_SALES[[#This Row],[BRAND_NAME]],TBL_SALES[SALES_AMOUNT])</f>
        <v>696807</v>
      </c>
    </row>
    <row r="119" spans="1:11" x14ac:dyDescent="0.25">
      <c r="A119" t="s">
        <v>177</v>
      </c>
      <c r="B119" t="s">
        <v>144</v>
      </c>
      <c r="C119" t="s">
        <v>154</v>
      </c>
      <c r="D119" t="s">
        <v>155</v>
      </c>
      <c r="E119">
        <v>4</v>
      </c>
      <c r="F119">
        <v>22816</v>
      </c>
      <c r="G119" t="s">
        <v>39</v>
      </c>
      <c r="H119" t="s">
        <v>14</v>
      </c>
      <c r="I119" s="1">
        <v>45655</v>
      </c>
      <c r="J119" s="2">
        <f>SUM(TBL_SALES[[#This Row],[QUANTITY]]*TBL_SALES[[#This Row],[PRICE_PER_UNIT]])</f>
        <v>91264</v>
      </c>
      <c r="K119">
        <f>SUMIF(TBL_SALES[BRAND_NAME],TBL_SALES[[#This Row],[BRAND_NAME]],TBL_SALES[SALES_AMOUNT])</f>
        <v>788607</v>
      </c>
    </row>
    <row r="120" spans="1:11" x14ac:dyDescent="0.25">
      <c r="A120" t="s">
        <v>178</v>
      </c>
      <c r="B120" t="s">
        <v>144</v>
      </c>
      <c r="C120" t="s">
        <v>161</v>
      </c>
      <c r="D120" t="s">
        <v>162</v>
      </c>
      <c r="E120">
        <v>3</v>
      </c>
      <c r="F120">
        <v>61792</v>
      </c>
      <c r="G120" t="s">
        <v>59</v>
      </c>
      <c r="H120" t="s">
        <v>18</v>
      </c>
      <c r="I120" s="1">
        <v>45951</v>
      </c>
      <c r="J120" s="2">
        <f>SUM(TBL_SALES[[#This Row],[QUANTITY]]*TBL_SALES[[#This Row],[PRICE_PER_UNIT]])</f>
        <v>185376</v>
      </c>
      <c r="K120">
        <f>SUMIF(TBL_SALES[BRAND_NAME],TBL_SALES[[#This Row],[BRAND_NAME]],TBL_SALES[SALES_AMOUNT])</f>
        <v>696807</v>
      </c>
    </row>
    <row r="121" spans="1:11" x14ac:dyDescent="0.25">
      <c r="A121" t="s">
        <v>179</v>
      </c>
      <c r="B121" t="s">
        <v>144</v>
      </c>
      <c r="C121" t="s">
        <v>171</v>
      </c>
      <c r="D121" t="s">
        <v>172</v>
      </c>
      <c r="E121">
        <v>1</v>
      </c>
      <c r="F121">
        <v>57884</v>
      </c>
      <c r="G121" t="s">
        <v>17</v>
      </c>
      <c r="H121" t="s">
        <v>36</v>
      </c>
      <c r="I121" s="1">
        <v>45915</v>
      </c>
      <c r="J121" s="2">
        <f>SUM(TBL_SALES[[#This Row],[QUANTITY]]*TBL_SALES[[#This Row],[PRICE_PER_UNIT]])</f>
        <v>57884</v>
      </c>
      <c r="K121">
        <f>SUMIF(TBL_SALES[BRAND_NAME],TBL_SALES[[#This Row],[BRAND_NAME]],TBL_SALES[SALES_AMOUNT])</f>
        <v>883221</v>
      </c>
    </row>
    <row r="122" spans="1:11" x14ac:dyDescent="0.25">
      <c r="A122" t="s">
        <v>180</v>
      </c>
      <c r="B122" t="s">
        <v>144</v>
      </c>
      <c r="C122" t="s">
        <v>181</v>
      </c>
      <c r="D122" t="s">
        <v>182</v>
      </c>
      <c r="E122">
        <v>2</v>
      </c>
      <c r="F122">
        <v>82795</v>
      </c>
      <c r="G122" t="s">
        <v>50</v>
      </c>
      <c r="H122" t="s">
        <v>60</v>
      </c>
      <c r="I122" s="1">
        <v>45876</v>
      </c>
      <c r="J122" s="2">
        <f>SUM(TBL_SALES[[#This Row],[QUANTITY]]*TBL_SALES[[#This Row],[PRICE_PER_UNIT]])</f>
        <v>165590</v>
      </c>
      <c r="K122">
        <f>SUMIF(TBL_SALES[BRAND_NAME],TBL_SALES[[#This Row],[BRAND_NAME]],TBL_SALES[SALES_AMOUNT])</f>
        <v>588378</v>
      </c>
    </row>
    <row r="123" spans="1:11" x14ac:dyDescent="0.25">
      <c r="A123" t="s">
        <v>183</v>
      </c>
      <c r="B123" t="s">
        <v>144</v>
      </c>
      <c r="C123" t="s">
        <v>154</v>
      </c>
      <c r="D123" t="s">
        <v>155</v>
      </c>
      <c r="E123">
        <v>5</v>
      </c>
      <c r="F123">
        <v>33402</v>
      </c>
      <c r="G123" t="s">
        <v>43</v>
      </c>
      <c r="H123" t="s">
        <v>60</v>
      </c>
      <c r="I123" s="1">
        <v>45619</v>
      </c>
      <c r="J123" s="2">
        <f>SUM(TBL_SALES[[#This Row],[QUANTITY]]*TBL_SALES[[#This Row],[PRICE_PER_UNIT]])</f>
        <v>167010</v>
      </c>
      <c r="K123">
        <f>SUMIF(TBL_SALES[BRAND_NAME],TBL_SALES[[#This Row],[BRAND_NAME]],TBL_SALES[SALES_AMOUNT])</f>
        <v>788607</v>
      </c>
    </row>
    <row r="124" spans="1:11" x14ac:dyDescent="0.25">
      <c r="A124" t="s">
        <v>184</v>
      </c>
      <c r="B124" t="s">
        <v>144</v>
      </c>
      <c r="C124" t="s">
        <v>181</v>
      </c>
      <c r="D124" t="s">
        <v>182</v>
      </c>
      <c r="E124">
        <v>4</v>
      </c>
      <c r="F124">
        <v>25166</v>
      </c>
      <c r="G124" t="s">
        <v>33</v>
      </c>
      <c r="H124" t="s">
        <v>14</v>
      </c>
      <c r="I124" s="1">
        <v>45619</v>
      </c>
      <c r="J124" s="2">
        <f>SUM(TBL_SALES[[#This Row],[QUANTITY]]*TBL_SALES[[#This Row],[PRICE_PER_UNIT]])</f>
        <v>100664</v>
      </c>
      <c r="K124">
        <f>SUMIF(TBL_SALES[BRAND_NAME],TBL_SALES[[#This Row],[BRAND_NAME]],TBL_SALES[SALES_AMOUNT])</f>
        <v>588378</v>
      </c>
    </row>
    <row r="125" spans="1:11" x14ac:dyDescent="0.25">
      <c r="A125" t="s">
        <v>185</v>
      </c>
      <c r="B125" t="s">
        <v>144</v>
      </c>
      <c r="C125" t="s">
        <v>171</v>
      </c>
      <c r="D125" t="s">
        <v>172</v>
      </c>
      <c r="E125">
        <v>5</v>
      </c>
      <c r="F125">
        <v>13403</v>
      </c>
      <c r="G125" t="s">
        <v>50</v>
      </c>
      <c r="H125" t="s">
        <v>14</v>
      </c>
      <c r="I125" s="1">
        <v>45622</v>
      </c>
      <c r="J125" s="2">
        <f>SUM(TBL_SALES[[#This Row],[QUANTITY]]*TBL_SALES[[#This Row],[PRICE_PER_UNIT]])</f>
        <v>67015</v>
      </c>
      <c r="K125">
        <f>SUMIF(TBL_SALES[BRAND_NAME],TBL_SALES[[#This Row],[BRAND_NAME]],TBL_SALES[SALES_AMOUNT])</f>
        <v>883221</v>
      </c>
    </row>
    <row r="126" spans="1:11" x14ac:dyDescent="0.25">
      <c r="A126" t="s">
        <v>186</v>
      </c>
      <c r="B126" t="s">
        <v>144</v>
      </c>
      <c r="C126" t="s">
        <v>171</v>
      </c>
      <c r="D126" t="s">
        <v>172</v>
      </c>
      <c r="E126">
        <v>3</v>
      </c>
      <c r="F126">
        <v>80420</v>
      </c>
      <c r="G126" t="s">
        <v>50</v>
      </c>
      <c r="H126" t="s">
        <v>36</v>
      </c>
      <c r="I126" s="1">
        <v>45922</v>
      </c>
      <c r="J126" s="2">
        <f>SUM(TBL_SALES[[#This Row],[QUANTITY]]*TBL_SALES[[#This Row],[PRICE_PER_UNIT]])</f>
        <v>241260</v>
      </c>
      <c r="K126">
        <f>SUMIF(TBL_SALES[BRAND_NAME],TBL_SALES[[#This Row],[BRAND_NAME]],TBL_SALES[SALES_AMOUNT])</f>
        <v>883221</v>
      </c>
    </row>
    <row r="127" spans="1:11" x14ac:dyDescent="0.25">
      <c r="A127" t="s">
        <v>187</v>
      </c>
      <c r="B127" t="s">
        <v>144</v>
      </c>
      <c r="C127" t="s">
        <v>151</v>
      </c>
      <c r="D127" t="s">
        <v>152</v>
      </c>
      <c r="E127">
        <v>1</v>
      </c>
      <c r="F127">
        <v>42564</v>
      </c>
      <c r="G127" t="s">
        <v>33</v>
      </c>
      <c r="H127" t="s">
        <v>60</v>
      </c>
      <c r="I127" s="1">
        <v>45649</v>
      </c>
      <c r="J127" s="2">
        <f>SUM(TBL_SALES[[#This Row],[QUANTITY]]*TBL_SALES[[#This Row],[PRICE_PER_UNIT]])</f>
        <v>42564</v>
      </c>
      <c r="K127">
        <f>SUMIF(TBL_SALES[BRAND_NAME],TBL_SALES[[#This Row],[BRAND_NAME]],TBL_SALES[SALES_AMOUNT])</f>
        <v>1033916</v>
      </c>
    </row>
    <row r="128" spans="1:11" x14ac:dyDescent="0.25">
      <c r="A128" t="s">
        <v>188</v>
      </c>
      <c r="B128" t="s">
        <v>144</v>
      </c>
      <c r="C128" t="s">
        <v>189</v>
      </c>
      <c r="D128" t="s">
        <v>190</v>
      </c>
      <c r="E128">
        <v>4</v>
      </c>
      <c r="F128">
        <v>61702</v>
      </c>
      <c r="G128" t="s">
        <v>33</v>
      </c>
      <c r="H128" t="s">
        <v>60</v>
      </c>
      <c r="I128" s="1">
        <v>45633</v>
      </c>
      <c r="J128" s="2">
        <f>SUM(TBL_SALES[[#This Row],[QUANTITY]]*TBL_SALES[[#This Row],[PRICE_PER_UNIT]])</f>
        <v>246808</v>
      </c>
      <c r="K128">
        <f>SUMIF(TBL_SALES[BRAND_NAME],TBL_SALES[[#This Row],[BRAND_NAME]],TBL_SALES[SALES_AMOUNT])</f>
        <v>849338</v>
      </c>
    </row>
    <row r="129" spans="1:11" x14ac:dyDescent="0.25">
      <c r="A129" t="s">
        <v>191</v>
      </c>
      <c r="B129" t="s">
        <v>144</v>
      </c>
      <c r="C129" t="s">
        <v>151</v>
      </c>
      <c r="D129" t="s">
        <v>152</v>
      </c>
      <c r="E129">
        <v>3</v>
      </c>
      <c r="F129">
        <v>87888</v>
      </c>
      <c r="G129" t="s">
        <v>59</v>
      </c>
      <c r="H129" t="s">
        <v>18</v>
      </c>
      <c r="I129" s="1">
        <v>45937</v>
      </c>
      <c r="J129" s="2">
        <f>SUM(TBL_SALES[[#This Row],[QUANTITY]]*TBL_SALES[[#This Row],[PRICE_PER_UNIT]])</f>
        <v>263664</v>
      </c>
      <c r="K129">
        <f>SUMIF(TBL_SALES[BRAND_NAME],TBL_SALES[[#This Row],[BRAND_NAME]],TBL_SALES[SALES_AMOUNT])</f>
        <v>1033916</v>
      </c>
    </row>
    <row r="130" spans="1:11" x14ac:dyDescent="0.25">
      <c r="A130" t="s">
        <v>192</v>
      </c>
      <c r="B130" t="s">
        <v>144</v>
      </c>
      <c r="C130" t="s">
        <v>157</v>
      </c>
      <c r="D130" t="s">
        <v>158</v>
      </c>
      <c r="E130">
        <v>2</v>
      </c>
      <c r="F130">
        <v>43797</v>
      </c>
      <c r="G130" t="s">
        <v>17</v>
      </c>
      <c r="H130" t="s">
        <v>36</v>
      </c>
      <c r="I130" s="1">
        <v>45647</v>
      </c>
      <c r="J130" s="2">
        <f>SUM(TBL_SALES[[#This Row],[QUANTITY]]*TBL_SALES[[#This Row],[PRICE_PER_UNIT]])</f>
        <v>87594</v>
      </c>
      <c r="K130">
        <f>SUMIF(TBL_SALES[BRAND_NAME],TBL_SALES[[#This Row],[BRAND_NAME]],TBL_SALES[SALES_AMOUNT])</f>
        <v>461421</v>
      </c>
    </row>
    <row r="131" spans="1:11" x14ac:dyDescent="0.25">
      <c r="A131" t="s">
        <v>193</v>
      </c>
      <c r="B131" t="s">
        <v>144</v>
      </c>
      <c r="C131" t="s">
        <v>171</v>
      </c>
      <c r="D131" t="s">
        <v>172</v>
      </c>
      <c r="E131">
        <v>3</v>
      </c>
      <c r="F131">
        <v>68782</v>
      </c>
      <c r="G131" t="s">
        <v>33</v>
      </c>
      <c r="H131" t="s">
        <v>36</v>
      </c>
      <c r="I131" s="1">
        <v>45924</v>
      </c>
      <c r="J131" s="2">
        <f>SUM(TBL_SALES[[#This Row],[QUANTITY]]*TBL_SALES[[#This Row],[PRICE_PER_UNIT]])</f>
        <v>206346</v>
      </c>
      <c r="K131">
        <f>SUMIF(TBL_SALES[BRAND_NAME],TBL_SALES[[#This Row],[BRAND_NAME]],TBL_SALES[SALES_AMOUNT])</f>
        <v>883221</v>
      </c>
    </row>
    <row r="132" spans="1:11" x14ac:dyDescent="0.25">
      <c r="A132" t="s">
        <v>194</v>
      </c>
      <c r="B132" t="s">
        <v>144</v>
      </c>
      <c r="C132" t="s">
        <v>189</v>
      </c>
      <c r="D132" t="s">
        <v>190</v>
      </c>
      <c r="E132">
        <v>5</v>
      </c>
      <c r="F132">
        <v>53967</v>
      </c>
      <c r="G132" t="s">
        <v>43</v>
      </c>
      <c r="H132" t="s">
        <v>14</v>
      </c>
      <c r="I132" s="1">
        <v>45735</v>
      </c>
      <c r="J132" s="2">
        <f>SUM(TBL_SALES[[#This Row],[QUANTITY]]*TBL_SALES[[#This Row],[PRICE_PER_UNIT]])</f>
        <v>269835</v>
      </c>
      <c r="K132">
        <f>SUMIF(TBL_SALES[BRAND_NAME],TBL_SALES[[#This Row],[BRAND_NAME]],TBL_SALES[SALES_AMOUNT])</f>
        <v>849338</v>
      </c>
    </row>
    <row r="133" spans="1:11" x14ac:dyDescent="0.25">
      <c r="A133" t="s">
        <v>195</v>
      </c>
      <c r="B133" t="s">
        <v>144</v>
      </c>
      <c r="C133" t="s">
        <v>151</v>
      </c>
      <c r="D133" t="s">
        <v>152</v>
      </c>
      <c r="E133">
        <v>4</v>
      </c>
      <c r="F133">
        <v>87933</v>
      </c>
      <c r="G133" t="s">
        <v>50</v>
      </c>
      <c r="H133" t="s">
        <v>36</v>
      </c>
      <c r="I133" s="1">
        <v>45683</v>
      </c>
      <c r="J133" s="2">
        <f>SUM(TBL_SALES[[#This Row],[QUANTITY]]*TBL_SALES[[#This Row],[PRICE_PER_UNIT]])</f>
        <v>351732</v>
      </c>
      <c r="K133">
        <f>SUMIF(TBL_SALES[BRAND_NAME],TBL_SALES[[#This Row],[BRAND_NAME]],TBL_SALES[SALES_AMOUNT])</f>
        <v>1033916</v>
      </c>
    </row>
    <row r="134" spans="1:11" x14ac:dyDescent="0.25">
      <c r="A134" t="s">
        <v>196</v>
      </c>
      <c r="B134" t="s">
        <v>144</v>
      </c>
      <c r="C134" t="s">
        <v>167</v>
      </c>
      <c r="D134" t="s">
        <v>168</v>
      </c>
      <c r="E134">
        <v>2</v>
      </c>
      <c r="F134">
        <v>47277</v>
      </c>
      <c r="G134" t="s">
        <v>59</v>
      </c>
      <c r="H134" t="s">
        <v>36</v>
      </c>
      <c r="I134" s="1">
        <v>45658</v>
      </c>
      <c r="J134" s="2">
        <f>SUM(TBL_SALES[[#This Row],[QUANTITY]]*TBL_SALES[[#This Row],[PRICE_PER_UNIT]])</f>
        <v>94554</v>
      </c>
      <c r="K134">
        <f>SUMIF(TBL_SALES[BRAND_NAME],TBL_SALES[[#This Row],[BRAND_NAME]],TBL_SALES[SALES_AMOUNT])</f>
        <v>663890</v>
      </c>
    </row>
    <row r="135" spans="1:11" x14ac:dyDescent="0.25">
      <c r="A135" t="s">
        <v>197</v>
      </c>
      <c r="B135" t="s">
        <v>144</v>
      </c>
      <c r="C135" t="s">
        <v>181</v>
      </c>
      <c r="D135" t="s">
        <v>182</v>
      </c>
      <c r="E135">
        <v>1</v>
      </c>
      <c r="F135">
        <v>17461</v>
      </c>
      <c r="G135" t="s">
        <v>17</v>
      </c>
      <c r="H135" t="s">
        <v>60</v>
      </c>
      <c r="I135" s="1">
        <v>45914</v>
      </c>
      <c r="J135" s="2">
        <f>SUM(TBL_SALES[[#This Row],[QUANTITY]]*TBL_SALES[[#This Row],[PRICE_PER_UNIT]])</f>
        <v>17461</v>
      </c>
      <c r="K135">
        <f>SUMIF(TBL_SALES[BRAND_NAME],TBL_SALES[[#This Row],[BRAND_NAME]],TBL_SALES[SALES_AMOUNT])</f>
        <v>588378</v>
      </c>
    </row>
    <row r="136" spans="1:11" x14ac:dyDescent="0.25">
      <c r="A136" t="s">
        <v>198</v>
      </c>
      <c r="B136" t="s">
        <v>144</v>
      </c>
      <c r="C136" t="s">
        <v>145</v>
      </c>
      <c r="D136" t="s">
        <v>146</v>
      </c>
      <c r="E136">
        <v>1</v>
      </c>
      <c r="F136">
        <v>62355</v>
      </c>
      <c r="G136" t="s">
        <v>43</v>
      </c>
      <c r="H136" t="s">
        <v>60</v>
      </c>
      <c r="I136" s="1">
        <v>45955</v>
      </c>
      <c r="J136" s="2">
        <f>SUM(TBL_SALES[[#This Row],[QUANTITY]]*TBL_SALES[[#This Row],[PRICE_PER_UNIT]])</f>
        <v>62355</v>
      </c>
      <c r="K136">
        <f>SUMIF(TBL_SALES[BRAND_NAME],TBL_SALES[[#This Row],[BRAND_NAME]],TBL_SALES[SALES_AMOUNT])</f>
        <v>872059</v>
      </c>
    </row>
    <row r="137" spans="1:11" x14ac:dyDescent="0.25">
      <c r="A137" t="s">
        <v>199</v>
      </c>
      <c r="B137" t="s">
        <v>144</v>
      </c>
      <c r="C137" t="s">
        <v>148</v>
      </c>
      <c r="D137" t="s">
        <v>149</v>
      </c>
      <c r="E137">
        <v>1</v>
      </c>
      <c r="F137">
        <v>31273</v>
      </c>
      <c r="G137" t="s">
        <v>43</v>
      </c>
      <c r="H137" t="s">
        <v>18</v>
      </c>
      <c r="I137" s="1">
        <v>45800</v>
      </c>
      <c r="J137" s="2">
        <f>SUM(TBL_SALES[[#This Row],[QUANTITY]]*TBL_SALES[[#This Row],[PRICE_PER_UNIT]])</f>
        <v>31273</v>
      </c>
      <c r="K137">
        <f>SUMIF(TBL_SALES[BRAND_NAME],TBL_SALES[[#This Row],[BRAND_NAME]],TBL_SALES[SALES_AMOUNT])</f>
        <v>926044</v>
      </c>
    </row>
    <row r="138" spans="1:11" x14ac:dyDescent="0.25">
      <c r="A138" t="s">
        <v>200</v>
      </c>
      <c r="B138" t="s">
        <v>144</v>
      </c>
      <c r="C138" t="s">
        <v>157</v>
      </c>
      <c r="D138" t="s">
        <v>158</v>
      </c>
      <c r="E138">
        <v>1</v>
      </c>
      <c r="F138">
        <v>32893</v>
      </c>
      <c r="G138" t="s">
        <v>50</v>
      </c>
      <c r="H138" t="s">
        <v>18</v>
      </c>
      <c r="I138" s="1">
        <v>45686</v>
      </c>
      <c r="J138" s="2">
        <f>SUM(TBL_SALES[[#This Row],[QUANTITY]]*TBL_SALES[[#This Row],[PRICE_PER_UNIT]])</f>
        <v>32893</v>
      </c>
      <c r="K138">
        <f>SUMIF(TBL_SALES[BRAND_NAME],TBL_SALES[[#This Row],[BRAND_NAME]],TBL_SALES[SALES_AMOUNT])</f>
        <v>461421</v>
      </c>
    </row>
    <row r="139" spans="1:11" x14ac:dyDescent="0.25">
      <c r="A139" t="s">
        <v>201</v>
      </c>
      <c r="B139" t="s">
        <v>144</v>
      </c>
      <c r="C139" t="s">
        <v>145</v>
      </c>
      <c r="D139" t="s">
        <v>146</v>
      </c>
      <c r="E139">
        <v>1</v>
      </c>
      <c r="F139">
        <v>67121</v>
      </c>
      <c r="G139" t="s">
        <v>59</v>
      </c>
      <c r="H139" t="s">
        <v>18</v>
      </c>
      <c r="I139" s="1">
        <v>45770</v>
      </c>
      <c r="J139" s="2">
        <f>SUM(TBL_SALES[[#This Row],[QUANTITY]]*TBL_SALES[[#This Row],[PRICE_PER_UNIT]])</f>
        <v>67121</v>
      </c>
      <c r="K139">
        <f>SUMIF(TBL_SALES[BRAND_NAME],TBL_SALES[[#This Row],[BRAND_NAME]],TBL_SALES[SALES_AMOUNT])</f>
        <v>872059</v>
      </c>
    </row>
    <row r="140" spans="1:11" x14ac:dyDescent="0.25">
      <c r="A140" t="s">
        <v>202</v>
      </c>
      <c r="B140" t="s">
        <v>144</v>
      </c>
      <c r="C140" t="s">
        <v>189</v>
      </c>
      <c r="D140" t="s">
        <v>190</v>
      </c>
      <c r="E140">
        <v>2</v>
      </c>
      <c r="F140">
        <v>69619</v>
      </c>
      <c r="G140" t="s">
        <v>43</v>
      </c>
      <c r="H140" t="s">
        <v>36</v>
      </c>
      <c r="I140" s="1">
        <v>45827</v>
      </c>
      <c r="J140" s="2">
        <f>SUM(TBL_SALES[[#This Row],[QUANTITY]]*TBL_SALES[[#This Row],[PRICE_PER_UNIT]])</f>
        <v>139238</v>
      </c>
      <c r="K140">
        <f>SUMIF(TBL_SALES[BRAND_NAME],TBL_SALES[[#This Row],[BRAND_NAME]],TBL_SALES[SALES_AMOUNT])</f>
        <v>849338</v>
      </c>
    </row>
    <row r="141" spans="1:11" x14ac:dyDescent="0.25">
      <c r="A141" t="s">
        <v>203</v>
      </c>
      <c r="B141" t="s">
        <v>144</v>
      </c>
      <c r="C141" t="s">
        <v>148</v>
      </c>
      <c r="D141" t="s">
        <v>149</v>
      </c>
      <c r="E141">
        <v>1</v>
      </c>
      <c r="F141">
        <v>69307</v>
      </c>
      <c r="G141" t="s">
        <v>17</v>
      </c>
      <c r="H141" t="s">
        <v>18</v>
      </c>
      <c r="I141" s="1">
        <v>45706</v>
      </c>
      <c r="J141" s="2">
        <f>SUM(TBL_SALES[[#This Row],[QUANTITY]]*TBL_SALES[[#This Row],[PRICE_PER_UNIT]])</f>
        <v>69307</v>
      </c>
      <c r="K141">
        <f>SUMIF(TBL_SALES[BRAND_NAME],TBL_SALES[[#This Row],[BRAND_NAME]],TBL_SALES[SALES_AMOUNT])</f>
        <v>926044</v>
      </c>
    </row>
    <row r="142" spans="1:11" x14ac:dyDescent="0.25">
      <c r="A142" t="s">
        <v>204</v>
      </c>
      <c r="B142" t="s">
        <v>144</v>
      </c>
      <c r="C142" t="s">
        <v>145</v>
      </c>
      <c r="D142" t="s">
        <v>146</v>
      </c>
      <c r="E142">
        <v>3</v>
      </c>
      <c r="F142">
        <v>44283</v>
      </c>
      <c r="G142" t="s">
        <v>33</v>
      </c>
      <c r="H142" t="s">
        <v>36</v>
      </c>
      <c r="I142" s="1">
        <v>45634</v>
      </c>
      <c r="J142" s="2">
        <f>SUM(TBL_SALES[[#This Row],[QUANTITY]]*TBL_SALES[[#This Row],[PRICE_PER_UNIT]])</f>
        <v>132849</v>
      </c>
      <c r="K142">
        <f>SUMIF(TBL_SALES[BRAND_NAME],TBL_SALES[[#This Row],[BRAND_NAME]],TBL_SALES[SALES_AMOUNT])</f>
        <v>872059</v>
      </c>
    </row>
    <row r="143" spans="1:11" x14ac:dyDescent="0.25">
      <c r="A143" t="s">
        <v>205</v>
      </c>
      <c r="B143" t="s">
        <v>144</v>
      </c>
      <c r="C143" t="s">
        <v>151</v>
      </c>
      <c r="D143" t="s">
        <v>152</v>
      </c>
      <c r="E143">
        <v>4</v>
      </c>
      <c r="F143">
        <v>23297</v>
      </c>
      <c r="G143" t="s">
        <v>33</v>
      </c>
      <c r="H143" t="s">
        <v>36</v>
      </c>
      <c r="I143" s="1">
        <v>45870</v>
      </c>
      <c r="J143" s="2">
        <f>SUM(TBL_SALES[[#This Row],[QUANTITY]]*TBL_SALES[[#This Row],[PRICE_PER_UNIT]])</f>
        <v>93188</v>
      </c>
      <c r="K143">
        <f>SUMIF(TBL_SALES[BRAND_NAME],TBL_SALES[[#This Row],[BRAND_NAME]],TBL_SALES[SALES_AMOUNT])</f>
        <v>1033916</v>
      </c>
    </row>
    <row r="144" spans="1:11" x14ac:dyDescent="0.25">
      <c r="A144" t="s">
        <v>206</v>
      </c>
      <c r="B144" t="s">
        <v>144</v>
      </c>
      <c r="C144" t="s">
        <v>181</v>
      </c>
      <c r="D144" t="s">
        <v>182</v>
      </c>
      <c r="E144">
        <v>5</v>
      </c>
      <c r="F144">
        <v>26045</v>
      </c>
      <c r="G144" t="s">
        <v>50</v>
      </c>
      <c r="H144" t="s">
        <v>36</v>
      </c>
      <c r="I144" s="1">
        <v>45634</v>
      </c>
      <c r="J144" s="2">
        <f>SUM(TBL_SALES[[#This Row],[QUANTITY]]*TBL_SALES[[#This Row],[PRICE_PER_UNIT]])</f>
        <v>130225</v>
      </c>
      <c r="K144">
        <f>SUMIF(TBL_SALES[BRAND_NAME],TBL_SALES[[#This Row],[BRAND_NAME]],TBL_SALES[SALES_AMOUNT])</f>
        <v>588378</v>
      </c>
    </row>
    <row r="145" spans="1:11" x14ac:dyDescent="0.25">
      <c r="A145" t="s">
        <v>207</v>
      </c>
      <c r="B145" t="s">
        <v>144</v>
      </c>
      <c r="C145" t="s">
        <v>189</v>
      </c>
      <c r="D145" t="s">
        <v>190</v>
      </c>
      <c r="E145">
        <v>2</v>
      </c>
      <c r="F145">
        <v>33125</v>
      </c>
      <c r="G145" t="s">
        <v>50</v>
      </c>
      <c r="H145" t="s">
        <v>36</v>
      </c>
      <c r="I145" s="1">
        <v>45671</v>
      </c>
      <c r="J145" s="2">
        <f>SUM(TBL_SALES[[#This Row],[QUANTITY]]*TBL_SALES[[#This Row],[PRICE_PER_UNIT]])</f>
        <v>66250</v>
      </c>
      <c r="K145">
        <f>SUMIF(TBL_SALES[BRAND_NAME],TBL_SALES[[#This Row],[BRAND_NAME]],TBL_SALES[SALES_AMOUNT])</f>
        <v>849338</v>
      </c>
    </row>
    <row r="146" spans="1:11" x14ac:dyDescent="0.25">
      <c r="A146" t="s">
        <v>208</v>
      </c>
      <c r="B146" t="s">
        <v>144</v>
      </c>
      <c r="C146" t="s">
        <v>154</v>
      </c>
      <c r="D146" t="s">
        <v>155</v>
      </c>
      <c r="E146">
        <v>1</v>
      </c>
      <c r="F146">
        <v>51361</v>
      </c>
      <c r="G146" t="s">
        <v>50</v>
      </c>
      <c r="H146" t="s">
        <v>60</v>
      </c>
      <c r="I146" s="1">
        <v>45825</v>
      </c>
      <c r="J146" s="2">
        <f>SUM(TBL_SALES[[#This Row],[QUANTITY]]*TBL_SALES[[#This Row],[PRICE_PER_UNIT]])</f>
        <v>51361</v>
      </c>
      <c r="K146">
        <f>SUMIF(TBL_SALES[BRAND_NAME],TBL_SALES[[#This Row],[BRAND_NAME]],TBL_SALES[SALES_AMOUNT])</f>
        <v>788607</v>
      </c>
    </row>
    <row r="147" spans="1:11" x14ac:dyDescent="0.25">
      <c r="A147" t="s">
        <v>209</v>
      </c>
      <c r="B147" t="s">
        <v>144</v>
      </c>
      <c r="C147" t="s">
        <v>145</v>
      </c>
      <c r="D147" t="s">
        <v>146</v>
      </c>
      <c r="E147">
        <v>3</v>
      </c>
      <c r="F147">
        <v>44188</v>
      </c>
      <c r="G147" t="s">
        <v>43</v>
      </c>
      <c r="H147" t="s">
        <v>14</v>
      </c>
      <c r="I147" s="1">
        <v>45765</v>
      </c>
      <c r="J147" s="2">
        <f>SUM(TBL_SALES[[#This Row],[QUANTITY]]*TBL_SALES[[#This Row],[PRICE_PER_UNIT]])</f>
        <v>132564</v>
      </c>
      <c r="K147">
        <f>SUMIF(TBL_SALES[BRAND_NAME],TBL_SALES[[#This Row],[BRAND_NAME]],TBL_SALES[SALES_AMOUNT])</f>
        <v>872059</v>
      </c>
    </row>
    <row r="148" spans="1:11" x14ac:dyDescent="0.25">
      <c r="A148" t="s">
        <v>210</v>
      </c>
      <c r="B148" t="s">
        <v>144</v>
      </c>
      <c r="C148" t="s">
        <v>151</v>
      </c>
      <c r="D148" t="s">
        <v>152</v>
      </c>
      <c r="E148">
        <v>1</v>
      </c>
      <c r="F148">
        <v>26059</v>
      </c>
      <c r="G148" t="s">
        <v>17</v>
      </c>
      <c r="H148" t="s">
        <v>14</v>
      </c>
      <c r="I148" s="1">
        <v>45631</v>
      </c>
      <c r="J148" s="2">
        <f>SUM(TBL_SALES[[#This Row],[QUANTITY]]*TBL_SALES[[#This Row],[PRICE_PER_UNIT]])</f>
        <v>26059</v>
      </c>
      <c r="K148">
        <f>SUMIF(TBL_SALES[BRAND_NAME],TBL_SALES[[#This Row],[BRAND_NAME]],TBL_SALES[SALES_AMOUNT])</f>
        <v>1033916</v>
      </c>
    </row>
    <row r="149" spans="1:11" x14ac:dyDescent="0.25">
      <c r="A149" t="s">
        <v>211</v>
      </c>
      <c r="B149" t="s">
        <v>144</v>
      </c>
      <c r="C149" t="s">
        <v>157</v>
      </c>
      <c r="D149" t="s">
        <v>158</v>
      </c>
      <c r="E149">
        <v>2</v>
      </c>
      <c r="F149">
        <v>81376</v>
      </c>
      <c r="G149" t="s">
        <v>50</v>
      </c>
      <c r="H149" t="s">
        <v>14</v>
      </c>
      <c r="I149" s="1">
        <v>45714</v>
      </c>
      <c r="J149" s="2">
        <f>SUM(TBL_SALES[[#This Row],[QUANTITY]]*TBL_SALES[[#This Row],[PRICE_PER_UNIT]])</f>
        <v>162752</v>
      </c>
      <c r="K149">
        <f>SUMIF(TBL_SALES[BRAND_NAME],TBL_SALES[[#This Row],[BRAND_NAME]],TBL_SALES[SALES_AMOUNT])</f>
        <v>461421</v>
      </c>
    </row>
    <row r="150" spans="1:11" x14ac:dyDescent="0.25">
      <c r="A150" t="s">
        <v>212</v>
      </c>
      <c r="B150" t="s">
        <v>144</v>
      </c>
      <c r="C150" t="s">
        <v>161</v>
      </c>
      <c r="D150" t="s">
        <v>162</v>
      </c>
      <c r="E150">
        <v>3</v>
      </c>
      <c r="F150">
        <v>50840</v>
      </c>
      <c r="G150" t="s">
        <v>43</v>
      </c>
      <c r="H150" t="s">
        <v>36</v>
      </c>
      <c r="I150" s="1">
        <v>45961</v>
      </c>
      <c r="J150" s="2">
        <f>SUM(TBL_SALES[[#This Row],[QUANTITY]]*TBL_SALES[[#This Row],[PRICE_PER_UNIT]])</f>
        <v>152520</v>
      </c>
      <c r="K150">
        <f>SUMIF(TBL_SALES[BRAND_NAME],TBL_SALES[[#This Row],[BRAND_NAME]],TBL_SALES[SALES_AMOUNT])</f>
        <v>696807</v>
      </c>
    </row>
    <row r="151" spans="1:11" x14ac:dyDescent="0.25">
      <c r="A151" t="s">
        <v>213</v>
      </c>
      <c r="B151" t="s">
        <v>144</v>
      </c>
      <c r="C151" t="s">
        <v>167</v>
      </c>
      <c r="D151" t="s">
        <v>168</v>
      </c>
      <c r="E151">
        <v>5</v>
      </c>
      <c r="F151">
        <v>57381</v>
      </c>
      <c r="G151" t="s">
        <v>59</v>
      </c>
      <c r="H151" t="s">
        <v>36</v>
      </c>
      <c r="I151" s="1">
        <v>45734</v>
      </c>
      <c r="J151" s="2">
        <f>SUM(TBL_SALES[[#This Row],[QUANTITY]]*TBL_SALES[[#This Row],[PRICE_PER_UNIT]])</f>
        <v>286905</v>
      </c>
      <c r="K151">
        <f>SUMIF(TBL_SALES[BRAND_NAME],TBL_SALES[[#This Row],[BRAND_NAME]],TBL_SALES[SALES_AMOUNT])</f>
        <v>663890</v>
      </c>
    </row>
    <row r="152" spans="1:11" x14ac:dyDescent="0.25">
      <c r="A152" t="s">
        <v>214</v>
      </c>
      <c r="B152" t="s">
        <v>144</v>
      </c>
      <c r="C152" t="s">
        <v>189</v>
      </c>
      <c r="D152" t="s">
        <v>190</v>
      </c>
      <c r="E152">
        <v>2</v>
      </c>
      <c r="F152">
        <v>19109</v>
      </c>
      <c r="G152" t="s">
        <v>39</v>
      </c>
      <c r="H152" t="s">
        <v>36</v>
      </c>
      <c r="I152" s="1">
        <v>45707</v>
      </c>
      <c r="J152" s="2">
        <f>SUM(TBL_SALES[[#This Row],[QUANTITY]]*TBL_SALES[[#This Row],[PRICE_PER_UNIT]])</f>
        <v>38218</v>
      </c>
      <c r="K152">
        <f>SUMIF(TBL_SALES[BRAND_NAME],TBL_SALES[[#This Row],[BRAND_NAME]],TBL_SALES[SALES_AMOUNT])</f>
        <v>849338</v>
      </c>
    </row>
    <row r="153" spans="1:11" x14ac:dyDescent="0.25">
      <c r="A153" t="s">
        <v>215</v>
      </c>
      <c r="B153" t="s">
        <v>144</v>
      </c>
      <c r="C153" t="s">
        <v>167</v>
      </c>
      <c r="D153" t="s">
        <v>168</v>
      </c>
      <c r="E153">
        <v>5</v>
      </c>
      <c r="F153">
        <v>28161</v>
      </c>
      <c r="G153" t="s">
        <v>50</v>
      </c>
      <c r="H153" t="s">
        <v>14</v>
      </c>
      <c r="I153" s="1">
        <v>45650</v>
      </c>
      <c r="J153" s="2">
        <f>SUM(TBL_SALES[[#This Row],[QUANTITY]]*TBL_SALES[[#This Row],[PRICE_PER_UNIT]])</f>
        <v>140805</v>
      </c>
      <c r="K153">
        <f>SUMIF(TBL_SALES[BRAND_NAME],TBL_SALES[[#This Row],[BRAND_NAME]],TBL_SALES[SALES_AMOUNT])</f>
        <v>663890</v>
      </c>
    </row>
    <row r="154" spans="1:11" x14ac:dyDescent="0.25">
      <c r="A154" t="s">
        <v>216</v>
      </c>
      <c r="B154" t="s">
        <v>144</v>
      </c>
      <c r="C154" t="s">
        <v>154</v>
      </c>
      <c r="D154" t="s">
        <v>155</v>
      </c>
      <c r="E154">
        <v>1</v>
      </c>
      <c r="F154">
        <v>68987</v>
      </c>
      <c r="G154" t="s">
        <v>59</v>
      </c>
      <c r="H154" t="s">
        <v>14</v>
      </c>
      <c r="I154" s="1">
        <v>45739</v>
      </c>
      <c r="J154" s="2">
        <f>SUM(TBL_SALES[[#This Row],[QUANTITY]]*TBL_SALES[[#This Row],[PRICE_PER_UNIT]])</f>
        <v>68987</v>
      </c>
      <c r="K154">
        <f>SUMIF(TBL_SALES[BRAND_NAME],TBL_SALES[[#This Row],[BRAND_NAME]],TBL_SALES[SALES_AMOUNT])</f>
        <v>788607</v>
      </c>
    </row>
    <row r="155" spans="1:11" x14ac:dyDescent="0.25">
      <c r="A155" t="s">
        <v>217</v>
      </c>
      <c r="B155" t="s">
        <v>144</v>
      </c>
      <c r="C155" t="s">
        <v>189</v>
      </c>
      <c r="D155" t="s">
        <v>190</v>
      </c>
      <c r="E155">
        <v>1</v>
      </c>
      <c r="F155">
        <v>88989</v>
      </c>
      <c r="G155" t="s">
        <v>39</v>
      </c>
      <c r="H155" t="s">
        <v>14</v>
      </c>
      <c r="I155" s="1">
        <v>45756</v>
      </c>
      <c r="J155" s="2">
        <f>SUM(TBL_SALES[[#This Row],[QUANTITY]]*TBL_SALES[[#This Row],[PRICE_PER_UNIT]])</f>
        <v>88989</v>
      </c>
      <c r="K155">
        <f>SUMIF(TBL_SALES[BRAND_NAME],TBL_SALES[[#This Row],[BRAND_NAME]],TBL_SALES[SALES_AMOUNT])</f>
        <v>849338</v>
      </c>
    </row>
    <row r="156" spans="1:11" x14ac:dyDescent="0.25">
      <c r="A156" t="s">
        <v>218</v>
      </c>
      <c r="B156" t="s">
        <v>144</v>
      </c>
      <c r="C156" t="s">
        <v>148</v>
      </c>
      <c r="D156" t="s">
        <v>149</v>
      </c>
      <c r="E156">
        <v>4</v>
      </c>
      <c r="F156">
        <v>50654</v>
      </c>
      <c r="G156" t="s">
        <v>43</v>
      </c>
      <c r="H156" t="s">
        <v>18</v>
      </c>
      <c r="I156" s="1">
        <v>45770</v>
      </c>
      <c r="J156" s="2">
        <f>SUM(TBL_SALES[[#This Row],[QUANTITY]]*TBL_SALES[[#This Row],[PRICE_PER_UNIT]])</f>
        <v>202616</v>
      </c>
      <c r="K156">
        <f>SUMIF(TBL_SALES[BRAND_NAME],TBL_SALES[[#This Row],[BRAND_NAME]],TBL_SALES[SALES_AMOUNT])</f>
        <v>926044</v>
      </c>
    </row>
    <row r="157" spans="1:11" x14ac:dyDescent="0.25">
      <c r="A157" t="s">
        <v>219</v>
      </c>
      <c r="B157" t="s">
        <v>144</v>
      </c>
      <c r="C157" t="s">
        <v>148</v>
      </c>
      <c r="D157" t="s">
        <v>149</v>
      </c>
      <c r="E157">
        <v>2</v>
      </c>
      <c r="F157">
        <v>62646</v>
      </c>
      <c r="G157" t="s">
        <v>50</v>
      </c>
      <c r="H157" t="s">
        <v>36</v>
      </c>
      <c r="I157" s="1">
        <v>45902</v>
      </c>
      <c r="J157" s="2">
        <f>SUM(TBL_SALES[[#This Row],[QUANTITY]]*TBL_SALES[[#This Row],[PRICE_PER_UNIT]])</f>
        <v>125292</v>
      </c>
      <c r="K157">
        <f>SUMIF(TBL_SALES[BRAND_NAME],TBL_SALES[[#This Row],[BRAND_NAME]],TBL_SALES[SALES_AMOUNT])</f>
        <v>926044</v>
      </c>
    </row>
    <row r="158" spans="1:11" x14ac:dyDescent="0.25">
      <c r="A158" t="s">
        <v>220</v>
      </c>
      <c r="B158" t="s">
        <v>144</v>
      </c>
      <c r="C158" t="s">
        <v>161</v>
      </c>
      <c r="D158" t="s">
        <v>162</v>
      </c>
      <c r="E158">
        <v>4</v>
      </c>
      <c r="F158">
        <v>22456</v>
      </c>
      <c r="G158" t="s">
        <v>43</v>
      </c>
      <c r="H158" t="s">
        <v>36</v>
      </c>
      <c r="I158" s="1">
        <v>45779</v>
      </c>
      <c r="J158" s="2">
        <f>SUM(TBL_SALES[[#This Row],[QUANTITY]]*TBL_SALES[[#This Row],[PRICE_PER_UNIT]])</f>
        <v>89824</v>
      </c>
      <c r="K158">
        <f>SUMIF(TBL_SALES[BRAND_NAME],TBL_SALES[[#This Row],[BRAND_NAME]],TBL_SALES[SALES_AMOUNT])</f>
        <v>696807</v>
      </c>
    </row>
    <row r="159" spans="1:11" x14ac:dyDescent="0.25">
      <c r="A159" t="s">
        <v>221</v>
      </c>
      <c r="B159" t="s">
        <v>144</v>
      </c>
      <c r="C159" t="s">
        <v>151</v>
      </c>
      <c r="D159" t="s">
        <v>152</v>
      </c>
      <c r="E159">
        <v>1</v>
      </c>
      <c r="F159">
        <v>27872</v>
      </c>
      <c r="G159" t="s">
        <v>33</v>
      </c>
      <c r="H159" t="s">
        <v>60</v>
      </c>
      <c r="I159" s="1">
        <v>45942</v>
      </c>
      <c r="J159" s="2">
        <f>SUM(TBL_SALES[[#This Row],[QUANTITY]]*TBL_SALES[[#This Row],[PRICE_PER_UNIT]])</f>
        <v>27872</v>
      </c>
      <c r="K159">
        <f>SUMIF(TBL_SALES[BRAND_NAME],TBL_SALES[[#This Row],[BRAND_NAME]],TBL_SALES[SALES_AMOUNT])</f>
        <v>1033916</v>
      </c>
    </row>
    <row r="160" spans="1:11" x14ac:dyDescent="0.25">
      <c r="A160" t="s">
        <v>222</v>
      </c>
      <c r="B160" t="s">
        <v>144</v>
      </c>
      <c r="C160" t="s">
        <v>181</v>
      </c>
      <c r="D160" t="s">
        <v>182</v>
      </c>
      <c r="E160">
        <v>3</v>
      </c>
      <c r="F160">
        <v>58146</v>
      </c>
      <c r="G160" t="s">
        <v>50</v>
      </c>
      <c r="H160" t="s">
        <v>60</v>
      </c>
      <c r="I160" s="1">
        <v>45632</v>
      </c>
      <c r="J160" s="2">
        <f>SUM(TBL_SALES[[#This Row],[QUANTITY]]*TBL_SALES[[#This Row],[PRICE_PER_UNIT]])</f>
        <v>174438</v>
      </c>
      <c r="K160">
        <f>SUMIF(TBL_SALES[BRAND_NAME],TBL_SALES[[#This Row],[BRAND_NAME]],TBL_SALES[SALES_AMOUNT])</f>
        <v>588378</v>
      </c>
    </row>
    <row r="161" spans="1:11" x14ac:dyDescent="0.25">
      <c r="A161" t="s">
        <v>223</v>
      </c>
      <c r="B161" t="s">
        <v>144</v>
      </c>
      <c r="C161" t="s">
        <v>148</v>
      </c>
      <c r="D161" t="s">
        <v>149</v>
      </c>
      <c r="E161">
        <v>4</v>
      </c>
      <c r="F161">
        <v>71760</v>
      </c>
      <c r="G161" t="s">
        <v>59</v>
      </c>
      <c r="H161" t="s">
        <v>14</v>
      </c>
      <c r="I161" s="1">
        <v>45671</v>
      </c>
      <c r="J161" s="2">
        <f>SUM(TBL_SALES[[#This Row],[QUANTITY]]*TBL_SALES[[#This Row],[PRICE_PER_UNIT]])</f>
        <v>287040</v>
      </c>
      <c r="K161">
        <f>SUMIF(TBL_SALES[BRAND_NAME],TBL_SALES[[#This Row],[BRAND_NAME]],TBL_SALES[SALES_AMOUNT])</f>
        <v>926044</v>
      </c>
    </row>
  </sheetData>
  <mergeCells count="10">
    <mergeCell ref="Q22:U25"/>
    <mergeCell ref="Q21:U21"/>
    <mergeCell ref="Q27:U27"/>
    <mergeCell ref="Q28:U31"/>
    <mergeCell ref="Q3:U5"/>
    <mergeCell ref="Q2:U2"/>
    <mergeCell ref="Q8:U8"/>
    <mergeCell ref="Q9:U11"/>
    <mergeCell ref="Q14:U14"/>
    <mergeCell ref="Q15:U18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270C-D640-4AD4-9C6A-EF9FA6DEBE8E}">
  <sheetPr>
    <tabColor theme="9" tint="-0.249977111117893"/>
  </sheetPr>
  <dimension ref="A1:AC161"/>
  <sheetViews>
    <sheetView tabSelected="1" topLeftCell="R14" zoomScale="115" workbookViewId="0">
      <selection activeCell="Y31" sqref="Y31"/>
    </sheetView>
  </sheetViews>
  <sheetFormatPr defaultColWidth="18.7109375" defaultRowHeight="15" x14ac:dyDescent="0.25"/>
  <cols>
    <col min="1" max="12" width="18.7109375" style="40"/>
    <col min="13" max="13" width="30.140625" style="40" customWidth="1"/>
    <col min="14" max="14" width="6.28515625" style="40" customWidth="1"/>
    <col min="15" max="15" width="45.28515625" style="40" customWidth="1"/>
    <col min="16" max="16" width="5.7109375" style="40" customWidth="1"/>
    <col min="17" max="17" width="32" style="40" customWidth="1"/>
    <col min="18" max="18" width="6.140625" style="40" customWidth="1"/>
    <col min="19" max="19" width="36.5703125" style="40" customWidth="1"/>
    <col min="20" max="20" width="7.28515625" style="40" customWidth="1"/>
    <col min="21" max="21" width="34.5703125" style="40" customWidth="1"/>
    <col min="22" max="22" width="27.28515625" style="40" customWidth="1"/>
    <col min="23" max="23" width="34.85546875" style="40" customWidth="1"/>
    <col min="24" max="24" width="6.7109375" style="40" customWidth="1"/>
    <col min="25" max="25" width="36.85546875" style="40" customWidth="1"/>
    <col min="26" max="16384" width="18.7109375" style="40"/>
  </cols>
  <sheetData>
    <row r="1" spans="1:29" x14ac:dyDescent="0.25">
      <c r="A1" s="40" t="s">
        <v>0</v>
      </c>
      <c r="B1" s="40" t="s">
        <v>1</v>
      </c>
      <c r="C1" s="40" t="s">
        <v>2</v>
      </c>
      <c r="D1" s="40" t="s">
        <v>3</v>
      </c>
      <c r="E1" s="41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1" t="s">
        <v>224</v>
      </c>
      <c r="K1" s="40" t="s">
        <v>225</v>
      </c>
    </row>
    <row r="2" spans="1:29" ht="15.75" thickBot="1" x14ac:dyDescent="0.3">
      <c r="A2" s="40" t="s">
        <v>9</v>
      </c>
      <c r="B2" s="40" t="s">
        <v>10</v>
      </c>
      <c r="C2" s="40" t="s">
        <v>11</v>
      </c>
      <c r="D2" s="40" t="s">
        <v>12</v>
      </c>
      <c r="E2" s="40">
        <v>5</v>
      </c>
      <c r="F2" s="40">
        <v>62011</v>
      </c>
      <c r="G2" s="40" t="s">
        <v>13</v>
      </c>
      <c r="H2" s="40" t="s">
        <v>14</v>
      </c>
      <c r="I2" s="42">
        <v>45667</v>
      </c>
      <c r="J2" s="41">
        <f>SUM(TBL_SALES3[[#This Row],[QUANTITY]]*TBL_SALES3[[#This Row],[PRICE_PER_UNIT]])</f>
        <v>310055</v>
      </c>
      <c r="K2" s="40">
        <f>SUMIF(TBL_SALES3[BRAND_NAME],TBL_SALES3[[#This Row],[BRAND_NAME]],TBL_SALES3[SALES_AMOUNT])</f>
        <v>3447703</v>
      </c>
    </row>
    <row r="3" spans="1:29" ht="30" x14ac:dyDescent="0.25">
      <c r="A3" s="40" t="s">
        <v>15</v>
      </c>
      <c r="B3" s="40" t="s">
        <v>10</v>
      </c>
      <c r="C3" s="40" t="s">
        <v>11</v>
      </c>
      <c r="D3" s="40" t="s">
        <v>16</v>
      </c>
      <c r="E3" s="40">
        <v>3</v>
      </c>
      <c r="F3" s="40">
        <v>98041</v>
      </c>
      <c r="G3" s="40" t="s">
        <v>17</v>
      </c>
      <c r="H3" s="40" t="s">
        <v>18</v>
      </c>
      <c r="I3" s="42">
        <v>45697</v>
      </c>
      <c r="J3" s="41">
        <f>SUM(TBL_SALES3[[#This Row],[QUANTITY]]*TBL_SALES3[[#This Row],[PRICE_PER_UNIT]])</f>
        <v>294123</v>
      </c>
      <c r="K3" s="40">
        <f>SUMIF(TBL_SALES3[BRAND_NAME],TBL_SALES3[[#This Row],[BRAND_NAME]],TBL_SALES3[SALES_AMOUNT])</f>
        <v>3447703</v>
      </c>
      <c r="M3" s="49" t="s">
        <v>261</v>
      </c>
      <c r="N3" s="11"/>
      <c r="O3" s="50" t="s">
        <v>276</v>
      </c>
      <c r="Q3" s="50" t="s">
        <v>277</v>
      </c>
      <c r="S3" s="50" t="s">
        <v>278</v>
      </c>
      <c r="U3" s="50" t="s">
        <v>279</v>
      </c>
      <c r="W3" s="89" t="s">
        <v>2</v>
      </c>
      <c r="X3" s="90"/>
      <c r="Y3" s="91" t="s">
        <v>309</v>
      </c>
      <c r="AA3" s="35" t="s">
        <v>7</v>
      </c>
      <c r="AB3" s="35" t="s">
        <v>323</v>
      </c>
      <c r="AC3" s="35" t="s">
        <v>324</v>
      </c>
    </row>
    <row r="4" spans="1:29" x14ac:dyDescent="0.25">
      <c r="A4" s="40" t="s">
        <v>19</v>
      </c>
      <c r="B4" s="40" t="s">
        <v>10</v>
      </c>
      <c r="C4" s="40" t="s">
        <v>20</v>
      </c>
      <c r="D4" s="40" t="s">
        <v>21</v>
      </c>
      <c r="E4" s="40">
        <v>1</v>
      </c>
      <c r="F4" s="40">
        <v>88403</v>
      </c>
      <c r="G4" s="40" t="s">
        <v>17</v>
      </c>
      <c r="H4" s="40" t="s">
        <v>18</v>
      </c>
      <c r="I4" s="42">
        <v>45428</v>
      </c>
      <c r="J4" s="41">
        <f>SUM(TBL_SALES3[[#This Row],[QUANTITY]]*TBL_SALES3[[#This Row],[PRICE_PER_UNIT]])</f>
        <v>88403</v>
      </c>
      <c r="K4" s="40">
        <f>SUMIF(TBL_SALES3[BRAND_NAME],TBL_SALES3[[#This Row],[BRAND_NAME]],TBL_SALES3[SALES_AMOUNT])</f>
        <v>5071935</v>
      </c>
      <c r="M4" s="51" t="s">
        <v>20</v>
      </c>
      <c r="N4" s="11"/>
      <c r="O4" s="51" t="str">
        <f>RIGHT(TBL_SALES3[SALEID],2)</f>
        <v>03</v>
      </c>
      <c r="Q4" s="51">
        <f>LEN(TBL_SALES3[PRODUCT_NAME])</f>
        <v>7</v>
      </c>
      <c r="S4" s="51" t="str">
        <f>UPPER(TBL_SALES3[BRAND_NAME])</f>
        <v>HP</v>
      </c>
      <c r="U4" s="51" t="str">
        <f>LOWER(TBL_SALES3[PRODUCT_NAME])</f>
        <v>omen 16</v>
      </c>
      <c r="W4" s="52" t="s">
        <v>20</v>
      </c>
      <c r="Y4" s="53" t="str">
        <f>SUBSTITUTE(W4,"HP","Hewlett Packard")</f>
        <v>Hewlett Packard</v>
      </c>
      <c r="AA4" s="51" t="s">
        <v>14</v>
      </c>
      <c r="AB4" s="51" t="s">
        <v>9</v>
      </c>
      <c r="AC4" s="120" t="str">
        <f>CONCATENATE(AA4,RIGHT(AB4,2))</f>
        <v>Kerala01</v>
      </c>
    </row>
    <row r="5" spans="1:29" x14ac:dyDescent="0.25">
      <c r="A5" s="40" t="s">
        <v>22</v>
      </c>
      <c r="B5" s="40" t="s">
        <v>10</v>
      </c>
      <c r="C5" s="40" t="s">
        <v>23</v>
      </c>
      <c r="D5" s="40" t="s">
        <v>24</v>
      </c>
      <c r="E5" s="40">
        <v>3</v>
      </c>
      <c r="F5" s="40">
        <v>96072</v>
      </c>
      <c r="G5" s="40" t="s">
        <v>13</v>
      </c>
      <c r="H5" s="40" t="s">
        <v>14</v>
      </c>
      <c r="I5" s="42">
        <v>45302</v>
      </c>
      <c r="J5" s="41">
        <f>SUM(TBL_SALES3[[#This Row],[QUANTITY]]*TBL_SALES3[[#This Row],[PRICE_PER_UNIT]])</f>
        <v>288216</v>
      </c>
      <c r="K5" s="40">
        <f>SUMIF(TBL_SALES3[BRAND_NAME],TBL_SALES3[[#This Row],[BRAND_NAME]],TBL_SALES3[SALES_AMOUNT])</f>
        <v>2939163</v>
      </c>
      <c r="M5" s="51" t="s">
        <v>262</v>
      </c>
      <c r="N5" s="11"/>
      <c r="O5" s="51" t="str">
        <f>RIGHT(TBL_SALES3[SALEID],2)</f>
        <v>04</v>
      </c>
      <c r="Q5" s="51">
        <f>LEN(TBL_SALES3[PRODUCT_NAME])</f>
        <v>11</v>
      </c>
      <c r="S5" s="51" t="str">
        <f>UPPER(TBL_SALES3[BRAND_NAME])</f>
        <v>DELL</v>
      </c>
      <c r="U5" s="51" t="str">
        <f>LOWER(TBL_SALES3[PRODUCT_NAME])</f>
        <v>inspiron 15</v>
      </c>
      <c r="W5" s="52" t="s">
        <v>20</v>
      </c>
      <c r="Y5" s="53" t="str">
        <f t="shared" ref="Y5:Y19" si="0">SUBSTITUTE(W5,"HP","Hewlett Packard")</f>
        <v>Hewlett Packard</v>
      </c>
      <c r="AA5" s="51" t="s">
        <v>18</v>
      </c>
      <c r="AB5" s="51" t="s">
        <v>15</v>
      </c>
      <c r="AC5" s="120" t="str">
        <f t="shared" ref="AC5:AC22" si="1">CONCATENATE(AA5,RIGHT(AB5,2))</f>
        <v>Tamil Nadu02</v>
      </c>
    </row>
    <row r="6" spans="1:29" x14ac:dyDescent="0.25">
      <c r="A6" s="40" t="s">
        <v>25</v>
      </c>
      <c r="B6" s="40" t="s">
        <v>10</v>
      </c>
      <c r="C6" s="40" t="s">
        <v>20</v>
      </c>
      <c r="D6" s="40" t="s">
        <v>26</v>
      </c>
      <c r="E6" s="40">
        <v>2</v>
      </c>
      <c r="F6" s="40">
        <v>100311</v>
      </c>
      <c r="G6" s="40" t="s">
        <v>27</v>
      </c>
      <c r="H6" s="40" t="s">
        <v>28</v>
      </c>
      <c r="I6" s="42">
        <v>45781</v>
      </c>
      <c r="J6" s="41">
        <f>SUM(TBL_SALES3[[#This Row],[QUANTITY]]*TBL_SALES3[[#This Row],[PRICE_PER_UNIT]])</f>
        <v>200622</v>
      </c>
      <c r="K6" s="40">
        <f>SUMIF(TBL_SALES3[BRAND_NAME],TBL_SALES3[[#This Row],[BRAND_NAME]],TBL_SALES3[SALES_AMOUNT])</f>
        <v>5071935</v>
      </c>
      <c r="M6" s="51" t="s">
        <v>263</v>
      </c>
      <c r="N6" s="11"/>
      <c r="O6" s="51" t="str">
        <f>RIGHT(TBL_SALES3[SALEID],2)</f>
        <v>05</v>
      </c>
      <c r="Q6" s="51">
        <f>LEN(TBL_SALES3[PRODUCT_NAME])</f>
        <v>11</v>
      </c>
      <c r="S6" s="51" t="str">
        <f>UPPER(TBL_SALES3[BRAND_NAME])</f>
        <v>HP</v>
      </c>
      <c r="U6" s="51" t="str">
        <f>LOWER(TBL_SALES3[PRODUCT_NAME])</f>
        <v>pavilion 14</v>
      </c>
      <c r="W6" s="52" t="s">
        <v>20</v>
      </c>
      <c r="Y6" s="53" t="str">
        <f>SUBSTITUTE(W6,"HP","Hewlett Packard")</f>
        <v>Hewlett Packard</v>
      </c>
      <c r="AA6" s="51" t="s">
        <v>18</v>
      </c>
      <c r="AB6" s="51" t="s">
        <v>19</v>
      </c>
      <c r="AC6" s="120" t="str">
        <f t="shared" si="1"/>
        <v>Tamil Nadu03</v>
      </c>
    </row>
    <row r="7" spans="1:29" x14ac:dyDescent="0.25">
      <c r="A7" s="40" t="s">
        <v>29</v>
      </c>
      <c r="B7" s="40" t="s">
        <v>10</v>
      </c>
      <c r="C7" s="40" t="s">
        <v>30</v>
      </c>
      <c r="D7" s="40" t="s">
        <v>31</v>
      </c>
      <c r="E7" s="40">
        <v>4</v>
      </c>
      <c r="F7" s="40">
        <v>87672</v>
      </c>
      <c r="G7" s="40" t="s">
        <v>17</v>
      </c>
      <c r="H7" s="40" t="s">
        <v>18</v>
      </c>
      <c r="I7" s="42">
        <v>45655</v>
      </c>
      <c r="J7" s="41">
        <f>SUM(TBL_SALES3[[#This Row],[QUANTITY]]*TBL_SALES3[[#This Row],[PRICE_PER_UNIT]])</f>
        <v>350688</v>
      </c>
      <c r="K7" s="40">
        <f>SUMIF(TBL_SALES3[BRAND_NAME],TBL_SALES3[[#This Row],[BRAND_NAME]],TBL_SALES3[SALES_AMOUNT])</f>
        <v>6392331</v>
      </c>
      <c r="M7" s="51" t="s">
        <v>41</v>
      </c>
      <c r="N7" s="11"/>
      <c r="O7" s="51" t="str">
        <f>RIGHT(TBL_SALES3[SALEID],2)</f>
        <v>06</v>
      </c>
      <c r="Q7" s="51">
        <f>LEN(TBL_SALES3[PRODUCT_NAME])</f>
        <v>11</v>
      </c>
      <c r="S7" s="51" t="str">
        <f>UPPER(TBL_SALES3[BRAND_NAME])</f>
        <v>ASUS</v>
      </c>
      <c r="U7" s="51" t="str">
        <f>LOWER(TBL_SALES3[PRODUCT_NAME])</f>
        <v>vivobook 15</v>
      </c>
      <c r="W7" s="52" t="s">
        <v>20</v>
      </c>
      <c r="Y7" s="53" t="str">
        <f t="shared" si="0"/>
        <v>Hewlett Packard</v>
      </c>
      <c r="AA7" s="51" t="s">
        <v>14</v>
      </c>
      <c r="AB7" s="51" t="s">
        <v>22</v>
      </c>
      <c r="AC7" s="120" t="str">
        <f t="shared" si="1"/>
        <v>Kerala04</v>
      </c>
    </row>
    <row r="8" spans="1:29" x14ac:dyDescent="0.25">
      <c r="A8" s="40" t="s">
        <v>32</v>
      </c>
      <c r="B8" s="40" t="s">
        <v>10</v>
      </c>
      <c r="C8" s="40" t="s">
        <v>20</v>
      </c>
      <c r="D8" s="40" t="s">
        <v>26</v>
      </c>
      <c r="E8" s="40">
        <v>4</v>
      </c>
      <c r="F8" s="40">
        <v>84444</v>
      </c>
      <c r="G8" s="40" t="s">
        <v>33</v>
      </c>
      <c r="H8" s="40" t="s">
        <v>18</v>
      </c>
      <c r="I8" s="42">
        <v>45306</v>
      </c>
      <c r="J8" s="41">
        <f>SUM(TBL_SALES3[[#This Row],[QUANTITY]]*TBL_SALES3[[#This Row],[PRICE_PER_UNIT]])</f>
        <v>337776</v>
      </c>
      <c r="K8" s="40">
        <f>SUMIF(TBL_SALES3[BRAND_NAME],TBL_SALES3[[#This Row],[BRAND_NAME]],TBL_SALES3[SALES_AMOUNT])</f>
        <v>5071935</v>
      </c>
      <c r="M8" s="51" t="s">
        <v>264</v>
      </c>
      <c r="N8" s="11"/>
      <c r="O8" s="51" t="str">
        <f>RIGHT(TBL_SALES3[SALEID],2)</f>
        <v>07</v>
      </c>
      <c r="Q8" s="51">
        <f>LEN(TBL_SALES3[PRODUCT_NAME])</f>
        <v>11</v>
      </c>
      <c r="S8" s="51" t="str">
        <f>UPPER(TBL_SALES3[BRAND_NAME])</f>
        <v>HP</v>
      </c>
      <c r="U8" s="51" t="str">
        <f>LOWER(TBL_SALES3[PRODUCT_NAME])</f>
        <v>pavilion 14</v>
      </c>
      <c r="W8" s="52" t="s">
        <v>20</v>
      </c>
      <c r="Y8" s="53" t="str">
        <f t="shared" si="0"/>
        <v>Hewlett Packard</v>
      </c>
      <c r="AA8" s="51" t="s">
        <v>28</v>
      </c>
      <c r="AB8" s="51" t="s">
        <v>25</v>
      </c>
      <c r="AC8" s="120" t="str">
        <f>CONCATENATE(AA8,RIGHT(AB8,2))</f>
        <v>Andhra Pradesh05</v>
      </c>
    </row>
    <row r="9" spans="1:29" x14ac:dyDescent="0.25">
      <c r="A9" s="40" t="s">
        <v>34</v>
      </c>
      <c r="B9" s="40" t="s">
        <v>10</v>
      </c>
      <c r="C9" s="40" t="s">
        <v>20</v>
      </c>
      <c r="D9" s="40" t="s">
        <v>26</v>
      </c>
      <c r="E9" s="40">
        <v>4</v>
      </c>
      <c r="F9" s="40">
        <v>96499</v>
      </c>
      <c r="G9" s="40" t="s">
        <v>35</v>
      </c>
      <c r="H9" s="40" t="s">
        <v>36</v>
      </c>
      <c r="I9" s="42">
        <v>45926</v>
      </c>
      <c r="J9" s="41">
        <f>SUM(TBL_SALES3[[#This Row],[QUANTITY]]*TBL_SALES3[[#This Row],[PRICE_PER_UNIT]])</f>
        <v>385996</v>
      </c>
      <c r="K9" s="40">
        <f>SUMIF(TBL_SALES3[BRAND_NAME],TBL_SALES3[[#This Row],[BRAND_NAME]],TBL_SALES3[SALES_AMOUNT])</f>
        <v>5071935</v>
      </c>
      <c r="M9" s="51" t="s">
        <v>265</v>
      </c>
      <c r="N9" s="11"/>
      <c r="O9" s="51" t="str">
        <f>RIGHT(TBL_SALES3[SALEID],2)</f>
        <v>08</v>
      </c>
      <c r="Q9" s="51">
        <f>LEN(TBL_SALES3[PRODUCT_NAME])</f>
        <v>11</v>
      </c>
      <c r="S9" s="51" t="str">
        <f>UPPER(TBL_SALES3[BRAND_NAME])</f>
        <v>HP</v>
      </c>
      <c r="U9" s="51" t="str">
        <f>LOWER(TBL_SALES3[PRODUCT_NAME])</f>
        <v>pavilion 14</v>
      </c>
      <c r="W9" s="52" t="s">
        <v>20</v>
      </c>
      <c r="Y9" s="53" t="str">
        <f t="shared" si="0"/>
        <v>Hewlett Packard</v>
      </c>
      <c r="AA9" s="51" t="s">
        <v>18</v>
      </c>
      <c r="AB9" s="51" t="s">
        <v>29</v>
      </c>
      <c r="AC9" s="120" t="str">
        <f t="shared" si="1"/>
        <v>Tamil Nadu06</v>
      </c>
    </row>
    <row r="10" spans="1:29" x14ac:dyDescent="0.25">
      <c r="A10" s="40" t="s">
        <v>37</v>
      </c>
      <c r="B10" s="40" t="s">
        <v>10</v>
      </c>
      <c r="C10" s="40" t="s">
        <v>30</v>
      </c>
      <c r="D10" s="40" t="s">
        <v>38</v>
      </c>
      <c r="E10" s="40">
        <v>5</v>
      </c>
      <c r="F10" s="40">
        <v>91084</v>
      </c>
      <c r="G10" s="40" t="s">
        <v>39</v>
      </c>
      <c r="H10" s="40" t="s">
        <v>18</v>
      </c>
      <c r="I10" s="42">
        <v>45482</v>
      </c>
      <c r="J10" s="41">
        <f>SUM(TBL_SALES3[[#This Row],[QUANTITY]]*TBL_SALES3[[#This Row],[PRICE_PER_UNIT]])</f>
        <v>455420</v>
      </c>
      <c r="K10" s="40">
        <f>SUMIF(TBL_SALES3[BRAND_NAME],TBL_SALES3[[#This Row],[BRAND_NAME]],TBL_SALES3[SALES_AMOUNT])</f>
        <v>6392331</v>
      </c>
      <c r="M10" s="51" t="s">
        <v>266</v>
      </c>
      <c r="N10" s="11"/>
      <c r="O10" s="51" t="str">
        <f>RIGHT(TBL_SALES3[SALEID],2)</f>
        <v>09</v>
      </c>
      <c r="Q10" s="51">
        <f>LEN(TBL_SALES3[PRODUCT_NAME])</f>
        <v>12</v>
      </c>
      <c r="S10" s="51" t="str">
        <f>UPPER(TBL_SALES3[BRAND_NAME])</f>
        <v>ASUS</v>
      </c>
      <c r="U10" s="51" t="str">
        <f>LOWER(TBL_SALES3[PRODUCT_NAME])</f>
        <v>rog zephyrus</v>
      </c>
      <c r="W10" s="52" t="s">
        <v>20</v>
      </c>
      <c r="Y10" s="53" t="str">
        <f t="shared" si="0"/>
        <v>Hewlett Packard</v>
      </c>
      <c r="AA10" s="51" t="s">
        <v>18</v>
      </c>
      <c r="AB10" s="51" t="s">
        <v>32</v>
      </c>
      <c r="AC10" s="120" t="str">
        <f t="shared" si="1"/>
        <v>Tamil Nadu07</v>
      </c>
    </row>
    <row r="11" spans="1:29" x14ac:dyDescent="0.25">
      <c r="A11" s="40" t="s">
        <v>40</v>
      </c>
      <c r="B11" s="40" t="s">
        <v>10</v>
      </c>
      <c r="C11" s="40" t="s">
        <v>41</v>
      </c>
      <c r="D11" s="40" t="s">
        <v>42</v>
      </c>
      <c r="E11" s="40">
        <v>5</v>
      </c>
      <c r="F11" s="40">
        <v>100663</v>
      </c>
      <c r="G11" s="40" t="s">
        <v>43</v>
      </c>
      <c r="H11" s="40" t="s">
        <v>14</v>
      </c>
      <c r="I11" s="42">
        <v>45881</v>
      </c>
      <c r="J11" s="41">
        <f>SUM(TBL_SALES3[[#This Row],[QUANTITY]]*TBL_SALES3[[#This Row],[PRICE_PER_UNIT]])</f>
        <v>503315</v>
      </c>
      <c r="K11" s="40">
        <f>SUMIF(TBL_SALES3[BRAND_NAME],TBL_SALES3[[#This Row],[BRAND_NAME]],TBL_SALES3[SALES_AMOUNT])</f>
        <v>4627368</v>
      </c>
      <c r="M11" s="51" t="s">
        <v>267</v>
      </c>
      <c r="N11" s="11"/>
      <c r="O11" s="51" t="str">
        <f>RIGHT(TBL_SALES3[SALEID],2)</f>
        <v>10</v>
      </c>
      <c r="Q11" s="51">
        <f>LEN(TBL_SALES3[PRODUCT_NAME])</f>
        <v>9</v>
      </c>
      <c r="S11" s="51" t="str">
        <f>UPPER(TBL_SALES3[BRAND_NAME])</f>
        <v>MSI</v>
      </c>
      <c r="U11" s="51" t="str">
        <f>LOWER(TBL_SALES3[PRODUCT_NAME])</f>
        <v>modern 14</v>
      </c>
      <c r="W11" s="52" t="s">
        <v>20</v>
      </c>
      <c r="Y11" s="53" t="str">
        <f t="shared" si="0"/>
        <v>Hewlett Packard</v>
      </c>
      <c r="AA11" s="51" t="s">
        <v>36</v>
      </c>
      <c r="AB11" s="51" t="s">
        <v>34</v>
      </c>
      <c r="AC11" s="120" t="str">
        <f t="shared" si="1"/>
        <v>Karnataka08</v>
      </c>
    </row>
    <row r="12" spans="1:29" x14ac:dyDescent="0.25">
      <c r="A12" s="40" t="s">
        <v>44</v>
      </c>
      <c r="B12" s="40" t="s">
        <v>10</v>
      </c>
      <c r="C12" s="40" t="s">
        <v>20</v>
      </c>
      <c r="D12" s="40" t="s">
        <v>21</v>
      </c>
      <c r="E12" s="40">
        <v>5</v>
      </c>
      <c r="F12" s="40">
        <v>116551</v>
      </c>
      <c r="G12" s="40" t="s">
        <v>27</v>
      </c>
      <c r="H12" s="40" t="s">
        <v>28</v>
      </c>
      <c r="I12" s="42">
        <v>45834</v>
      </c>
      <c r="J12" s="41">
        <f>SUM(TBL_SALES3[[#This Row],[QUANTITY]]*TBL_SALES3[[#This Row],[PRICE_PER_UNIT]])</f>
        <v>582755</v>
      </c>
      <c r="K12" s="40">
        <f>SUMIF(TBL_SALES3[BRAND_NAME],TBL_SALES3[[#This Row],[BRAND_NAME]],TBL_SALES3[SALES_AMOUNT])</f>
        <v>5071935</v>
      </c>
      <c r="M12" s="51" t="s">
        <v>268</v>
      </c>
      <c r="N12" s="11"/>
      <c r="O12" s="51" t="str">
        <f>RIGHT(TBL_SALES3[SALEID],2)</f>
        <v>11</v>
      </c>
      <c r="Q12" s="51">
        <f>LEN(TBL_SALES3[PRODUCT_NAME])</f>
        <v>7</v>
      </c>
      <c r="S12" s="51" t="str">
        <f>UPPER(TBL_SALES3[BRAND_NAME])</f>
        <v>HP</v>
      </c>
      <c r="U12" s="51" t="str">
        <f>LOWER(TBL_SALES3[PRODUCT_NAME])</f>
        <v>omen 16</v>
      </c>
      <c r="W12" s="52" t="s">
        <v>20</v>
      </c>
      <c r="Y12" s="53" t="str">
        <f t="shared" si="0"/>
        <v>Hewlett Packard</v>
      </c>
      <c r="AA12" s="51" t="s">
        <v>18</v>
      </c>
      <c r="AB12" s="51" t="s">
        <v>37</v>
      </c>
      <c r="AC12" s="120" t="str">
        <f t="shared" si="1"/>
        <v>Tamil Nadu09</v>
      </c>
    </row>
    <row r="13" spans="1:29" x14ac:dyDescent="0.25">
      <c r="A13" s="40" t="s">
        <v>45</v>
      </c>
      <c r="B13" s="40" t="s">
        <v>10</v>
      </c>
      <c r="C13" s="40" t="s">
        <v>11</v>
      </c>
      <c r="D13" s="40" t="s">
        <v>16</v>
      </c>
      <c r="E13" s="40">
        <v>5</v>
      </c>
      <c r="F13" s="40">
        <v>62573</v>
      </c>
      <c r="G13" s="40" t="s">
        <v>17</v>
      </c>
      <c r="H13" s="40" t="s">
        <v>18</v>
      </c>
      <c r="I13" s="42">
        <v>45285</v>
      </c>
      <c r="J13" s="41">
        <f>SUM(TBL_SALES3[[#This Row],[QUANTITY]]*TBL_SALES3[[#This Row],[PRICE_PER_UNIT]])</f>
        <v>312865</v>
      </c>
      <c r="K13" s="40">
        <f>SUMIF(TBL_SALES3[BRAND_NAME],TBL_SALES3[[#This Row],[BRAND_NAME]],TBL_SALES3[SALES_AMOUNT])</f>
        <v>3447703</v>
      </c>
      <c r="M13" s="51" t="s">
        <v>269</v>
      </c>
      <c r="N13" s="11"/>
      <c r="O13" s="51" t="str">
        <f>RIGHT(TBL_SALES3[SALEID],2)</f>
        <v>12</v>
      </c>
      <c r="Q13" s="51">
        <f>LEN(TBL_SALES3[PRODUCT_NAME])</f>
        <v>8</v>
      </c>
      <c r="S13" s="51" t="str">
        <f>UPPER(TBL_SALES3[BRAND_NAME])</f>
        <v>ACER</v>
      </c>
      <c r="U13" s="51" t="str">
        <f>LOWER(TBL_SALES3[PRODUCT_NAME])</f>
        <v>aspire 5</v>
      </c>
      <c r="W13" s="52" t="s">
        <v>20</v>
      </c>
      <c r="Y13" s="53" t="str">
        <f t="shared" si="0"/>
        <v>Hewlett Packard</v>
      </c>
      <c r="AA13" s="51" t="s">
        <v>14</v>
      </c>
      <c r="AB13" s="51" t="s">
        <v>40</v>
      </c>
      <c r="AC13" s="120" t="str">
        <f t="shared" si="1"/>
        <v>Kerala10</v>
      </c>
    </row>
    <row r="14" spans="1:29" x14ac:dyDescent="0.25">
      <c r="A14" s="40" t="s">
        <v>46</v>
      </c>
      <c r="B14" s="40" t="s">
        <v>10</v>
      </c>
      <c r="C14" s="40" t="s">
        <v>47</v>
      </c>
      <c r="D14" s="40" t="s">
        <v>48</v>
      </c>
      <c r="E14" s="40">
        <v>2</v>
      </c>
      <c r="F14" s="40">
        <v>85445</v>
      </c>
      <c r="G14" s="40" t="s">
        <v>17</v>
      </c>
      <c r="H14" s="40" t="s">
        <v>18</v>
      </c>
      <c r="I14" s="42">
        <v>45392</v>
      </c>
      <c r="J14" s="41">
        <f>SUM(TBL_SALES3[[#This Row],[QUANTITY]]*TBL_SALES3[[#This Row],[PRICE_PER_UNIT]])</f>
        <v>170890</v>
      </c>
      <c r="K14" s="40">
        <f>SUMIF(TBL_SALES3[BRAND_NAME],TBL_SALES3[[#This Row],[BRAND_NAME]],TBL_SALES3[SALES_AMOUNT])</f>
        <v>2863185</v>
      </c>
      <c r="M14" s="51" t="s">
        <v>270</v>
      </c>
      <c r="N14" s="11"/>
      <c r="O14" s="51" t="str">
        <f>RIGHT(TBL_SALES3[SALEID],2)</f>
        <v>13</v>
      </c>
      <c r="Q14" s="51">
        <f>LEN(TBL_SALES3[PRODUCT_NAME])</f>
        <v>14</v>
      </c>
      <c r="S14" s="51" t="str">
        <f>UPPER(TBL_SALES3[BRAND_NAME])</f>
        <v>LENOVO</v>
      </c>
      <c r="U14" s="51" t="str">
        <f>LOWER(TBL_SALES3[PRODUCT_NAME])</f>
        <v>ideapad slim 5</v>
      </c>
      <c r="W14" s="52" t="s">
        <v>20</v>
      </c>
      <c r="Y14" s="53" t="str">
        <f t="shared" si="0"/>
        <v>Hewlett Packard</v>
      </c>
      <c r="AA14" s="51" t="s">
        <v>28</v>
      </c>
      <c r="AB14" s="51" t="s">
        <v>44</v>
      </c>
      <c r="AC14" s="120" t="str">
        <f t="shared" si="1"/>
        <v>Andhra Pradesh11</v>
      </c>
    </row>
    <row r="15" spans="1:29" x14ac:dyDescent="0.25">
      <c r="A15" s="40" t="s">
        <v>49</v>
      </c>
      <c r="B15" s="40" t="s">
        <v>10</v>
      </c>
      <c r="C15" s="40" t="s">
        <v>23</v>
      </c>
      <c r="D15" s="40" t="s">
        <v>24</v>
      </c>
      <c r="E15" s="40">
        <v>5</v>
      </c>
      <c r="F15" s="40">
        <v>67954</v>
      </c>
      <c r="G15" s="40" t="s">
        <v>50</v>
      </c>
      <c r="H15" s="40" t="s">
        <v>36</v>
      </c>
      <c r="I15" s="42">
        <v>45421</v>
      </c>
      <c r="J15" s="41">
        <f>SUM(TBL_SALES3[[#This Row],[QUANTITY]]*TBL_SALES3[[#This Row],[PRICE_PER_UNIT]])</f>
        <v>339770</v>
      </c>
      <c r="K15" s="40">
        <f>SUMIF(TBL_SALES3[BRAND_NAME],TBL_SALES3[[#This Row],[BRAND_NAME]],TBL_SALES3[SALES_AMOUNT])</f>
        <v>2939163</v>
      </c>
      <c r="M15" s="51" t="s">
        <v>271</v>
      </c>
      <c r="N15" s="11"/>
      <c r="O15" s="51" t="str">
        <f>RIGHT(TBL_SALES3[SALEID],2)</f>
        <v>14</v>
      </c>
      <c r="Q15" s="51">
        <f>LEN(TBL_SALES3[PRODUCT_NAME])</f>
        <v>11</v>
      </c>
      <c r="S15" s="51" t="str">
        <f>UPPER(TBL_SALES3[BRAND_NAME])</f>
        <v>DELL</v>
      </c>
      <c r="U15" s="51" t="str">
        <f>LOWER(TBL_SALES3[PRODUCT_NAME])</f>
        <v>inspiron 15</v>
      </c>
      <c r="W15" s="52" t="s">
        <v>20</v>
      </c>
      <c r="Y15" s="53" t="str">
        <f t="shared" si="0"/>
        <v>Hewlett Packard</v>
      </c>
      <c r="AA15" s="51" t="s">
        <v>18</v>
      </c>
      <c r="AB15" s="51" t="s">
        <v>45</v>
      </c>
      <c r="AC15" s="120" t="str">
        <f t="shared" si="1"/>
        <v>Tamil Nadu12</v>
      </c>
    </row>
    <row r="16" spans="1:29" x14ac:dyDescent="0.25">
      <c r="A16" s="40" t="s">
        <v>51</v>
      </c>
      <c r="B16" s="40" t="s">
        <v>10</v>
      </c>
      <c r="C16" s="40" t="s">
        <v>30</v>
      </c>
      <c r="D16" s="40" t="s">
        <v>31</v>
      </c>
      <c r="E16" s="40">
        <v>2</v>
      </c>
      <c r="F16" s="40">
        <v>72979</v>
      </c>
      <c r="G16" s="40" t="s">
        <v>27</v>
      </c>
      <c r="H16" s="40" t="s">
        <v>28</v>
      </c>
      <c r="I16" s="42">
        <v>45893</v>
      </c>
      <c r="J16" s="41">
        <f>SUM(TBL_SALES3[[#This Row],[QUANTITY]]*TBL_SALES3[[#This Row],[PRICE_PER_UNIT]])</f>
        <v>145958</v>
      </c>
      <c r="K16" s="40">
        <f>SUMIF(TBL_SALES3[BRAND_NAME],TBL_SALES3[[#This Row],[BRAND_NAME]],TBL_SALES3[SALES_AMOUNT])</f>
        <v>6392331</v>
      </c>
      <c r="M16" s="51" t="s">
        <v>272</v>
      </c>
      <c r="N16" s="11"/>
      <c r="O16" s="51" t="str">
        <f>RIGHT(TBL_SALES3[SALEID],2)</f>
        <v>15</v>
      </c>
      <c r="Q16" s="51">
        <f>LEN(TBL_SALES3[PRODUCT_NAME])</f>
        <v>11</v>
      </c>
      <c r="S16" s="51" t="str">
        <f>UPPER(TBL_SALES3[BRAND_NAME])</f>
        <v>ASUS</v>
      </c>
      <c r="U16" s="51" t="str">
        <f>LOWER(TBL_SALES3[PRODUCT_NAME])</f>
        <v>vivobook 15</v>
      </c>
      <c r="W16" s="52" t="s">
        <v>20</v>
      </c>
      <c r="Y16" s="53" t="str">
        <f t="shared" si="0"/>
        <v>Hewlett Packard</v>
      </c>
      <c r="AA16" s="51" t="s">
        <v>18</v>
      </c>
      <c r="AB16" s="51" t="s">
        <v>46</v>
      </c>
      <c r="AC16" s="120" t="str">
        <f t="shared" si="1"/>
        <v>Tamil Nadu13</v>
      </c>
    </row>
    <row r="17" spans="1:29" x14ac:dyDescent="0.25">
      <c r="A17" s="40" t="s">
        <v>52</v>
      </c>
      <c r="B17" s="40" t="s">
        <v>10</v>
      </c>
      <c r="C17" s="40" t="s">
        <v>20</v>
      </c>
      <c r="D17" s="40" t="s">
        <v>21</v>
      </c>
      <c r="E17" s="40">
        <v>4</v>
      </c>
      <c r="F17" s="40">
        <v>95618</v>
      </c>
      <c r="G17" s="40" t="s">
        <v>33</v>
      </c>
      <c r="H17" s="40" t="s">
        <v>18</v>
      </c>
      <c r="I17" s="42">
        <v>45479</v>
      </c>
      <c r="J17" s="41">
        <f>SUM(TBL_SALES3[[#This Row],[QUANTITY]]*TBL_SALES3[[#This Row],[PRICE_PER_UNIT]])</f>
        <v>382472</v>
      </c>
      <c r="K17" s="40">
        <f>SUMIF(TBL_SALES3[BRAND_NAME],TBL_SALES3[[#This Row],[BRAND_NAME]],TBL_SALES3[SALES_AMOUNT])</f>
        <v>5071935</v>
      </c>
      <c r="M17" s="51" t="s">
        <v>273</v>
      </c>
      <c r="N17" s="11"/>
      <c r="O17" s="51" t="str">
        <f>RIGHT(TBL_SALES3[SALEID],2)</f>
        <v>16</v>
      </c>
      <c r="Q17" s="51">
        <f>LEN(TBL_SALES3[PRODUCT_NAME])</f>
        <v>7</v>
      </c>
      <c r="S17" s="51" t="str">
        <f>UPPER(TBL_SALES3[BRAND_NAME])</f>
        <v>HP</v>
      </c>
      <c r="U17" s="51" t="str">
        <f>LOWER(TBL_SALES3[PRODUCT_NAME])</f>
        <v>omen 16</v>
      </c>
      <c r="W17" s="52" t="s">
        <v>20</v>
      </c>
      <c r="Y17" s="53" t="str">
        <f t="shared" si="0"/>
        <v>Hewlett Packard</v>
      </c>
      <c r="AA17" s="51" t="s">
        <v>36</v>
      </c>
      <c r="AB17" s="51" t="s">
        <v>49</v>
      </c>
      <c r="AC17" s="120" t="str">
        <f t="shared" si="1"/>
        <v>Karnataka14</v>
      </c>
    </row>
    <row r="18" spans="1:29" x14ac:dyDescent="0.25">
      <c r="A18" s="40" t="s">
        <v>53</v>
      </c>
      <c r="B18" s="40" t="s">
        <v>10</v>
      </c>
      <c r="C18" s="40" t="s">
        <v>23</v>
      </c>
      <c r="D18" s="40" t="s">
        <v>24</v>
      </c>
      <c r="E18" s="40">
        <v>1</v>
      </c>
      <c r="F18" s="40">
        <v>73160</v>
      </c>
      <c r="G18" s="40" t="s">
        <v>13</v>
      </c>
      <c r="H18" s="40" t="s">
        <v>14</v>
      </c>
      <c r="I18" s="42">
        <v>45643</v>
      </c>
      <c r="J18" s="41">
        <f>SUM(TBL_SALES3[[#This Row],[QUANTITY]]*TBL_SALES3[[#This Row],[PRICE_PER_UNIT]])</f>
        <v>73160</v>
      </c>
      <c r="K18" s="40">
        <f>SUMIF(TBL_SALES3[BRAND_NAME],TBL_SALES3[[#This Row],[BRAND_NAME]],TBL_SALES3[SALES_AMOUNT])</f>
        <v>2939163</v>
      </c>
      <c r="M18" s="51" t="s">
        <v>274</v>
      </c>
      <c r="N18" s="11"/>
      <c r="O18" s="51" t="str">
        <f>RIGHT(TBL_SALES3[SALEID],2)</f>
        <v>17</v>
      </c>
      <c r="Q18" s="51">
        <f>LEN(TBL_SALES3[PRODUCT_NAME])</f>
        <v>11</v>
      </c>
      <c r="S18" s="51" t="str">
        <f>UPPER(TBL_SALES3[BRAND_NAME])</f>
        <v>DELL</v>
      </c>
      <c r="U18" s="51" t="str">
        <f>LOWER(TBL_SALES3[PRODUCT_NAME])</f>
        <v>inspiron 15</v>
      </c>
      <c r="W18" s="52" t="s">
        <v>20</v>
      </c>
      <c r="Y18" s="53" t="str">
        <f t="shared" si="0"/>
        <v>Hewlett Packard</v>
      </c>
      <c r="AA18" s="51" t="s">
        <v>28</v>
      </c>
      <c r="AB18" s="51" t="s">
        <v>51</v>
      </c>
      <c r="AC18" s="120" t="str">
        <f t="shared" si="1"/>
        <v>Andhra Pradesh15</v>
      </c>
    </row>
    <row r="19" spans="1:29" ht="15.75" thickBot="1" x14ac:dyDescent="0.3">
      <c r="A19" s="40" t="s">
        <v>54</v>
      </c>
      <c r="B19" s="40" t="s">
        <v>10</v>
      </c>
      <c r="C19" s="40" t="s">
        <v>11</v>
      </c>
      <c r="D19" s="40" t="s">
        <v>16</v>
      </c>
      <c r="E19" s="40">
        <v>3</v>
      </c>
      <c r="F19" s="40">
        <v>70126</v>
      </c>
      <c r="G19" s="40" t="s">
        <v>55</v>
      </c>
      <c r="H19" s="40" t="s">
        <v>28</v>
      </c>
      <c r="I19" s="42">
        <v>45674</v>
      </c>
      <c r="J19" s="41">
        <f>SUM(TBL_SALES3[[#This Row],[QUANTITY]]*TBL_SALES3[[#This Row],[PRICE_PER_UNIT]])</f>
        <v>210378</v>
      </c>
      <c r="K19" s="40">
        <f>SUMIF(TBL_SALES3[BRAND_NAME],TBL_SALES3[[#This Row],[BRAND_NAME]],TBL_SALES3[SALES_AMOUNT])</f>
        <v>3447703</v>
      </c>
      <c r="M19" s="51" t="s">
        <v>275</v>
      </c>
      <c r="N19" s="11"/>
      <c r="O19" s="51" t="str">
        <f>RIGHT(TBL_SALES3[SALEID],2)</f>
        <v>18</v>
      </c>
      <c r="Q19" s="51">
        <f>LEN(TBL_SALES3[PRODUCT_NAME])</f>
        <v>8</v>
      </c>
      <c r="S19" s="51" t="str">
        <f>UPPER(TBL_SALES3[BRAND_NAME])</f>
        <v>ACER</v>
      </c>
      <c r="U19" s="51" t="str">
        <f>LOWER(TBL_SALES3[PRODUCT_NAME])</f>
        <v>aspire 5</v>
      </c>
      <c r="W19" s="54" t="s">
        <v>20</v>
      </c>
      <c r="X19" s="74"/>
      <c r="Y19" s="55" t="str">
        <f t="shared" si="0"/>
        <v>Hewlett Packard</v>
      </c>
      <c r="AA19" s="51" t="s">
        <v>18</v>
      </c>
      <c r="AB19" s="51" t="s">
        <v>52</v>
      </c>
      <c r="AC19" s="120" t="str">
        <f t="shared" si="1"/>
        <v>Tamil Nadu16</v>
      </c>
    </row>
    <row r="20" spans="1:29" x14ac:dyDescent="0.25">
      <c r="A20" s="40" t="s">
        <v>56</v>
      </c>
      <c r="B20" s="40" t="s">
        <v>10</v>
      </c>
      <c r="C20" s="40" t="s">
        <v>11</v>
      </c>
      <c r="D20" s="40" t="s">
        <v>12</v>
      </c>
      <c r="E20" s="40">
        <v>2</v>
      </c>
      <c r="F20" s="40">
        <v>57240</v>
      </c>
      <c r="G20" s="40" t="s">
        <v>27</v>
      </c>
      <c r="H20" s="40" t="s">
        <v>28</v>
      </c>
      <c r="I20" s="42">
        <v>45682</v>
      </c>
      <c r="J20" s="41">
        <f>SUM(TBL_SALES3[[#This Row],[QUANTITY]]*TBL_SALES3[[#This Row],[PRICE_PER_UNIT]])</f>
        <v>114480</v>
      </c>
      <c r="K20" s="40">
        <f>SUMIF(TBL_SALES3[BRAND_NAME],TBL_SALES3[[#This Row],[BRAND_NAME]],TBL_SALES3[SALES_AMOUNT])</f>
        <v>3447703</v>
      </c>
      <c r="AA20" s="51" t="s">
        <v>14</v>
      </c>
      <c r="AB20" s="51" t="s">
        <v>53</v>
      </c>
      <c r="AC20" s="120" t="str">
        <f t="shared" si="1"/>
        <v>Kerala17</v>
      </c>
    </row>
    <row r="21" spans="1:29" x14ac:dyDescent="0.25">
      <c r="A21" s="40" t="s">
        <v>57</v>
      </c>
      <c r="B21" s="40" t="s">
        <v>10</v>
      </c>
      <c r="C21" s="40" t="s">
        <v>23</v>
      </c>
      <c r="D21" s="40" t="s">
        <v>58</v>
      </c>
      <c r="E21" s="40">
        <v>1</v>
      </c>
      <c r="F21" s="40">
        <v>119905</v>
      </c>
      <c r="G21" s="40" t="s">
        <v>59</v>
      </c>
      <c r="H21" s="40" t="s">
        <v>60</v>
      </c>
      <c r="I21" s="42">
        <v>45829</v>
      </c>
      <c r="J21" s="41">
        <f>SUM(TBL_SALES3[[#This Row],[QUANTITY]]*TBL_SALES3[[#This Row],[PRICE_PER_UNIT]])</f>
        <v>119905</v>
      </c>
      <c r="K21" s="40">
        <f>SUMIF(TBL_SALES3[BRAND_NAME],TBL_SALES3[[#This Row],[BRAND_NAME]],TBL_SALES3[SALES_AMOUNT])</f>
        <v>2939163</v>
      </c>
      <c r="AA21" s="51" t="s">
        <v>36</v>
      </c>
      <c r="AB21" s="51" t="s">
        <v>54</v>
      </c>
      <c r="AC21" s="120" t="str">
        <f t="shared" si="1"/>
        <v>Karnataka18</v>
      </c>
    </row>
    <row r="22" spans="1:29" x14ac:dyDescent="0.25">
      <c r="A22" s="40" t="s">
        <v>61</v>
      </c>
      <c r="B22" s="40" t="s">
        <v>10</v>
      </c>
      <c r="C22" s="40" t="s">
        <v>41</v>
      </c>
      <c r="D22" s="40" t="s">
        <v>62</v>
      </c>
      <c r="E22" s="40">
        <v>5</v>
      </c>
      <c r="F22" s="40">
        <v>107793</v>
      </c>
      <c r="G22" s="40" t="s">
        <v>17</v>
      </c>
      <c r="H22" s="40" t="s">
        <v>18</v>
      </c>
      <c r="I22" s="42">
        <v>45727</v>
      </c>
      <c r="J22" s="41">
        <f>SUM(TBL_SALES3[[#This Row],[QUANTITY]]*TBL_SALES3[[#This Row],[PRICE_PER_UNIT]])</f>
        <v>538965</v>
      </c>
      <c r="K22" s="40">
        <f>SUMIF(TBL_SALES3[BRAND_NAME],TBL_SALES3[[#This Row],[BRAND_NAME]],TBL_SALES3[SALES_AMOUNT])</f>
        <v>4627368</v>
      </c>
      <c r="AA22" s="51" t="s">
        <v>28</v>
      </c>
      <c r="AB22" s="51" t="s">
        <v>56</v>
      </c>
      <c r="AC22" s="120" t="str">
        <f t="shared" si="1"/>
        <v>Andhra Pradesh19</v>
      </c>
    </row>
    <row r="23" spans="1:29" x14ac:dyDescent="0.25">
      <c r="A23" s="40" t="s">
        <v>63</v>
      </c>
      <c r="B23" s="40" t="s">
        <v>10</v>
      </c>
      <c r="C23" s="40" t="s">
        <v>41</v>
      </c>
      <c r="D23" s="40" t="s">
        <v>62</v>
      </c>
      <c r="E23" s="40">
        <v>1</v>
      </c>
      <c r="F23" s="40">
        <v>57087</v>
      </c>
      <c r="G23" s="40" t="s">
        <v>55</v>
      </c>
      <c r="H23" s="40" t="s">
        <v>28</v>
      </c>
      <c r="I23" s="42">
        <v>45800</v>
      </c>
      <c r="J23" s="41">
        <f>SUM(TBL_SALES3[[#This Row],[QUANTITY]]*TBL_SALES3[[#This Row],[PRICE_PER_UNIT]])</f>
        <v>57087</v>
      </c>
      <c r="K23" s="40">
        <f>SUMIF(TBL_SALES3[BRAND_NAME],TBL_SALES3[[#This Row],[BRAND_NAME]],TBL_SALES3[SALES_AMOUNT])</f>
        <v>4627368</v>
      </c>
      <c r="M23" s="49" t="s">
        <v>280</v>
      </c>
      <c r="O23" s="49" t="s">
        <v>281</v>
      </c>
      <c r="Q23" s="49" t="s">
        <v>282</v>
      </c>
      <c r="S23" s="49" t="s">
        <v>283</v>
      </c>
      <c r="U23" s="49" t="s">
        <v>284</v>
      </c>
      <c r="V23" s="49" t="s">
        <v>285</v>
      </c>
      <c r="Y23" s="95" t="s">
        <v>316</v>
      </c>
      <c r="AA23" s="51" t="s">
        <v>18</v>
      </c>
      <c r="AB23" s="51" t="s">
        <v>57</v>
      </c>
      <c r="AC23" s="120" t="str">
        <f>CONCATENATE(AA23,RIGHT(AB23,2))</f>
        <v>Tamil Nadu20</v>
      </c>
    </row>
    <row r="24" spans="1:29" x14ac:dyDescent="0.25">
      <c r="A24" s="40" t="s">
        <v>64</v>
      </c>
      <c r="B24" s="40" t="s">
        <v>10</v>
      </c>
      <c r="C24" s="40" t="s">
        <v>11</v>
      </c>
      <c r="D24" s="40" t="s">
        <v>16</v>
      </c>
      <c r="E24" s="40">
        <v>2</v>
      </c>
      <c r="F24" s="40">
        <v>56557</v>
      </c>
      <c r="G24" s="40" t="s">
        <v>55</v>
      </c>
      <c r="H24" s="40" t="s">
        <v>28</v>
      </c>
      <c r="I24" s="42">
        <v>45533</v>
      </c>
      <c r="J24" s="41">
        <f>SUM(TBL_SALES3[[#This Row],[QUANTITY]]*TBL_SALES3[[#This Row],[PRICE_PER_UNIT]])</f>
        <v>113114</v>
      </c>
      <c r="K24" s="40">
        <f>SUMIF(TBL_SALES3[BRAND_NAME],TBL_SALES3[[#This Row],[BRAND_NAME]],TBL_SALES3[SALES_AMOUNT])</f>
        <v>3447703</v>
      </c>
      <c r="M24" s="51" t="str">
        <f>PROPER(TBL_SALES3[CITY])</f>
        <v>Vijayawada</v>
      </c>
      <c r="O24" s="51" t="str">
        <f>CONCATENATE(TBL_SALES3[CITY]," ---&gt; ",TBL_SALES3[STATE])</f>
        <v>Vijayawada ---&gt; Andhra Pradesh</v>
      </c>
      <c r="Q24" s="51" t="str">
        <f>TBL_SALES3[BRAND_NAME]&amp;" --&gt; "&amp;TBL_SALES3[PRODUCT_NAME]</f>
        <v>ACER --&gt; Aspire 5</v>
      </c>
      <c r="S24" s="141" t="str">
        <f>CONCATENATE(TBL_SALES3[SALEID],"  ",TBL_SALES3[CITY],"  ",TEXT(TBL_SALES3[DATE],"dd-mm-yyyy"))</f>
        <v>S1023  Vijayawada  29-08-2024</v>
      </c>
      <c r="U24" s="51" t="s">
        <v>286</v>
      </c>
      <c r="V24" s="51" t="str">
        <f>SUBSTITUTE(U24,"LAPTOP","NoteBook")</f>
        <v>NoteBook</v>
      </c>
      <c r="Y24" s="105" t="str">
        <f>INDEX(TBL_SALES3[PRODUCT_NAME],
       MATCH(MAX(INDEX(LEN(TRIM(TBL_SALES3[PRODUCT_NAME])),0)),
             INDEX(LEN(TRIM(TBL_SALES3[PRODUCT_NAME])),0),
             0))</f>
        <v>Predator Helios</v>
      </c>
    </row>
    <row r="25" spans="1:29" x14ac:dyDescent="0.25">
      <c r="A25" s="40" t="s">
        <v>65</v>
      </c>
      <c r="B25" s="40" t="s">
        <v>10</v>
      </c>
      <c r="C25" s="40" t="s">
        <v>23</v>
      </c>
      <c r="D25" s="40" t="s">
        <v>24</v>
      </c>
      <c r="E25" s="40">
        <v>3</v>
      </c>
      <c r="F25" s="40">
        <v>69461</v>
      </c>
      <c r="G25" s="40" t="s">
        <v>33</v>
      </c>
      <c r="H25" s="40" t="s">
        <v>18</v>
      </c>
      <c r="I25" s="42">
        <v>45486</v>
      </c>
      <c r="J25" s="41">
        <f>SUM(TBL_SALES3[[#This Row],[QUANTITY]]*TBL_SALES3[[#This Row],[PRICE_PER_UNIT]])</f>
        <v>208383</v>
      </c>
      <c r="K25" s="40">
        <f>SUMIF(TBL_SALES3[BRAND_NAME],TBL_SALES3[[#This Row],[BRAND_NAME]],TBL_SALES3[SALES_AMOUNT])</f>
        <v>2939163</v>
      </c>
      <c r="M25" s="51" t="str">
        <f>PROPER(TBL_SALES3[CITY])</f>
        <v>Chennai</v>
      </c>
      <c r="O25" s="51" t="str">
        <f>CONCATENATE(TBL_SALES3[CITY]," ---&gt; ",TBL_SALES3[STATE])</f>
        <v>Chennai ---&gt; Tamil Nadu</v>
      </c>
      <c r="Q25" s="51" t="str">
        <f>TBL_SALES3[BRAND_NAME]&amp;" --&gt; "&amp;TBL_SALES3[PRODUCT_NAME]</f>
        <v>DELL --&gt; Inspiron 15</v>
      </c>
      <c r="S25" s="141" t="str">
        <f>CONCATENATE(TBL_SALES3[SALEID],"  ",TBL_SALES3[CITY],"  ",TEXT(TBL_SALES3[DATE],"dd-mm-yyyy"))</f>
        <v>S1024  Chennai  13-07-2024</v>
      </c>
      <c r="U25" s="51" t="s">
        <v>286</v>
      </c>
      <c r="V25" s="51" t="str">
        <f t="shared" ref="V25:V39" si="2">SUBSTITUTE(U25,"LAPTOP","NoteBook")</f>
        <v>NoteBook</v>
      </c>
    </row>
    <row r="26" spans="1:29" x14ac:dyDescent="0.25">
      <c r="A26" s="40" t="s">
        <v>66</v>
      </c>
      <c r="B26" s="40" t="s">
        <v>10</v>
      </c>
      <c r="C26" s="40" t="s">
        <v>11</v>
      </c>
      <c r="D26" s="40" t="s">
        <v>12</v>
      </c>
      <c r="E26" s="40">
        <v>4</v>
      </c>
      <c r="F26" s="40">
        <v>54984</v>
      </c>
      <c r="G26" s="40" t="s">
        <v>13</v>
      </c>
      <c r="H26" s="40" t="s">
        <v>14</v>
      </c>
      <c r="I26" s="42">
        <v>45659</v>
      </c>
      <c r="J26" s="41">
        <f>SUM(TBL_SALES3[[#This Row],[QUANTITY]]*TBL_SALES3[[#This Row],[PRICE_PER_UNIT]])</f>
        <v>219936</v>
      </c>
      <c r="K26" s="40">
        <f>SUMIF(TBL_SALES3[BRAND_NAME],TBL_SALES3[[#This Row],[BRAND_NAME]],TBL_SALES3[SALES_AMOUNT])</f>
        <v>3447703</v>
      </c>
      <c r="M26" s="51" t="str">
        <f>PROPER(TBL_SALES3[CITY])</f>
        <v>Trivandrum</v>
      </c>
      <c r="O26" s="51" t="str">
        <f>CONCATENATE(TBL_SALES3[CITY]," ---&gt; ",TBL_SALES3[STATE])</f>
        <v>Trivandrum ---&gt; Kerala</v>
      </c>
      <c r="Q26" s="51" t="str">
        <f>TBL_SALES3[BRAND_NAME]&amp;" --&gt; "&amp;TBL_SALES3[PRODUCT_NAME]</f>
        <v>ACER --&gt; Predator Helios</v>
      </c>
      <c r="S26" s="141" t="str">
        <f>CONCATENATE(TBL_SALES3[SALEID],"  ",TBL_SALES3[CITY],"  ",TEXT(TBL_SALES3[DATE],"dd-mm-yyyy"))</f>
        <v>S1025  Trivandrum  02-01-2025</v>
      </c>
      <c r="U26" s="51" t="s">
        <v>286</v>
      </c>
      <c r="V26" s="51" t="str">
        <f t="shared" si="2"/>
        <v>NoteBook</v>
      </c>
    </row>
    <row r="27" spans="1:29" x14ac:dyDescent="0.25">
      <c r="A27" s="40" t="s">
        <v>67</v>
      </c>
      <c r="B27" s="40" t="s">
        <v>10</v>
      </c>
      <c r="C27" s="40" t="s">
        <v>41</v>
      </c>
      <c r="D27" s="40" t="s">
        <v>62</v>
      </c>
      <c r="E27" s="40">
        <v>2</v>
      </c>
      <c r="F27" s="40">
        <v>77624</v>
      </c>
      <c r="G27" s="40" t="s">
        <v>33</v>
      </c>
      <c r="H27" s="40" t="s">
        <v>18</v>
      </c>
      <c r="I27" s="42">
        <v>45305</v>
      </c>
      <c r="J27" s="41">
        <f>SUM(TBL_SALES3[[#This Row],[QUANTITY]]*TBL_SALES3[[#This Row],[PRICE_PER_UNIT]])</f>
        <v>155248</v>
      </c>
      <c r="K27" s="40">
        <f>SUMIF(TBL_SALES3[BRAND_NAME],TBL_SALES3[[#This Row],[BRAND_NAME]],TBL_SALES3[SALES_AMOUNT])</f>
        <v>4627368</v>
      </c>
      <c r="M27" s="51" t="str">
        <f>PROPER(TBL_SALES3[CITY])</f>
        <v>Chennai</v>
      </c>
      <c r="O27" s="51" t="str">
        <f>CONCATENATE(TBL_SALES3[CITY]," ---&gt; ",TBL_SALES3[STATE])</f>
        <v>Chennai ---&gt; Tamil Nadu</v>
      </c>
      <c r="Q27" s="51" t="str">
        <f>TBL_SALES3[BRAND_NAME]&amp;" --&gt; "&amp;TBL_SALES3[PRODUCT_NAME]</f>
        <v>MSI --&gt; GF63 Thin</v>
      </c>
      <c r="S27" s="141" t="str">
        <f>CONCATENATE(TBL_SALES3[SALEID],"  ",TBL_SALES3[CITY],"  ",TEXT(TBL_SALES3[DATE],"dd-mm-yyyy"))</f>
        <v>S1026  Chennai  14-01-2024</v>
      </c>
      <c r="U27" s="51" t="s">
        <v>286</v>
      </c>
      <c r="V27" s="51" t="str">
        <f t="shared" si="2"/>
        <v>NoteBook</v>
      </c>
    </row>
    <row r="28" spans="1:29" x14ac:dyDescent="0.25">
      <c r="A28" s="40" t="s">
        <v>68</v>
      </c>
      <c r="B28" s="40" t="s">
        <v>10</v>
      </c>
      <c r="C28" s="40" t="s">
        <v>30</v>
      </c>
      <c r="D28" s="40" t="s">
        <v>38</v>
      </c>
      <c r="E28" s="40">
        <v>3</v>
      </c>
      <c r="F28" s="40">
        <v>67976</v>
      </c>
      <c r="G28" s="40" t="s">
        <v>27</v>
      </c>
      <c r="H28" s="40" t="s">
        <v>28</v>
      </c>
      <c r="I28" s="42">
        <v>45823</v>
      </c>
      <c r="J28" s="41">
        <f>SUM(TBL_SALES3[[#This Row],[QUANTITY]]*TBL_SALES3[[#This Row],[PRICE_PER_UNIT]])</f>
        <v>203928</v>
      </c>
      <c r="K28" s="40">
        <f>SUMIF(TBL_SALES3[BRAND_NAME],TBL_SALES3[[#This Row],[BRAND_NAME]],TBL_SALES3[SALES_AMOUNT])</f>
        <v>6392331</v>
      </c>
      <c r="M28" s="51" t="str">
        <f>PROPER(TBL_SALES3[CITY])</f>
        <v>Visakhapatnam</v>
      </c>
      <c r="O28" s="51" t="str">
        <f>CONCATENATE(TBL_SALES3[CITY]," ---&gt; ",TBL_SALES3[STATE])</f>
        <v>Visakhapatnam ---&gt; Andhra Pradesh</v>
      </c>
      <c r="Q28" s="51" t="str">
        <f>TBL_SALES3[BRAND_NAME]&amp;" --&gt; "&amp;TBL_SALES3[PRODUCT_NAME]</f>
        <v>ASUS --&gt; ROG Zephyrus</v>
      </c>
      <c r="S28" s="141" t="str">
        <f>CONCATENATE(TBL_SALES3[SALEID],"  ",TBL_SALES3[CITY],"  ",TEXT(TBL_SALES3[DATE],"dd-mm-yyyy"))</f>
        <v>S1027  Visakhapatnam  15-06-2025</v>
      </c>
      <c r="U28" s="51" t="s">
        <v>286</v>
      </c>
      <c r="V28" s="51" t="str">
        <f t="shared" si="2"/>
        <v>NoteBook</v>
      </c>
    </row>
    <row r="29" spans="1:29" x14ac:dyDescent="0.25">
      <c r="A29" s="40" t="s">
        <v>69</v>
      </c>
      <c r="B29" s="40" t="s">
        <v>10</v>
      </c>
      <c r="C29" s="40" t="s">
        <v>30</v>
      </c>
      <c r="D29" s="40" t="s">
        <v>31</v>
      </c>
      <c r="E29" s="40">
        <v>2</v>
      </c>
      <c r="F29" s="40">
        <v>108534</v>
      </c>
      <c r="G29" s="40" t="s">
        <v>55</v>
      </c>
      <c r="H29" s="40" t="s">
        <v>28</v>
      </c>
      <c r="I29" s="42">
        <v>45605</v>
      </c>
      <c r="J29" s="41">
        <f>SUM(TBL_SALES3[[#This Row],[QUANTITY]]*TBL_SALES3[[#This Row],[PRICE_PER_UNIT]])</f>
        <v>217068</v>
      </c>
      <c r="K29" s="40">
        <f>SUMIF(TBL_SALES3[BRAND_NAME],TBL_SALES3[[#This Row],[BRAND_NAME]],TBL_SALES3[SALES_AMOUNT])</f>
        <v>6392331</v>
      </c>
      <c r="M29" s="51" t="str">
        <f>PROPER(TBL_SALES3[CITY])</f>
        <v>Vijayawada</v>
      </c>
      <c r="O29" s="51" t="str">
        <f>CONCATENATE(TBL_SALES3[CITY]," ---&gt; ",TBL_SALES3[STATE])</f>
        <v>Vijayawada ---&gt; Andhra Pradesh</v>
      </c>
      <c r="Q29" s="51" t="str">
        <f>TBL_SALES3[BRAND_NAME]&amp;" --&gt; "&amp;TBL_SALES3[PRODUCT_NAME]</f>
        <v>ASUS --&gt; Vivobook 15</v>
      </c>
      <c r="S29" s="141" t="str">
        <f>CONCATENATE(TBL_SALES3[SALEID],"  ",TBL_SALES3[CITY],"  ",TEXT(TBL_SALES3[DATE],"dd-mm-yyyy"))</f>
        <v>S1028  Vijayawada  09-11-2024</v>
      </c>
      <c r="U29" s="51" t="s">
        <v>286</v>
      </c>
      <c r="V29" s="51" t="str">
        <f t="shared" si="2"/>
        <v>NoteBook</v>
      </c>
    </row>
    <row r="30" spans="1:29" x14ac:dyDescent="0.25">
      <c r="A30" s="40" t="s">
        <v>70</v>
      </c>
      <c r="B30" s="40" t="s">
        <v>10</v>
      </c>
      <c r="C30" s="40" t="s">
        <v>30</v>
      </c>
      <c r="D30" s="40" t="s">
        <v>38</v>
      </c>
      <c r="E30" s="40">
        <v>2</v>
      </c>
      <c r="F30" s="40">
        <v>82353</v>
      </c>
      <c r="G30" s="40" t="s">
        <v>59</v>
      </c>
      <c r="H30" s="40" t="s">
        <v>60</v>
      </c>
      <c r="I30" s="42">
        <v>45400</v>
      </c>
      <c r="J30" s="41">
        <f>SUM(TBL_SALES3[[#This Row],[QUANTITY]]*TBL_SALES3[[#This Row],[PRICE_PER_UNIT]])</f>
        <v>164706</v>
      </c>
      <c r="K30" s="40">
        <f>SUMIF(TBL_SALES3[BRAND_NAME],TBL_SALES3[[#This Row],[BRAND_NAME]],TBL_SALES3[SALES_AMOUNT])</f>
        <v>6392331</v>
      </c>
      <c r="M30" s="51" t="str">
        <f>PROPER(TBL_SALES3[CITY])</f>
        <v>Hyderabad</v>
      </c>
      <c r="O30" s="51" t="str">
        <f>CONCATENATE(TBL_SALES3[CITY]," ---&gt; ",TBL_SALES3[STATE])</f>
        <v>Hyderabad ---&gt; Telangana</v>
      </c>
      <c r="Q30" s="51" t="str">
        <f>TBL_SALES3[BRAND_NAME]&amp;" --&gt; "&amp;TBL_SALES3[PRODUCT_NAME]</f>
        <v>ASUS --&gt; ROG Zephyrus</v>
      </c>
      <c r="S30" s="141" t="str">
        <f>CONCATENATE(TBL_SALES3[SALEID],"  ",TBL_SALES3[CITY],"  ",TEXT(TBL_SALES3[DATE],"dd-mm-yyyy"))</f>
        <v>S1029  Hyderabad  18-04-2024</v>
      </c>
      <c r="U30" s="51" t="s">
        <v>286</v>
      </c>
      <c r="V30" s="51" t="str">
        <f t="shared" si="2"/>
        <v>NoteBook</v>
      </c>
    </row>
    <row r="31" spans="1:29" x14ac:dyDescent="0.25">
      <c r="A31" s="40" t="s">
        <v>71</v>
      </c>
      <c r="B31" s="40" t="s">
        <v>10</v>
      </c>
      <c r="C31" s="40" t="s">
        <v>47</v>
      </c>
      <c r="D31" s="40" t="s">
        <v>72</v>
      </c>
      <c r="E31" s="40">
        <v>2</v>
      </c>
      <c r="F31" s="40">
        <v>65285</v>
      </c>
      <c r="G31" s="40" t="s">
        <v>33</v>
      </c>
      <c r="H31" s="40" t="s">
        <v>18</v>
      </c>
      <c r="I31" s="42">
        <v>45372</v>
      </c>
      <c r="J31" s="41">
        <f>SUM(TBL_SALES3[[#This Row],[QUANTITY]]*TBL_SALES3[[#This Row],[PRICE_PER_UNIT]])</f>
        <v>130570</v>
      </c>
      <c r="K31" s="40">
        <f>SUMIF(TBL_SALES3[BRAND_NAME],TBL_SALES3[[#This Row],[BRAND_NAME]],TBL_SALES3[SALES_AMOUNT])</f>
        <v>2863185</v>
      </c>
      <c r="M31" s="51" t="str">
        <f>PROPER(TBL_SALES3[CITY])</f>
        <v>Chennai</v>
      </c>
      <c r="O31" s="51" t="str">
        <f>CONCATENATE(TBL_SALES3[CITY]," ---&gt; ",TBL_SALES3[STATE])</f>
        <v>Chennai ---&gt; Tamil Nadu</v>
      </c>
      <c r="Q31" s="51" t="str">
        <f>TBL_SALES3[BRAND_NAME]&amp;" --&gt; "&amp;TBL_SALES3[PRODUCT_NAME]</f>
        <v>LENOVO --&gt; ThinkPad E14</v>
      </c>
      <c r="S31" s="141" t="str">
        <f>CONCATENATE(TBL_SALES3[SALEID],"  ",TBL_SALES3[CITY],"  ",TEXT(TBL_SALES3[DATE],"dd-mm-yyyy"))</f>
        <v>S1030  Chennai  21-03-2024</v>
      </c>
      <c r="U31" s="51" t="s">
        <v>286</v>
      </c>
      <c r="V31" s="51" t="str">
        <f t="shared" si="2"/>
        <v>NoteBook</v>
      </c>
    </row>
    <row r="32" spans="1:29" x14ac:dyDescent="0.25">
      <c r="A32" s="40" t="s">
        <v>73</v>
      </c>
      <c r="B32" s="40" t="s">
        <v>10</v>
      </c>
      <c r="C32" s="40" t="s">
        <v>30</v>
      </c>
      <c r="D32" s="40" t="s">
        <v>38</v>
      </c>
      <c r="E32" s="40">
        <v>5</v>
      </c>
      <c r="F32" s="40">
        <v>104901</v>
      </c>
      <c r="G32" s="40" t="s">
        <v>55</v>
      </c>
      <c r="H32" s="40" t="s">
        <v>28</v>
      </c>
      <c r="I32" s="42">
        <v>45562</v>
      </c>
      <c r="J32" s="41">
        <f>SUM(TBL_SALES3[[#This Row],[QUANTITY]]*TBL_SALES3[[#This Row],[PRICE_PER_UNIT]])</f>
        <v>524505</v>
      </c>
      <c r="K32" s="40">
        <f>SUMIF(TBL_SALES3[BRAND_NAME],TBL_SALES3[[#This Row],[BRAND_NAME]],TBL_SALES3[SALES_AMOUNT])</f>
        <v>6392331</v>
      </c>
      <c r="M32" s="51" t="str">
        <f>PROPER(TBL_SALES3[CITY])</f>
        <v>Vijayawada</v>
      </c>
      <c r="O32" s="51" t="str">
        <f>CONCATENATE(TBL_SALES3[CITY]," ---&gt; ",TBL_SALES3[STATE])</f>
        <v>Vijayawada ---&gt; Andhra Pradesh</v>
      </c>
      <c r="Q32" s="51" t="str">
        <f>TBL_SALES3[BRAND_NAME]&amp;" --&gt; "&amp;TBL_SALES3[PRODUCT_NAME]</f>
        <v>ASUS --&gt; ROG Zephyrus</v>
      </c>
      <c r="S32" s="141" t="str">
        <f>CONCATENATE(TBL_SALES3[SALEID],"  ",TBL_SALES3[CITY],"  ",TEXT(TBL_SALES3[DATE],"dd-mm-yyyy"))</f>
        <v>S1031  Vijayawada  27-09-2024</v>
      </c>
      <c r="U32" s="51" t="s">
        <v>286</v>
      </c>
      <c r="V32" s="51" t="str">
        <f t="shared" si="2"/>
        <v>NoteBook</v>
      </c>
    </row>
    <row r="33" spans="1:23" x14ac:dyDescent="0.25">
      <c r="A33" s="40" t="s">
        <v>74</v>
      </c>
      <c r="B33" s="40" t="s">
        <v>10</v>
      </c>
      <c r="C33" s="40" t="s">
        <v>30</v>
      </c>
      <c r="D33" s="40" t="s">
        <v>31</v>
      </c>
      <c r="E33" s="40">
        <v>3</v>
      </c>
      <c r="F33" s="40">
        <v>83539</v>
      </c>
      <c r="G33" s="40" t="s">
        <v>39</v>
      </c>
      <c r="H33" s="40" t="s">
        <v>18</v>
      </c>
      <c r="I33" s="42">
        <v>45954</v>
      </c>
      <c r="J33" s="41">
        <f>SUM(TBL_SALES3[[#This Row],[QUANTITY]]*TBL_SALES3[[#This Row],[PRICE_PER_UNIT]])</f>
        <v>250617</v>
      </c>
      <c r="K33" s="40">
        <f>SUMIF(TBL_SALES3[BRAND_NAME],TBL_SALES3[[#This Row],[BRAND_NAME]],TBL_SALES3[SALES_AMOUNT])</f>
        <v>6392331</v>
      </c>
      <c r="M33" s="51" t="str">
        <f>PROPER(TBL_SALES3[CITY])</f>
        <v>Coimbatore</v>
      </c>
      <c r="O33" s="51" t="str">
        <f>CONCATENATE(TBL_SALES3[CITY]," ---&gt; ",TBL_SALES3[STATE])</f>
        <v>Coimbatore ---&gt; Tamil Nadu</v>
      </c>
      <c r="Q33" s="51" t="str">
        <f>TBL_SALES3[BRAND_NAME]&amp;" --&gt; "&amp;TBL_SALES3[PRODUCT_NAME]</f>
        <v>ASUS --&gt; Vivobook 15</v>
      </c>
      <c r="S33" s="141" t="str">
        <f>CONCATENATE(TBL_SALES3[SALEID],"  ",TBL_SALES3[CITY],"  ",TEXT(TBL_SALES3[DATE],"dd-mm-yyyy"))</f>
        <v>S1032  Coimbatore  24-10-2025</v>
      </c>
      <c r="U33" s="51" t="s">
        <v>286</v>
      </c>
      <c r="V33" s="51" t="str">
        <f t="shared" si="2"/>
        <v>NoteBook</v>
      </c>
    </row>
    <row r="34" spans="1:23" x14ac:dyDescent="0.25">
      <c r="A34" s="40" t="s">
        <v>75</v>
      </c>
      <c r="B34" s="40" t="s">
        <v>10</v>
      </c>
      <c r="C34" s="40" t="s">
        <v>20</v>
      </c>
      <c r="D34" s="40" t="s">
        <v>26</v>
      </c>
      <c r="E34" s="40">
        <v>2</v>
      </c>
      <c r="F34" s="40">
        <v>102302</v>
      </c>
      <c r="G34" s="40" t="s">
        <v>33</v>
      </c>
      <c r="H34" s="40" t="s">
        <v>18</v>
      </c>
      <c r="I34" s="42">
        <v>45522</v>
      </c>
      <c r="J34" s="41">
        <f>SUM(TBL_SALES3[[#This Row],[QUANTITY]]*TBL_SALES3[[#This Row],[PRICE_PER_UNIT]])</f>
        <v>204604</v>
      </c>
      <c r="K34" s="40">
        <f>SUMIF(TBL_SALES3[BRAND_NAME],TBL_SALES3[[#This Row],[BRAND_NAME]],TBL_SALES3[SALES_AMOUNT])</f>
        <v>5071935</v>
      </c>
      <c r="M34" s="51" t="str">
        <f>PROPER(TBL_SALES3[CITY])</f>
        <v>Chennai</v>
      </c>
      <c r="O34" s="51" t="str">
        <f>CONCATENATE(TBL_SALES3[CITY]," ---&gt; ",TBL_SALES3[STATE])</f>
        <v>Chennai ---&gt; Tamil Nadu</v>
      </c>
      <c r="Q34" s="51" t="str">
        <f>TBL_SALES3[BRAND_NAME]&amp;" --&gt; "&amp;TBL_SALES3[PRODUCT_NAME]</f>
        <v>HP --&gt; Pavilion 14</v>
      </c>
      <c r="S34" s="141" t="str">
        <f>CONCATENATE(TBL_SALES3[SALEID],"  ",TBL_SALES3[CITY],"  ",TEXT(TBL_SALES3[DATE],"dd-mm-yyyy"))</f>
        <v>S1033  Chennai  18-08-2024</v>
      </c>
      <c r="U34" s="51" t="s">
        <v>286</v>
      </c>
      <c r="V34" s="51" t="str">
        <f t="shared" si="2"/>
        <v>NoteBook</v>
      </c>
    </row>
    <row r="35" spans="1:23" x14ac:dyDescent="0.25">
      <c r="A35" s="40" t="s">
        <v>76</v>
      </c>
      <c r="B35" s="40" t="s">
        <v>10</v>
      </c>
      <c r="C35" s="40" t="s">
        <v>41</v>
      </c>
      <c r="D35" s="40" t="s">
        <v>62</v>
      </c>
      <c r="E35" s="40">
        <v>3</v>
      </c>
      <c r="F35" s="40">
        <v>45613</v>
      </c>
      <c r="G35" s="40" t="s">
        <v>33</v>
      </c>
      <c r="H35" s="40" t="s">
        <v>18</v>
      </c>
      <c r="I35" s="42">
        <v>45403</v>
      </c>
      <c r="J35" s="41">
        <f>SUM(TBL_SALES3[[#This Row],[QUANTITY]]*TBL_SALES3[[#This Row],[PRICE_PER_UNIT]])</f>
        <v>136839</v>
      </c>
      <c r="K35" s="40">
        <f>SUMIF(TBL_SALES3[BRAND_NAME],TBL_SALES3[[#This Row],[BRAND_NAME]],TBL_SALES3[SALES_AMOUNT])</f>
        <v>4627368</v>
      </c>
      <c r="M35" s="51" t="str">
        <f>PROPER(TBL_SALES3[CITY])</f>
        <v>Chennai</v>
      </c>
      <c r="O35" s="51" t="str">
        <f>CONCATENATE(TBL_SALES3[CITY]," ---&gt; ",TBL_SALES3[STATE])</f>
        <v>Chennai ---&gt; Tamil Nadu</v>
      </c>
      <c r="Q35" s="51" t="str">
        <f>TBL_SALES3[BRAND_NAME]&amp;" --&gt; "&amp;TBL_SALES3[PRODUCT_NAME]</f>
        <v>MSI --&gt; GF63 Thin</v>
      </c>
      <c r="S35" s="141" t="str">
        <f>CONCATENATE(TBL_SALES3[SALEID],"  ",TBL_SALES3[CITY],"  ",TEXT(TBL_SALES3[DATE],"dd-mm-yyyy"))</f>
        <v>S1034  Chennai  21-04-2024</v>
      </c>
      <c r="U35" s="51" t="s">
        <v>286</v>
      </c>
      <c r="V35" s="51" t="str">
        <f t="shared" si="2"/>
        <v>NoteBook</v>
      </c>
    </row>
    <row r="36" spans="1:23" x14ac:dyDescent="0.25">
      <c r="A36" s="40" t="s">
        <v>77</v>
      </c>
      <c r="B36" s="40" t="s">
        <v>10</v>
      </c>
      <c r="C36" s="40" t="s">
        <v>47</v>
      </c>
      <c r="D36" s="40" t="s">
        <v>72</v>
      </c>
      <c r="E36" s="40">
        <v>2</v>
      </c>
      <c r="F36" s="40">
        <v>68107</v>
      </c>
      <c r="G36" s="40" t="s">
        <v>59</v>
      </c>
      <c r="H36" s="40" t="s">
        <v>60</v>
      </c>
      <c r="I36" s="42">
        <v>45686</v>
      </c>
      <c r="J36" s="41">
        <f>SUM(TBL_SALES3[[#This Row],[QUANTITY]]*TBL_SALES3[[#This Row],[PRICE_PER_UNIT]])</f>
        <v>136214</v>
      </c>
      <c r="K36" s="40">
        <f>SUMIF(TBL_SALES3[BRAND_NAME],TBL_SALES3[[#This Row],[BRAND_NAME]],TBL_SALES3[SALES_AMOUNT])</f>
        <v>2863185</v>
      </c>
      <c r="M36" s="51" t="str">
        <f>PROPER(TBL_SALES3[CITY])</f>
        <v>Hyderabad</v>
      </c>
      <c r="O36" s="51" t="str">
        <f>CONCATENATE(TBL_SALES3[CITY]," ---&gt; ",TBL_SALES3[STATE])</f>
        <v>Hyderabad ---&gt; Telangana</v>
      </c>
      <c r="Q36" s="51" t="str">
        <f>TBL_SALES3[BRAND_NAME]&amp;" --&gt; "&amp;TBL_SALES3[PRODUCT_NAME]</f>
        <v>LENOVO --&gt; ThinkPad E14</v>
      </c>
      <c r="S36" s="141" t="str">
        <f>CONCATENATE(TBL_SALES3[SALEID],"  ",TBL_SALES3[CITY],"  ",TEXT(TBL_SALES3[DATE],"dd-mm-yyyy"))</f>
        <v>S1035  Hyderabad  29-01-2025</v>
      </c>
      <c r="U36" s="51" t="s">
        <v>286</v>
      </c>
      <c r="V36" s="51" t="str">
        <f t="shared" si="2"/>
        <v>NoteBook</v>
      </c>
    </row>
    <row r="37" spans="1:23" x14ac:dyDescent="0.25">
      <c r="A37" s="40" t="s">
        <v>78</v>
      </c>
      <c r="B37" s="40" t="s">
        <v>10</v>
      </c>
      <c r="C37" s="40" t="s">
        <v>20</v>
      </c>
      <c r="D37" s="40" t="s">
        <v>26</v>
      </c>
      <c r="E37" s="40">
        <v>1</v>
      </c>
      <c r="F37" s="40">
        <v>81879</v>
      </c>
      <c r="G37" s="40" t="s">
        <v>55</v>
      </c>
      <c r="H37" s="40" t="s">
        <v>28</v>
      </c>
      <c r="I37" s="42">
        <v>45486</v>
      </c>
      <c r="J37" s="41">
        <f>SUM(TBL_SALES3[[#This Row],[QUANTITY]]*TBL_SALES3[[#This Row],[PRICE_PER_UNIT]])</f>
        <v>81879</v>
      </c>
      <c r="K37" s="40">
        <f>SUMIF(TBL_SALES3[BRAND_NAME],TBL_SALES3[[#This Row],[BRAND_NAME]],TBL_SALES3[SALES_AMOUNT])</f>
        <v>5071935</v>
      </c>
      <c r="M37" s="51" t="str">
        <f>PROPER(TBL_SALES3[CITY])</f>
        <v>Vijayawada</v>
      </c>
      <c r="O37" s="51" t="str">
        <f>CONCATENATE(TBL_SALES3[CITY]," ---&gt; ",TBL_SALES3[STATE])</f>
        <v>Vijayawada ---&gt; Andhra Pradesh</v>
      </c>
      <c r="Q37" s="51" t="str">
        <f>TBL_SALES3[BRAND_NAME]&amp;" --&gt; "&amp;TBL_SALES3[PRODUCT_NAME]</f>
        <v>HP --&gt; Pavilion 14</v>
      </c>
      <c r="S37" s="141" t="str">
        <f>CONCATENATE(TBL_SALES3[SALEID],"  ",TBL_SALES3[CITY],"  ",TEXT(TBL_SALES3[DATE],"dd-mm-yyyy"))</f>
        <v>S1036  Vijayawada  13-07-2024</v>
      </c>
      <c r="U37" s="51" t="s">
        <v>286</v>
      </c>
      <c r="V37" s="51" t="str">
        <f t="shared" si="2"/>
        <v>NoteBook</v>
      </c>
    </row>
    <row r="38" spans="1:23" x14ac:dyDescent="0.25">
      <c r="A38" s="40" t="s">
        <v>79</v>
      </c>
      <c r="B38" s="40" t="s">
        <v>10</v>
      </c>
      <c r="C38" s="40" t="s">
        <v>30</v>
      </c>
      <c r="D38" s="40" t="s">
        <v>31</v>
      </c>
      <c r="E38" s="40">
        <v>5</v>
      </c>
      <c r="F38" s="40">
        <v>95837</v>
      </c>
      <c r="G38" s="40" t="s">
        <v>27</v>
      </c>
      <c r="H38" s="40" t="s">
        <v>28</v>
      </c>
      <c r="I38" s="42">
        <v>45732</v>
      </c>
      <c r="J38" s="41">
        <f>SUM(TBL_SALES3[[#This Row],[QUANTITY]]*TBL_SALES3[[#This Row],[PRICE_PER_UNIT]])</f>
        <v>479185</v>
      </c>
      <c r="K38" s="40">
        <f>SUMIF(TBL_SALES3[BRAND_NAME],TBL_SALES3[[#This Row],[BRAND_NAME]],TBL_SALES3[SALES_AMOUNT])</f>
        <v>6392331</v>
      </c>
      <c r="M38" s="51" t="str">
        <f>PROPER(TBL_SALES3[CITY])</f>
        <v>Visakhapatnam</v>
      </c>
      <c r="O38" s="51" t="str">
        <f>CONCATENATE(TBL_SALES3[CITY]," ---&gt; ",TBL_SALES3[STATE])</f>
        <v>Visakhapatnam ---&gt; Andhra Pradesh</v>
      </c>
      <c r="Q38" s="51" t="str">
        <f>TBL_SALES3[BRAND_NAME]&amp;" --&gt; "&amp;TBL_SALES3[PRODUCT_NAME]</f>
        <v>ASUS --&gt; Vivobook 15</v>
      </c>
      <c r="S38" s="141" t="str">
        <f>CONCATENATE(TBL_SALES3[SALEID],"  ",TBL_SALES3[CITY],"  ",TEXT(TBL_SALES3[DATE],"dd-mm-yyyy"))</f>
        <v>S1037  Visakhapatnam  16-03-2025</v>
      </c>
      <c r="U38" s="51" t="s">
        <v>286</v>
      </c>
      <c r="V38" s="51" t="str">
        <f t="shared" si="2"/>
        <v>NoteBook</v>
      </c>
    </row>
    <row r="39" spans="1:23" x14ac:dyDescent="0.25">
      <c r="A39" s="40" t="s">
        <v>80</v>
      </c>
      <c r="B39" s="40" t="s">
        <v>10</v>
      </c>
      <c r="C39" s="40" t="s">
        <v>11</v>
      </c>
      <c r="D39" s="40" t="s">
        <v>12</v>
      </c>
      <c r="E39" s="40">
        <v>3</v>
      </c>
      <c r="F39" s="40">
        <v>48970</v>
      </c>
      <c r="G39" s="40" t="s">
        <v>27</v>
      </c>
      <c r="H39" s="40" t="s">
        <v>28</v>
      </c>
      <c r="I39" s="42">
        <v>45554</v>
      </c>
      <c r="J39" s="41">
        <f>SUM(TBL_SALES3[[#This Row],[QUANTITY]]*TBL_SALES3[[#This Row],[PRICE_PER_UNIT]])</f>
        <v>146910</v>
      </c>
      <c r="K39" s="40">
        <f>SUMIF(TBL_SALES3[BRAND_NAME],TBL_SALES3[[#This Row],[BRAND_NAME]],TBL_SALES3[SALES_AMOUNT])</f>
        <v>3447703</v>
      </c>
      <c r="M39" s="51" t="str">
        <f>PROPER(TBL_SALES3[CITY])</f>
        <v>Visakhapatnam</v>
      </c>
      <c r="O39" s="51" t="str">
        <f>CONCATENATE(TBL_SALES3[CITY]," ---&gt; ",TBL_SALES3[STATE])</f>
        <v>Visakhapatnam ---&gt; Andhra Pradesh</v>
      </c>
      <c r="Q39" s="51" t="str">
        <f>TBL_SALES3[BRAND_NAME]&amp;" --&gt; "&amp;TBL_SALES3[PRODUCT_NAME]</f>
        <v>ACER --&gt; Predator Helios</v>
      </c>
      <c r="S39" s="141" t="str">
        <f>CONCATENATE(TBL_SALES3[SALEID],"  ",TBL_SALES3[CITY],"  ",TEXT(TBL_SALES3[DATE],"dd-mm-yyyy"))</f>
        <v>S1038  Visakhapatnam  19-09-2024</v>
      </c>
      <c r="U39" s="51" t="s">
        <v>286</v>
      </c>
      <c r="V39" s="51" t="str">
        <f t="shared" si="2"/>
        <v>NoteBook</v>
      </c>
    </row>
    <row r="40" spans="1:23" x14ac:dyDescent="0.25">
      <c r="A40" s="40" t="s">
        <v>81</v>
      </c>
      <c r="B40" s="40" t="s">
        <v>10</v>
      </c>
      <c r="C40" s="40" t="s">
        <v>11</v>
      </c>
      <c r="D40" s="40" t="s">
        <v>12</v>
      </c>
      <c r="E40" s="40">
        <v>3</v>
      </c>
      <c r="F40" s="40">
        <v>99447</v>
      </c>
      <c r="G40" s="40" t="s">
        <v>35</v>
      </c>
      <c r="H40" s="40" t="s">
        <v>36</v>
      </c>
      <c r="I40" s="42">
        <v>45784</v>
      </c>
      <c r="J40" s="41">
        <f>SUM(TBL_SALES3[[#This Row],[QUANTITY]]*TBL_SALES3[[#This Row],[PRICE_PER_UNIT]])</f>
        <v>298341</v>
      </c>
      <c r="K40" s="40">
        <f>SUMIF(TBL_SALES3[BRAND_NAME],TBL_SALES3[[#This Row],[BRAND_NAME]],TBL_SALES3[SALES_AMOUNT])</f>
        <v>3447703</v>
      </c>
    </row>
    <row r="41" spans="1:23" x14ac:dyDescent="0.25">
      <c r="A41" s="40" t="s">
        <v>82</v>
      </c>
      <c r="B41" s="40" t="s">
        <v>10</v>
      </c>
      <c r="C41" s="40" t="s">
        <v>47</v>
      </c>
      <c r="D41" s="40" t="s">
        <v>72</v>
      </c>
      <c r="E41" s="40">
        <v>5</v>
      </c>
      <c r="F41" s="40">
        <v>87400</v>
      </c>
      <c r="G41" s="40" t="s">
        <v>17</v>
      </c>
      <c r="H41" s="40" t="s">
        <v>18</v>
      </c>
      <c r="I41" s="42">
        <v>45541</v>
      </c>
      <c r="J41" s="41">
        <f>SUM(TBL_SALES3[[#This Row],[QUANTITY]]*TBL_SALES3[[#This Row],[PRICE_PER_UNIT]])</f>
        <v>437000</v>
      </c>
      <c r="K41" s="40">
        <f>SUMIF(TBL_SALES3[BRAND_NAME],TBL_SALES3[[#This Row],[BRAND_NAME]],TBL_SALES3[SALES_AMOUNT])</f>
        <v>2863185</v>
      </c>
    </row>
    <row r="42" spans="1:23" ht="15.75" thickBot="1" x14ac:dyDescent="0.3">
      <c r="A42" s="40" t="s">
        <v>83</v>
      </c>
      <c r="B42" s="40" t="s">
        <v>10</v>
      </c>
      <c r="C42" s="40" t="s">
        <v>41</v>
      </c>
      <c r="D42" s="40" t="s">
        <v>62</v>
      </c>
      <c r="E42" s="40">
        <v>1</v>
      </c>
      <c r="F42" s="40">
        <v>94011</v>
      </c>
      <c r="G42" s="40" t="s">
        <v>39</v>
      </c>
      <c r="H42" s="40" t="s">
        <v>18</v>
      </c>
      <c r="I42" s="42">
        <v>45547</v>
      </c>
      <c r="J42" s="41">
        <f>SUM(TBL_SALES3[[#This Row],[QUANTITY]]*TBL_SALES3[[#This Row],[PRICE_PER_UNIT]])</f>
        <v>94011</v>
      </c>
      <c r="K42" s="40">
        <f>SUMIF(TBL_SALES3[BRAND_NAME],TBL_SALES3[[#This Row],[BRAND_NAME]],TBL_SALES3[SALES_AMOUNT])</f>
        <v>4627368</v>
      </c>
    </row>
    <row r="43" spans="1:23" ht="15.75" thickBot="1" x14ac:dyDescent="0.3">
      <c r="A43" s="40" t="s">
        <v>84</v>
      </c>
      <c r="B43" s="40" t="s">
        <v>10</v>
      </c>
      <c r="C43" s="40" t="s">
        <v>23</v>
      </c>
      <c r="D43" s="40" t="s">
        <v>58</v>
      </c>
      <c r="E43" s="40">
        <v>5</v>
      </c>
      <c r="F43" s="40">
        <v>71406</v>
      </c>
      <c r="G43" s="40" t="s">
        <v>55</v>
      </c>
      <c r="H43" s="40" t="s">
        <v>28</v>
      </c>
      <c r="I43" s="42">
        <v>45407</v>
      </c>
      <c r="J43" s="41">
        <f>SUM(TBL_SALES3[[#This Row],[QUANTITY]]*TBL_SALES3[[#This Row],[PRICE_PER_UNIT]])</f>
        <v>357030</v>
      </c>
      <c r="K43" s="40">
        <f>SUMIF(TBL_SALES3[BRAND_NAME],TBL_SALES3[[#This Row],[BRAND_NAME]],TBL_SALES3[SALES_AMOUNT])</f>
        <v>2939163</v>
      </c>
      <c r="M43" s="56" t="s">
        <v>287</v>
      </c>
      <c r="N43" s="62"/>
      <c r="O43" s="59" t="s">
        <v>288</v>
      </c>
      <c r="Q43" s="65" t="s">
        <v>289</v>
      </c>
      <c r="R43" s="62"/>
      <c r="S43" s="59" t="s">
        <v>290</v>
      </c>
      <c r="U43" s="69" t="s">
        <v>291</v>
      </c>
      <c r="V43" s="70" t="s">
        <v>292</v>
      </c>
      <c r="W43" s="71" t="s">
        <v>293</v>
      </c>
    </row>
    <row r="44" spans="1:23" ht="15.75" thickBot="1" x14ac:dyDescent="0.3">
      <c r="A44" s="40" t="s">
        <v>85</v>
      </c>
      <c r="B44" s="40" t="s">
        <v>10</v>
      </c>
      <c r="C44" s="40" t="s">
        <v>20</v>
      </c>
      <c r="D44" s="40" t="s">
        <v>21</v>
      </c>
      <c r="E44" s="40">
        <v>1</v>
      </c>
      <c r="F44" s="40">
        <v>72235</v>
      </c>
      <c r="G44" s="40" t="s">
        <v>35</v>
      </c>
      <c r="H44" s="40" t="s">
        <v>36</v>
      </c>
      <c r="I44" s="42">
        <v>45293</v>
      </c>
      <c r="J44" s="41">
        <f>SUM(TBL_SALES3[[#This Row],[QUANTITY]]*TBL_SALES3[[#This Row],[PRICE_PER_UNIT]])</f>
        <v>72235</v>
      </c>
      <c r="K44" s="40">
        <f>SUMIF(TBL_SALES3[BRAND_NAME],TBL_SALES3[[#This Row],[BRAND_NAME]],TBL_SALES3[SALES_AMOUNT])</f>
        <v>5071935</v>
      </c>
      <c r="M44" s="57" t="s">
        <v>16</v>
      </c>
      <c r="N44" s="63"/>
      <c r="O44" s="60" t="str">
        <f>SUBSTITUTE(M44," ","_")</f>
        <v>Aspire_5</v>
      </c>
      <c r="Q44" s="66" t="s">
        <v>14</v>
      </c>
      <c r="R44" s="63"/>
      <c r="S44" s="60" t="str">
        <f>LEFT(Q44,2)</f>
        <v>Ke</v>
      </c>
      <c r="U44" s="67" t="s">
        <v>294</v>
      </c>
      <c r="V44" s="60" t="str">
        <f t="shared" ref="V44:V70" si="3">A2</f>
        <v>S1001</v>
      </c>
      <c r="W44" s="66" t="str">
        <f>CONCATENATE(LEFT(U44,2),RIGHT(V44,3))</f>
        <v>As001</v>
      </c>
    </row>
    <row r="45" spans="1:23" ht="15.75" thickBot="1" x14ac:dyDescent="0.3">
      <c r="A45" s="40" t="s">
        <v>86</v>
      </c>
      <c r="B45" s="40" t="s">
        <v>10</v>
      </c>
      <c r="C45" s="40" t="s">
        <v>11</v>
      </c>
      <c r="D45" s="40" t="s">
        <v>12</v>
      </c>
      <c r="E45" s="40">
        <v>3</v>
      </c>
      <c r="F45" s="40">
        <v>49573</v>
      </c>
      <c r="G45" s="40" t="s">
        <v>35</v>
      </c>
      <c r="H45" s="40" t="s">
        <v>36</v>
      </c>
      <c r="I45" s="42">
        <v>45326</v>
      </c>
      <c r="J45" s="41">
        <f>SUM(TBL_SALES3[[#This Row],[QUANTITY]]*TBL_SALES3[[#This Row],[PRICE_PER_UNIT]])</f>
        <v>148719</v>
      </c>
      <c r="K45" s="40">
        <f>SUMIF(TBL_SALES3[BRAND_NAME],TBL_SALES3[[#This Row],[BRAND_NAME]],TBL_SALES3[SALES_AMOUNT])</f>
        <v>3447703</v>
      </c>
      <c r="M45" s="57" t="s">
        <v>21</v>
      </c>
      <c r="N45" s="63"/>
      <c r="O45" s="60" t="str">
        <f t="shared" ref="O45:O70" si="4">SUBSTITUTE(M45," ","_")</f>
        <v>Omen_16</v>
      </c>
      <c r="Q45" s="67" t="s">
        <v>18</v>
      </c>
      <c r="R45" s="63"/>
      <c r="S45" s="60" t="str">
        <f t="shared" ref="S45:S70" si="5">LEFT(Q45,2)</f>
        <v>Ta</v>
      </c>
      <c r="U45" s="67" t="s">
        <v>295</v>
      </c>
      <c r="V45" s="60" t="str">
        <f t="shared" si="3"/>
        <v>S1002</v>
      </c>
      <c r="W45" s="66" t="str">
        <f t="shared" ref="W45:W70" si="6">CONCATENATE(LEFT(U45,2),RIGHT(V45,3))</f>
        <v>Om002</v>
      </c>
    </row>
    <row r="46" spans="1:23" ht="15.75" thickBot="1" x14ac:dyDescent="0.3">
      <c r="A46" s="40" t="s">
        <v>87</v>
      </c>
      <c r="B46" s="40" t="s">
        <v>10</v>
      </c>
      <c r="C46" s="40" t="s">
        <v>20</v>
      </c>
      <c r="D46" s="40" t="s">
        <v>26</v>
      </c>
      <c r="E46" s="40">
        <v>5</v>
      </c>
      <c r="F46" s="40">
        <v>55340</v>
      </c>
      <c r="G46" s="40" t="s">
        <v>17</v>
      </c>
      <c r="H46" s="40" t="s">
        <v>18</v>
      </c>
      <c r="I46" s="42">
        <v>45266</v>
      </c>
      <c r="J46" s="41">
        <f>SUM(TBL_SALES3[[#This Row],[QUANTITY]]*TBL_SALES3[[#This Row],[PRICE_PER_UNIT]])</f>
        <v>276700</v>
      </c>
      <c r="K46" s="40">
        <f>SUMIF(TBL_SALES3[BRAND_NAME],TBL_SALES3[[#This Row],[BRAND_NAME]],TBL_SALES3[SALES_AMOUNT])</f>
        <v>5071935</v>
      </c>
      <c r="M46" s="57" t="s">
        <v>24</v>
      </c>
      <c r="N46" s="63"/>
      <c r="O46" s="60" t="str">
        <f t="shared" si="4"/>
        <v>Inspiron_15</v>
      </c>
      <c r="Q46" s="67" t="s">
        <v>18</v>
      </c>
      <c r="R46" s="63"/>
      <c r="S46" s="60" t="str">
        <f t="shared" si="5"/>
        <v>Ta</v>
      </c>
      <c r="U46" s="67" t="s">
        <v>296</v>
      </c>
      <c r="V46" s="60" t="str">
        <f t="shared" si="3"/>
        <v>S1003</v>
      </c>
      <c r="W46" s="66" t="str">
        <f>CONCATENATE(LEFT(U46,2),RIGHT(V46,3))</f>
        <v>In003</v>
      </c>
    </row>
    <row r="47" spans="1:23" ht="15.75" thickBot="1" x14ac:dyDescent="0.3">
      <c r="A47" s="40" t="s">
        <v>88</v>
      </c>
      <c r="B47" s="40" t="s">
        <v>10</v>
      </c>
      <c r="C47" s="40" t="s">
        <v>30</v>
      </c>
      <c r="D47" s="40" t="s">
        <v>31</v>
      </c>
      <c r="E47" s="40">
        <v>5</v>
      </c>
      <c r="F47" s="40">
        <v>71100</v>
      </c>
      <c r="G47" s="40" t="s">
        <v>27</v>
      </c>
      <c r="H47" s="40" t="s">
        <v>28</v>
      </c>
      <c r="I47" s="42">
        <v>45705</v>
      </c>
      <c r="J47" s="41">
        <f>SUM(TBL_SALES3[[#This Row],[QUANTITY]]*TBL_SALES3[[#This Row],[PRICE_PER_UNIT]])</f>
        <v>355500</v>
      </c>
      <c r="K47" s="40">
        <f>SUMIF(TBL_SALES3[BRAND_NAME],TBL_SALES3[[#This Row],[BRAND_NAME]],TBL_SALES3[SALES_AMOUNT])</f>
        <v>6392331</v>
      </c>
      <c r="M47" s="57" t="s">
        <v>26</v>
      </c>
      <c r="N47" s="63"/>
      <c r="O47" s="60" t="str">
        <f t="shared" si="4"/>
        <v>Pavilion_14</v>
      </c>
      <c r="Q47" s="67" t="s">
        <v>14</v>
      </c>
      <c r="R47" s="63"/>
      <c r="S47" s="60" t="str">
        <f t="shared" si="5"/>
        <v>Ke</v>
      </c>
      <c r="U47" s="67" t="s">
        <v>297</v>
      </c>
      <c r="V47" s="60" t="str">
        <f t="shared" si="3"/>
        <v>S1004</v>
      </c>
      <c r="W47" s="66" t="str">
        <f t="shared" si="6"/>
        <v>Pa004</v>
      </c>
    </row>
    <row r="48" spans="1:23" ht="15.75" thickBot="1" x14ac:dyDescent="0.3">
      <c r="A48" s="40" t="s">
        <v>89</v>
      </c>
      <c r="B48" s="40" t="s">
        <v>10</v>
      </c>
      <c r="C48" s="40" t="s">
        <v>11</v>
      </c>
      <c r="D48" s="40" t="s">
        <v>16</v>
      </c>
      <c r="E48" s="40">
        <v>2</v>
      </c>
      <c r="F48" s="40">
        <v>79084</v>
      </c>
      <c r="G48" s="40" t="s">
        <v>55</v>
      </c>
      <c r="H48" s="40" t="s">
        <v>28</v>
      </c>
      <c r="I48" s="42">
        <v>45588</v>
      </c>
      <c r="J48" s="41">
        <f>SUM(TBL_SALES3[[#This Row],[QUANTITY]]*TBL_SALES3[[#This Row],[PRICE_PER_UNIT]])</f>
        <v>158168</v>
      </c>
      <c r="K48" s="40">
        <f>SUMIF(TBL_SALES3[BRAND_NAME],TBL_SALES3[[#This Row],[BRAND_NAME]],TBL_SALES3[SALES_AMOUNT])</f>
        <v>3447703</v>
      </c>
      <c r="M48" s="57" t="s">
        <v>31</v>
      </c>
      <c r="N48" s="63"/>
      <c r="O48" s="60" t="str">
        <f t="shared" si="4"/>
        <v>Vivobook_15</v>
      </c>
      <c r="Q48" s="67" t="s">
        <v>28</v>
      </c>
      <c r="R48" s="63"/>
      <c r="S48" s="60" t="str">
        <f t="shared" si="5"/>
        <v>An</v>
      </c>
      <c r="U48" s="67" t="s">
        <v>298</v>
      </c>
      <c r="V48" s="60" t="str">
        <f t="shared" si="3"/>
        <v>S1005</v>
      </c>
      <c r="W48" s="66" t="str">
        <f t="shared" si="6"/>
        <v>Vi005</v>
      </c>
    </row>
    <row r="49" spans="1:23" ht="15.75" thickBot="1" x14ac:dyDescent="0.3">
      <c r="A49" s="40" t="s">
        <v>90</v>
      </c>
      <c r="B49" s="40" t="s">
        <v>10</v>
      </c>
      <c r="C49" s="40" t="s">
        <v>30</v>
      </c>
      <c r="D49" s="40" t="s">
        <v>38</v>
      </c>
      <c r="E49" s="40">
        <v>2</v>
      </c>
      <c r="F49" s="40">
        <v>105836</v>
      </c>
      <c r="G49" s="40" t="s">
        <v>27</v>
      </c>
      <c r="H49" s="40" t="s">
        <v>28</v>
      </c>
      <c r="I49" s="42">
        <v>45686</v>
      </c>
      <c r="J49" s="41">
        <f>SUM(TBL_SALES3[[#This Row],[QUANTITY]]*TBL_SALES3[[#This Row],[PRICE_PER_UNIT]])</f>
        <v>211672</v>
      </c>
      <c r="K49" s="40">
        <f>SUMIF(TBL_SALES3[BRAND_NAME],TBL_SALES3[[#This Row],[BRAND_NAME]],TBL_SALES3[SALES_AMOUNT])</f>
        <v>6392331</v>
      </c>
      <c r="M49" s="57" t="s">
        <v>26</v>
      </c>
      <c r="N49" s="63"/>
      <c r="O49" s="60" t="str">
        <f t="shared" si="4"/>
        <v>Pavilion_14</v>
      </c>
      <c r="Q49" s="67" t="s">
        <v>18</v>
      </c>
      <c r="R49" s="63"/>
      <c r="S49" s="60" t="str">
        <f t="shared" si="5"/>
        <v>Ta</v>
      </c>
      <c r="U49" s="67" t="s">
        <v>297</v>
      </c>
      <c r="V49" s="60" t="str">
        <f t="shared" si="3"/>
        <v>S1006</v>
      </c>
      <c r="W49" s="66" t="str">
        <f t="shared" si="6"/>
        <v>Pa006</v>
      </c>
    </row>
    <row r="50" spans="1:23" ht="15.75" thickBot="1" x14ac:dyDescent="0.3">
      <c r="A50" s="40" t="s">
        <v>91</v>
      </c>
      <c r="B50" s="40" t="s">
        <v>10</v>
      </c>
      <c r="C50" s="40" t="s">
        <v>20</v>
      </c>
      <c r="D50" s="40" t="s">
        <v>26</v>
      </c>
      <c r="E50" s="40">
        <v>3</v>
      </c>
      <c r="F50" s="40">
        <v>100948</v>
      </c>
      <c r="G50" s="40" t="s">
        <v>35</v>
      </c>
      <c r="H50" s="40" t="s">
        <v>36</v>
      </c>
      <c r="I50" s="42">
        <v>45266</v>
      </c>
      <c r="J50" s="41">
        <f>SUM(TBL_SALES3[[#This Row],[QUANTITY]]*TBL_SALES3[[#This Row],[PRICE_PER_UNIT]])</f>
        <v>302844</v>
      </c>
      <c r="K50" s="40">
        <f>SUMIF(TBL_SALES3[BRAND_NAME],TBL_SALES3[[#This Row],[BRAND_NAME]],TBL_SALES3[SALES_AMOUNT])</f>
        <v>5071935</v>
      </c>
      <c r="M50" s="57" t="s">
        <v>26</v>
      </c>
      <c r="N50" s="63"/>
      <c r="O50" s="60" t="str">
        <f t="shared" si="4"/>
        <v>Pavilion_14</v>
      </c>
      <c r="Q50" s="67" t="s">
        <v>18</v>
      </c>
      <c r="R50" s="63"/>
      <c r="S50" s="60" t="str">
        <f t="shared" si="5"/>
        <v>Ta</v>
      </c>
      <c r="U50" s="67" t="s">
        <v>297</v>
      </c>
      <c r="V50" s="60" t="str">
        <f t="shared" si="3"/>
        <v>S1007</v>
      </c>
      <c r="W50" s="66" t="str">
        <f t="shared" si="6"/>
        <v>Pa007</v>
      </c>
    </row>
    <row r="51" spans="1:23" ht="15.75" thickBot="1" x14ac:dyDescent="0.3">
      <c r="A51" s="40" t="s">
        <v>92</v>
      </c>
      <c r="B51" s="40" t="s">
        <v>10</v>
      </c>
      <c r="C51" s="40" t="s">
        <v>23</v>
      </c>
      <c r="D51" s="40" t="s">
        <v>58</v>
      </c>
      <c r="E51" s="40">
        <v>1</v>
      </c>
      <c r="F51" s="40">
        <v>100493</v>
      </c>
      <c r="G51" s="40" t="s">
        <v>55</v>
      </c>
      <c r="H51" s="40" t="s">
        <v>28</v>
      </c>
      <c r="I51" s="42">
        <v>45799</v>
      </c>
      <c r="J51" s="41">
        <f>SUM(TBL_SALES3[[#This Row],[QUANTITY]]*TBL_SALES3[[#This Row],[PRICE_PER_UNIT]])</f>
        <v>100493</v>
      </c>
      <c r="K51" s="40">
        <f>SUMIF(TBL_SALES3[BRAND_NAME],TBL_SALES3[[#This Row],[BRAND_NAME]],TBL_SALES3[SALES_AMOUNT])</f>
        <v>2939163</v>
      </c>
      <c r="M51" s="57" t="s">
        <v>38</v>
      </c>
      <c r="N51" s="63"/>
      <c r="O51" s="60" t="str">
        <f t="shared" si="4"/>
        <v>ROG_Zephyrus</v>
      </c>
      <c r="Q51" s="67" t="s">
        <v>36</v>
      </c>
      <c r="R51" s="63"/>
      <c r="S51" s="60" t="str">
        <f t="shared" si="5"/>
        <v>Ka</v>
      </c>
      <c r="U51" s="67" t="s">
        <v>299</v>
      </c>
      <c r="V51" s="60" t="str">
        <f t="shared" si="3"/>
        <v>S1008</v>
      </c>
      <c r="W51" s="66" t="str">
        <f t="shared" si="6"/>
        <v>RO008</v>
      </c>
    </row>
    <row r="52" spans="1:23" ht="15.75" thickBot="1" x14ac:dyDescent="0.3">
      <c r="A52" s="40" t="s">
        <v>93</v>
      </c>
      <c r="B52" s="40" t="s">
        <v>10</v>
      </c>
      <c r="C52" s="40" t="s">
        <v>11</v>
      </c>
      <c r="D52" s="40" t="s">
        <v>16</v>
      </c>
      <c r="E52" s="40">
        <v>5</v>
      </c>
      <c r="F52" s="40">
        <v>87968</v>
      </c>
      <c r="G52" s="40" t="s">
        <v>50</v>
      </c>
      <c r="H52" s="40" t="s">
        <v>36</v>
      </c>
      <c r="I52" s="42">
        <v>45789</v>
      </c>
      <c r="J52" s="41">
        <f>SUM(TBL_SALES3[[#This Row],[QUANTITY]]*TBL_SALES3[[#This Row],[PRICE_PER_UNIT]])</f>
        <v>439840</v>
      </c>
      <c r="K52" s="40">
        <f>SUMIF(TBL_SALES3[BRAND_NAME],TBL_SALES3[[#This Row],[BRAND_NAME]],TBL_SALES3[SALES_AMOUNT])</f>
        <v>3447703</v>
      </c>
      <c r="M52" s="57" t="s">
        <v>42</v>
      </c>
      <c r="N52" s="63"/>
      <c r="O52" s="60" t="str">
        <f t="shared" si="4"/>
        <v>Modern_14</v>
      </c>
      <c r="Q52" s="67" t="s">
        <v>18</v>
      </c>
      <c r="R52" s="63"/>
      <c r="S52" s="60" t="str">
        <f t="shared" si="5"/>
        <v>Ta</v>
      </c>
      <c r="U52" s="67" t="s">
        <v>300</v>
      </c>
      <c r="V52" s="60" t="str">
        <f t="shared" si="3"/>
        <v>S1009</v>
      </c>
      <c r="W52" s="66" t="str">
        <f t="shared" si="6"/>
        <v>Mo009</v>
      </c>
    </row>
    <row r="53" spans="1:23" ht="15.75" thickBot="1" x14ac:dyDescent="0.3">
      <c r="A53" s="40" t="s">
        <v>94</v>
      </c>
      <c r="B53" s="40" t="s">
        <v>10</v>
      </c>
      <c r="C53" s="40" t="s">
        <v>41</v>
      </c>
      <c r="D53" s="40" t="s">
        <v>42</v>
      </c>
      <c r="E53" s="40">
        <v>4</v>
      </c>
      <c r="F53" s="40">
        <v>119589</v>
      </c>
      <c r="G53" s="40" t="s">
        <v>27</v>
      </c>
      <c r="H53" s="40" t="s">
        <v>28</v>
      </c>
      <c r="I53" s="42">
        <v>45819</v>
      </c>
      <c r="J53" s="41">
        <f>SUM(TBL_SALES3[[#This Row],[QUANTITY]]*TBL_SALES3[[#This Row],[PRICE_PER_UNIT]])</f>
        <v>478356</v>
      </c>
      <c r="K53" s="40">
        <f>SUMIF(TBL_SALES3[BRAND_NAME],TBL_SALES3[[#This Row],[BRAND_NAME]],TBL_SALES3[SALES_AMOUNT])</f>
        <v>4627368</v>
      </c>
      <c r="M53" s="57" t="s">
        <v>21</v>
      </c>
      <c r="N53" s="63"/>
      <c r="O53" s="60" t="str">
        <f t="shared" si="4"/>
        <v>Omen_16</v>
      </c>
      <c r="Q53" s="67" t="s">
        <v>14</v>
      </c>
      <c r="R53" s="63"/>
      <c r="S53" s="60" t="str">
        <f t="shared" si="5"/>
        <v>Ke</v>
      </c>
      <c r="U53" s="67" t="s">
        <v>295</v>
      </c>
      <c r="V53" s="60" t="str">
        <f t="shared" si="3"/>
        <v>S1010</v>
      </c>
      <c r="W53" s="66" t="str">
        <f t="shared" si="6"/>
        <v>Om010</v>
      </c>
    </row>
    <row r="54" spans="1:23" ht="15.75" thickBot="1" x14ac:dyDescent="0.3">
      <c r="A54" s="40" t="s">
        <v>95</v>
      </c>
      <c r="B54" s="40" t="s">
        <v>10</v>
      </c>
      <c r="C54" s="40" t="s">
        <v>20</v>
      </c>
      <c r="D54" s="40" t="s">
        <v>26</v>
      </c>
      <c r="E54" s="40">
        <v>5</v>
      </c>
      <c r="F54" s="40">
        <v>113267</v>
      </c>
      <c r="G54" s="40" t="s">
        <v>17</v>
      </c>
      <c r="H54" s="40" t="s">
        <v>18</v>
      </c>
      <c r="I54" s="42">
        <v>45758</v>
      </c>
      <c r="J54" s="41">
        <f>SUM(TBL_SALES3[[#This Row],[QUANTITY]]*TBL_SALES3[[#This Row],[PRICE_PER_UNIT]])</f>
        <v>566335</v>
      </c>
      <c r="K54" s="40">
        <f>SUMIF(TBL_SALES3[BRAND_NAME],TBL_SALES3[[#This Row],[BRAND_NAME]],TBL_SALES3[SALES_AMOUNT])</f>
        <v>5071935</v>
      </c>
      <c r="M54" s="57" t="s">
        <v>16</v>
      </c>
      <c r="N54" s="63"/>
      <c r="O54" s="60" t="str">
        <f t="shared" si="4"/>
        <v>Aspire_5</v>
      </c>
      <c r="Q54" s="67" t="s">
        <v>28</v>
      </c>
      <c r="R54" s="63"/>
      <c r="S54" s="60" t="str">
        <f t="shared" si="5"/>
        <v>An</v>
      </c>
      <c r="U54" s="67" t="s">
        <v>294</v>
      </c>
      <c r="V54" s="60" t="str">
        <f t="shared" si="3"/>
        <v>S1011</v>
      </c>
      <c r="W54" s="66" t="str">
        <f t="shared" si="6"/>
        <v>As011</v>
      </c>
    </row>
    <row r="55" spans="1:23" ht="15.75" thickBot="1" x14ac:dyDescent="0.3">
      <c r="A55" s="40" t="s">
        <v>96</v>
      </c>
      <c r="B55" s="40" t="s">
        <v>10</v>
      </c>
      <c r="C55" s="40" t="s">
        <v>41</v>
      </c>
      <c r="D55" s="40" t="s">
        <v>42</v>
      </c>
      <c r="E55" s="40">
        <v>1</v>
      </c>
      <c r="F55" s="40">
        <v>113879</v>
      </c>
      <c r="G55" s="40" t="s">
        <v>39</v>
      </c>
      <c r="H55" s="40" t="s">
        <v>18</v>
      </c>
      <c r="I55" s="42">
        <v>45649</v>
      </c>
      <c r="J55" s="41">
        <f>SUM(TBL_SALES3[[#This Row],[QUANTITY]]*TBL_SALES3[[#This Row],[PRICE_PER_UNIT]])</f>
        <v>113879</v>
      </c>
      <c r="K55" s="40">
        <f>SUMIF(TBL_SALES3[BRAND_NAME],TBL_SALES3[[#This Row],[BRAND_NAME]],TBL_SALES3[SALES_AMOUNT])</f>
        <v>4627368</v>
      </c>
      <c r="M55" s="57" t="s">
        <v>48</v>
      </c>
      <c r="N55" s="63"/>
      <c r="O55" s="60" t="str">
        <f t="shared" si="4"/>
        <v>IdeaPad_Slim_5</v>
      </c>
      <c r="Q55" s="67" t="s">
        <v>18</v>
      </c>
      <c r="R55" s="63"/>
      <c r="S55" s="60" t="str">
        <f t="shared" si="5"/>
        <v>Ta</v>
      </c>
      <c r="U55" s="67" t="s">
        <v>301</v>
      </c>
      <c r="V55" s="60" t="str">
        <f t="shared" si="3"/>
        <v>S1012</v>
      </c>
      <c r="W55" s="66" t="str">
        <f t="shared" si="6"/>
        <v>Id012</v>
      </c>
    </row>
    <row r="56" spans="1:23" ht="15.75" thickBot="1" x14ac:dyDescent="0.3">
      <c r="A56" s="40" t="s">
        <v>97</v>
      </c>
      <c r="B56" s="40" t="s">
        <v>10</v>
      </c>
      <c r="C56" s="40" t="s">
        <v>23</v>
      </c>
      <c r="D56" s="40" t="s">
        <v>58</v>
      </c>
      <c r="E56" s="40">
        <v>4</v>
      </c>
      <c r="F56" s="40">
        <v>53632</v>
      </c>
      <c r="G56" s="40" t="s">
        <v>27</v>
      </c>
      <c r="H56" s="40" t="s">
        <v>28</v>
      </c>
      <c r="I56" s="42">
        <v>45648</v>
      </c>
      <c r="J56" s="41">
        <f>SUM(TBL_SALES3[[#This Row],[QUANTITY]]*TBL_SALES3[[#This Row],[PRICE_PER_UNIT]])</f>
        <v>214528</v>
      </c>
      <c r="K56" s="40">
        <f>SUMIF(TBL_SALES3[BRAND_NAME],TBL_SALES3[[#This Row],[BRAND_NAME]],TBL_SALES3[SALES_AMOUNT])</f>
        <v>2939163</v>
      </c>
      <c r="M56" s="57" t="s">
        <v>24</v>
      </c>
      <c r="N56" s="63"/>
      <c r="O56" s="60" t="str">
        <f t="shared" si="4"/>
        <v>Inspiron_15</v>
      </c>
      <c r="Q56" s="67" t="s">
        <v>18</v>
      </c>
      <c r="R56" s="63"/>
      <c r="S56" s="60" t="str">
        <f>LEFT(Q56,2)</f>
        <v>Ta</v>
      </c>
      <c r="U56" s="67" t="s">
        <v>296</v>
      </c>
      <c r="V56" s="60" t="str">
        <f t="shared" si="3"/>
        <v>S1013</v>
      </c>
      <c r="W56" s="66" t="str">
        <f t="shared" si="6"/>
        <v>In013</v>
      </c>
    </row>
    <row r="57" spans="1:23" ht="15.75" thickBot="1" x14ac:dyDescent="0.3">
      <c r="A57" s="40" t="s">
        <v>98</v>
      </c>
      <c r="B57" s="40" t="s">
        <v>10</v>
      </c>
      <c r="C57" s="40" t="s">
        <v>41</v>
      </c>
      <c r="D57" s="40" t="s">
        <v>62</v>
      </c>
      <c r="E57" s="40">
        <v>5</v>
      </c>
      <c r="F57" s="40">
        <v>95552</v>
      </c>
      <c r="G57" s="40" t="s">
        <v>43</v>
      </c>
      <c r="H57" s="40" t="s">
        <v>14</v>
      </c>
      <c r="I57" s="42">
        <v>45716</v>
      </c>
      <c r="J57" s="41">
        <f>SUM(TBL_SALES3[[#This Row],[QUANTITY]]*TBL_SALES3[[#This Row],[PRICE_PER_UNIT]])</f>
        <v>477760</v>
      </c>
      <c r="K57" s="40">
        <f>SUMIF(TBL_SALES3[BRAND_NAME],TBL_SALES3[[#This Row],[BRAND_NAME]],TBL_SALES3[SALES_AMOUNT])</f>
        <v>4627368</v>
      </c>
      <c r="M57" s="57" t="s">
        <v>31</v>
      </c>
      <c r="N57" s="63"/>
      <c r="O57" s="60" t="str">
        <f t="shared" si="4"/>
        <v>Vivobook_15</v>
      </c>
      <c r="Q57" s="67" t="s">
        <v>36</v>
      </c>
      <c r="R57" s="63"/>
      <c r="S57" s="60" t="str">
        <f t="shared" si="5"/>
        <v>Ka</v>
      </c>
      <c r="U57" s="67" t="s">
        <v>298</v>
      </c>
      <c r="V57" s="60" t="str">
        <f t="shared" si="3"/>
        <v>S1014</v>
      </c>
      <c r="W57" s="66" t="str">
        <f t="shared" si="6"/>
        <v>Vi014</v>
      </c>
    </row>
    <row r="58" spans="1:23" ht="15.75" thickBot="1" x14ac:dyDescent="0.3">
      <c r="A58" s="40" t="s">
        <v>99</v>
      </c>
      <c r="B58" s="40" t="s">
        <v>10</v>
      </c>
      <c r="C58" s="40" t="s">
        <v>20</v>
      </c>
      <c r="D58" s="40" t="s">
        <v>21</v>
      </c>
      <c r="E58" s="40">
        <v>3</v>
      </c>
      <c r="F58" s="40">
        <v>81687</v>
      </c>
      <c r="G58" s="40" t="s">
        <v>13</v>
      </c>
      <c r="H58" s="40" t="s">
        <v>14</v>
      </c>
      <c r="I58" s="42">
        <v>45376</v>
      </c>
      <c r="J58" s="41">
        <f>SUM(TBL_SALES3[[#This Row],[QUANTITY]]*TBL_SALES3[[#This Row],[PRICE_PER_UNIT]])</f>
        <v>245061</v>
      </c>
      <c r="K58" s="40">
        <f>SUMIF(TBL_SALES3[BRAND_NAME],TBL_SALES3[[#This Row],[BRAND_NAME]],TBL_SALES3[SALES_AMOUNT])</f>
        <v>5071935</v>
      </c>
      <c r="M58" s="57" t="s">
        <v>21</v>
      </c>
      <c r="N58" s="63"/>
      <c r="O58" s="60" t="str">
        <f t="shared" si="4"/>
        <v>Omen_16</v>
      </c>
      <c r="Q58" s="67" t="s">
        <v>28</v>
      </c>
      <c r="R58" s="63"/>
      <c r="S58" s="60" t="str">
        <f t="shared" si="5"/>
        <v>An</v>
      </c>
      <c r="U58" s="67" t="s">
        <v>295</v>
      </c>
      <c r="V58" s="60" t="str">
        <f t="shared" si="3"/>
        <v>S1015</v>
      </c>
      <c r="W58" s="66" t="str">
        <f t="shared" si="6"/>
        <v>Om015</v>
      </c>
    </row>
    <row r="59" spans="1:23" ht="15.75" thickBot="1" x14ac:dyDescent="0.3">
      <c r="A59" s="40" t="s">
        <v>100</v>
      </c>
      <c r="B59" s="40" t="s">
        <v>10</v>
      </c>
      <c r="C59" s="40" t="s">
        <v>11</v>
      </c>
      <c r="D59" s="40" t="s">
        <v>12</v>
      </c>
      <c r="E59" s="40">
        <v>2</v>
      </c>
      <c r="F59" s="40">
        <v>63680</v>
      </c>
      <c r="G59" s="40" t="s">
        <v>27</v>
      </c>
      <c r="H59" s="40" t="s">
        <v>28</v>
      </c>
      <c r="I59" s="42">
        <v>45490</v>
      </c>
      <c r="J59" s="41">
        <f>SUM(TBL_SALES3[[#This Row],[QUANTITY]]*TBL_SALES3[[#This Row],[PRICE_PER_UNIT]])</f>
        <v>127360</v>
      </c>
      <c r="K59" s="40">
        <f>SUMIF(TBL_SALES3[BRAND_NAME],TBL_SALES3[[#This Row],[BRAND_NAME]],TBL_SALES3[SALES_AMOUNT])</f>
        <v>3447703</v>
      </c>
      <c r="M59" s="57" t="s">
        <v>24</v>
      </c>
      <c r="N59" s="63"/>
      <c r="O59" s="60" t="str">
        <f t="shared" si="4"/>
        <v>Inspiron_15</v>
      </c>
      <c r="Q59" s="67" t="s">
        <v>18</v>
      </c>
      <c r="R59" s="63"/>
      <c r="S59" s="60" t="str">
        <f t="shared" si="5"/>
        <v>Ta</v>
      </c>
      <c r="U59" s="67" t="s">
        <v>296</v>
      </c>
      <c r="V59" s="60" t="str">
        <f t="shared" si="3"/>
        <v>S1016</v>
      </c>
      <c r="W59" s="66" t="str">
        <f t="shared" si="6"/>
        <v>In016</v>
      </c>
    </row>
    <row r="60" spans="1:23" ht="15.75" thickBot="1" x14ac:dyDescent="0.3">
      <c r="A60" s="40" t="s">
        <v>101</v>
      </c>
      <c r="B60" s="40" t="s">
        <v>10</v>
      </c>
      <c r="C60" s="40" t="s">
        <v>11</v>
      </c>
      <c r="D60" s="40" t="s">
        <v>16</v>
      </c>
      <c r="E60" s="40">
        <v>2</v>
      </c>
      <c r="F60" s="40">
        <v>97934</v>
      </c>
      <c r="G60" s="40" t="s">
        <v>59</v>
      </c>
      <c r="H60" s="40" t="s">
        <v>60</v>
      </c>
      <c r="I60" s="42">
        <v>45445</v>
      </c>
      <c r="J60" s="41">
        <f>SUM(TBL_SALES3[[#This Row],[QUANTITY]]*TBL_SALES3[[#This Row],[PRICE_PER_UNIT]])</f>
        <v>195868</v>
      </c>
      <c r="K60" s="40">
        <f>SUMIF(TBL_SALES3[BRAND_NAME],TBL_SALES3[[#This Row],[BRAND_NAME]],TBL_SALES3[SALES_AMOUNT])</f>
        <v>3447703</v>
      </c>
      <c r="M60" s="57" t="s">
        <v>16</v>
      </c>
      <c r="N60" s="63"/>
      <c r="O60" s="60" t="str">
        <f t="shared" si="4"/>
        <v>Aspire_5</v>
      </c>
      <c r="Q60" s="67" t="s">
        <v>14</v>
      </c>
      <c r="R60" s="63"/>
      <c r="S60" s="60" t="str">
        <f t="shared" si="5"/>
        <v>Ke</v>
      </c>
      <c r="U60" s="67" t="s">
        <v>294</v>
      </c>
      <c r="V60" s="60" t="str">
        <f t="shared" si="3"/>
        <v>S1017</v>
      </c>
      <c r="W60" s="66" t="str">
        <f t="shared" si="6"/>
        <v>As017</v>
      </c>
    </row>
    <row r="61" spans="1:23" ht="15.75" thickBot="1" x14ac:dyDescent="0.3">
      <c r="A61" s="40" t="s">
        <v>102</v>
      </c>
      <c r="B61" s="40" t="s">
        <v>10</v>
      </c>
      <c r="C61" s="40" t="s">
        <v>47</v>
      </c>
      <c r="D61" s="40" t="s">
        <v>72</v>
      </c>
      <c r="E61" s="40">
        <v>4</v>
      </c>
      <c r="F61" s="40">
        <v>95916</v>
      </c>
      <c r="G61" s="40" t="s">
        <v>59</v>
      </c>
      <c r="H61" s="40" t="s">
        <v>60</v>
      </c>
      <c r="I61" s="42">
        <v>45408</v>
      </c>
      <c r="J61" s="41">
        <f>SUM(TBL_SALES3[[#This Row],[QUANTITY]]*TBL_SALES3[[#This Row],[PRICE_PER_UNIT]])</f>
        <v>383664</v>
      </c>
      <c r="K61" s="40">
        <f>SUMIF(TBL_SALES3[BRAND_NAME],TBL_SALES3[[#This Row],[BRAND_NAME]],TBL_SALES3[SALES_AMOUNT])</f>
        <v>2863185</v>
      </c>
      <c r="M61" s="57" t="s">
        <v>12</v>
      </c>
      <c r="N61" s="63"/>
      <c r="O61" s="60" t="str">
        <f t="shared" si="4"/>
        <v>Predator_Helios</v>
      </c>
      <c r="Q61" s="67" t="s">
        <v>28</v>
      </c>
      <c r="R61" s="63"/>
      <c r="S61" s="60" t="str">
        <f t="shared" si="5"/>
        <v>An</v>
      </c>
      <c r="U61" s="67" t="s">
        <v>302</v>
      </c>
      <c r="V61" s="60" t="str">
        <f t="shared" si="3"/>
        <v>S1018</v>
      </c>
      <c r="W61" s="66" t="str">
        <f t="shared" si="6"/>
        <v>Pr018</v>
      </c>
    </row>
    <row r="62" spans="1:23" ht="15.75" thickBot="1" x14ac:dyDescent="0.3">
      <c r="A62" s="40" t="s">
        <v>103</v>
      </c>
      <c r="B62" s="40" t="s">
        <v>10</v>
      </c>
      <c r="C62" s="40" t="s">
        <v>41</v>
      </c>
      <c r="D62" s="40" t="s">
        <v>42</v>
      </c>
      <c r="E62" s="40">
        <v>5</v>
      </c>
      <c r="F62" s="40">
        <v>89611</v>
      </c>
      <c r="G62" s="40" t="s">
        <v>35</v>
      </c>
      <c r="H62" s="40" t="s">
        <v>36</v>
      </c>
      <c r="I62" s="42">
        <v>45454</v>
      </c>
      <c r="J62" s="41">
        <f>SUM(TBL_SALES3[[#This Row],[QUANTITY]]*TBL_SALES3[[#This Row],[PRICE_PER_UNIT]])</f>
        <v>448055</v>
      </c>
      <c r="K62" s="40">
        <f>SUMIF(TBL_SALES3[BRAND_NAME],TBL_SALES3[[#This Row],[BRAND_NAME]],TBL_SALES3[SALES_AMOUNT])</f>
        <v>4627368</v>
      </c>
      <c r="M62" s="57" t="s">
        <v>58</v>
      </c>
      <c r="N62" s="63"/>
      <c r="O62" s="60" t="str">
        <f t="shared" si="4"/>
        <v>XPS_13</v>
      </c>
      <c r="Q62" s="67" t="s">
        <v>28</v>
      </c>
      <c r="R62" s="63"/>
      <c r="S62" s="60" t="str">
        <f t="shared" si="5"/>
        <v>An</v>
      </c>
      <c r="U62" s="67" t="s">
        <v>303</v>
      </c>
      <c r="V62" s="60" t="str">
        <f t="shared" si="3"/>
        <v>S1019</v>
      </c>
      <c r="W62" s="66" t="str">
        <f t="shared" si="6"/>
        <v>XP019</v>
      </c>
    </row>
    <row r="63" spans="1:23" ht="15.75" thickBot="1" x14ac:dyDescent="0.3">
      <c r="A63" s="40" t="s">
        <v>104</v>
      </c>
      <c r="B63" s="40" t="s">
        <v>10</v>
      </c>
      <c r="C63" s="40" t="s">
        <v>41</v>
      </c>
      <c r="D63" s="40" t="s">
        <v>62</v>
      </c>
      <c r="E63" s="40">
        <v>4</v>
      </c>
      <c r="F63" s="40">
        <v>117107</v>
      </c>
      <c r="G63" s="40" t="s">
        <v>59</v>
      </c>
      <c r="H63" s="40" t="s">
        <v>60</v>
      </c>
      <c r="I63" s="42">
        <v>45694</v>
      </c>
      <c r="J63" s="41">
        <f>SUM(TBL_SALES3[[#This Row],[QUANTITY]]*TBL_SALES3[[#This Row],[PRICE_PER_UNIT]])</f>
        <v>468428</v>
      </c>
      <c r="K63" s="40">
        <f>SUMIF(TBL_SALES3[BRAND_NAME],TBL_SALES3[[#This Row],[BRAND_NAME]],TBL_SALES3[SALES_AMOUNT])</f>
        <v>4627368</v>
      </c>
      <c r="M63" s="57" t="s">
        <v>62</v>
      </c>
      <c r="N63" s="63"/>
      <c r="O63" s="60" t="str">
        <f t="shared" si="4"/>
        <v>GF63_Thin</v>
      </c>
      <c r="Q63" s="67" t="s">
        <v>60</v>
      </c>
      <c r="R63" s="63"/>
      <c r="S63" s="60" t="str">
        <f t="shared" si="5"/>
        <v>Te</v>
      </c>
      <c r="U63" s="67" t="s">
        <v>304</v>
      </c>
      <c r="V63" s="60" t="str">
        <f t="shared" si="3"/>
        <v>S1020</v>
      </c>
      <c r="W63" s="66" t="str">
        <f t="shared" si="6"/>
        <v>GF020</v>
      </c>
    </row>
    <row r="64" spans="1:23" ht="15.75" thickBot="1" x14ac:dyDescent="0.3">
      <c r="A64" s="40" t="s">
        <v>105</v>
      </c>
      <c r="B64" s="40" t="s">
        <v>10</v>
      </c>
      <c r="C64" s="40" t="s">
        <v>23</v>
      </c>
      <c r="D64" s="40" t="s">
        <v>58</v>
      </c>
      <c r="E64" s="40">
        <v>4</v>
      </c>
      <c r="F64" s="40">
        <v>63622</v>
      </c>
      <c r="G64" s="40" t="s">
        <v>33</v>
      </c>
      <c r="H64" s="40" t="s">
        <v>18</v>
      </c>
      <c r="I64" s="42">
        <v>45877</v>
      </c>
      <c r="J64" s="41">
        <f>SUM(TBL_SALES3[[#This Row],[QUANTITY]]*TBL_SALES3[[#This Row],[PRICE_PER_UNIT]])</f>
        <v>254488</v>
      </c>
      <c r="K64" s="40">
        <f>SUMIF(TBL_SALES3[BRAND_NAME],TBL_SALES3[[#This Row],[BRAND_NAME]],TBL_SALES3[SALES_AMOUNT])</f>
        <v>2939163</v>
      </c>
      <c r="M64" s="57" t="s">
        <v>62</v>
      </c>
      <c r="N64" s="63"/>
      <c r="O64" s="60" t="str">
        <f t="shared" si="4"/>
        <v>GF63_Thin</v>
      </c>
      <c r="Q64" s="67" t="s">
        <v>18</v>
      </c>
      <c r="R64" s="63"/>
      <c r="S64" s="60" t="str">
        <f t="shared" si="5"/>
        <v>Ta</v>
      </c>
      <c r="U64" s="67" t="s">
        <v>304</v>
      </c>
      <c r="V64" s="60" t="str">
        <f t="shared" si="3"/>
        <v>S1021</v>
      </c>
      <c r="W64" s="66" t="str">
        <f t="shared" si="6"/>
        <v>GF021</v>
      </c>
    </row>
    <row r="65" spans="1:23" ht="15.75" thickBot="1" x14ac:dyDescent="0.3">
      <c r="A65" s="40" t="s">
        <v>106</v>
      </c>
      <c r="B65" s="40" t="s">
        <v>10</v>
      </c>
      <c r="C65" s="40" t="s">
        <v>30</v>
      </c>
      <c r="D65" s="40" t="s">
        <v>31</v>
      </c>
      <c r="E65" s="40">
        <v>3</v>
      </c>
      <c r="F65" s="40">
        <v>93983</v>
      </c>
      <c r="G65" s="40" t="s">
        <v>35</v>
      </c>
      <c r="H65" s="40" t="s">
        <v>36</v>
      </c>
      <c r="I65" s="42">
        <v>45655</v>
      </c>
      <c r="J65" s="41">
        <f>SUM(TBL_SALES3[[#This Row],[QUANTITY]]*TBL_SALES3[[#This Row],[PRICE_PER_UNIT]])</f>
        <v>281949</v>
      </c>
      <c r="K65" s="40">
        <f>SUMIF(TBL_SALES3[BRAND_NAME],TBL_SALES3[[#This Row],[BRAND_NAME]],TBL_SALES3[SALES_AMOUNT])</f>
        <v>6392331</v>
      </c>
      <c r="M65" s="57" t="s">
        <v>16</v>
      </c>
      <c r="N65" s="63"/>
      <c r="O65" s="60" t="str">
        <f t="shared" si="4"/>
        <v>Aspire_5</v>
      </c>
      <c r="Q65" s="67" t="s">
        <v>28</v>
      </c>
      <c r="R65" s="63"/>
      <c r="S65" s="60" t="str">
        <f t="shared" si="5"/>
        <v>An</v>
      </c>
      <c r="U65" s="67" t="s">
        <v>294</v>
      </c>
      <c r="V65" s="60" t="str">
        <f t="shared" si="3"/>
        <v>S1022</v>
      </c>
      <c r="W65" s="66" t="str">
        <f t="shared" si="6"/>
        <v>As022</v>
      </c>
    </row>
    <row r="66" spans="1:23" ht="15.75" thickBot="1" x14ac:dyDescent="0.3">
      <c r="A66" s="40" t="s">
        <v>107</v>
      </c>
      <c r="B66" s="40" t="s">
        <v>10</v>
      </c>
      <c r="C66" s="40" t="s">
        <v>47</v>
      </c>
      <c r="D66" s="40" t="s">
        <v>48</v>
      </c>
      <c r="E66" s="40">
        <v>3</v>
      </c>
      <c r="F66" s="40">
        <v>49533</v>
      </c>
      <c r="G66" s="40" t="s">
        <v>35</v>
      </c>
      <c r="H66" s="40" t="s">
        <v>36</v>
      </c>
      <c r="I66" s="42">
        <v>45602</v>
      </c>
      <c r="J66" s="41">
        <f>SUM(TBL_SALES3[[#This Row],[QUANTITY]]*TBL_SALES3[[#This Row],[PRICE_PER_UNIT]])</f>
        <v>148599</v>
      </c>
      <c r="K66" s="40">
        <f>SUMIF(TBL_SALES3[BRAND_NAME],TBL_SALES3[[#This Row],[BRAND_NAME]],TBL_SALES3[SALES_AMOUNT])</f>
        <v>2863185</v>
      </c>
      <c r="M66" s="57" t="s">
        <v>24</v>
      </c>
      <c r="N66" s="63"/>
      <c r="O66" s="60" t="str">
        <f t="shared" si="4"/>
        <v>Inspiron_15</v>
      </c>
      <c r="Q66" s="67" t="s">
        <v>28</v>
      </c>
      <c r="R66" s="63"/>
      <c r="S66" s="60" t="str">
        <f t="shared" si="5"/>
        <v>An</v>
      </c>
      <c r="U66" s="67" t="s">
        <v>296</v>
      </c>
      <c r="V66" s="60" t="str">
        <f t="shared" si="3"/>
        <v>S1023</v>
      </c>
      <c r="W66" s="66" t="str">
        <f t="shared" si="6"/>
        <v>In023</v>
      </c>
    </row>
    <row r="67" spans="1:23" ht="15.75" thickBot="1" x14ac:dyDescent="0.3">
      <c r="A67" s="40" t="s">
        <v>108</v>
      </c>
      <c r="B67" s="40" t="s">
        <v>10</v>
      </c>
      <c r="C67" s="40" t="s">
        <v>47</v>
      </c>
      <c r="D67" s="40" t="s">
        <v>48</v>
      </c>
      <c r="E67" s="40">
        <v>4</v>
      </c>
      <c r="F67" s="40">
        <v>65659</v>
      </c>
      <c r="G67" s="40" t="s">
        <v>59</v>
      </c>
      <c r="H67" s="40" t="s">
        <v>60</v>
      </c>
      <c r="I67" s="42">
        <v>45430</v>
      </c>
      <c r="J67" s="41">
        <f>SUM(TBL_SALES3[[#This Row],[QUANTITY]]*TBL_SALES3[[#This Row],[PRICE_PER_UNIT]])</f>
        <v>262636</v>
      </c>
      <c r="K67" s="40">
        <f>SUMIF(TBL_SALES3[BRAND_NAME],TBL_SALES3[[#This Row],[BRAND_NAME]],TBL_SALES3[SALES_AMOUNT])</f>
        <v>2863185</v>
      </c>
      <c r="M67" s="57" t="s">
        <v>12</v>
      </c>
      <c r="N67" s="63"/>
      <c r="O67" s="60" t="str">
        <f t="shared" si="4"/>
        <v>Predator_Helios</v>
      </c>
      <c r="Q67" s="67" t="s">
        <v>18</v>
      </c>
      <c r="R67" s="63"/>
      <c r="S67" s="60" t="str">
        <f t="shared" si="5"/>
        <v>Ta</v>
      </c>
      <c r="U67" s="67" t="s">
        <v>302</v>
      </c>
      <c r="V67" s="60" t="str">
        <f t="shared" si="3"/>
        <v>S1024</v>
      </c>
      <c r="W67" s="66" t="str">
        <f t="shared" si="6"/>
        <v>Pr024</v>
      </c>
    </row>
    <row r="68" spans="1:23" ht="15.75" thickBot="1" x14ac:dyDescent="0.3">
      <c r="A68" s="40" t="s">
        <v>109</v>
      </c>
      <c r="B68" s="40" t="s">
        <v>10</v>
      </c>
      <c r="C68" s="40" t="s">
        <v>30</v>
      </c>
      <c r="D68" s="40" t="s">
        <v>31</v>
      </c>
      <c r="E68" s="40">
        <v>5</v>
      </c>
      <c r="F68" s="40">
        <v>110308</v>
      </c>
      <c r="G68" s="40" t="s">
        <v>13</v>
      </c>
      <c r="H68" s="40" t="s">
        <v>14</v>
      </c>
      <c r="I68" s="42">
        <v>45681</v>
      </c>
      <c r="J68" s="41">
        <f>SUM(TBL_SALES3[[#This Row],[QUANTITY]]*TBL_SALES3[[#This Row],[PRICE_PER_UNIT]])</f>
        <v>551540</v>
      </c>
      <c r="K68" s="40">
        <f>SUMIF(TBL_SALES3[BRAND_NAME],TBL_SALES3[[#This Row],[BRAND_NAME]],TBL_SALES3[SALES_AMOUNT])</f>
        <v>6392331</v>
      </c>
      <c r="M68" s="57" t="s">
        <v>62</v>
      </c>
      <c r="N68" s="63"/>
      <c r="O68" s="60" t="str">
        <f t="shared" si="4"/>
        <v>GF63_Thin</v>
      </c>
      <c r="Q68" s="67" t="s">
        <v>14</v>
      </c>
      <c r="R68" s="63"/>
      <c r="S68" s="60" t="str">
        <f t="shared" si="5"/>
        <v>Ke</v>
      </c>
      <c r="U68" s="67" t="s">
        <v>304</v>
      </c>
      <c r="V68" s="60" t="str">
        <f t="shared" si="3"/>
        <v>S1025</v>
      </c>
      <c r="W68" s="66" t="str">
        <f t="shared" si="6"/>
        <v>GF025</v>
      </c>
    </row>
    <row r="69" spans="1:23" ht="15.75" thickBot="1" x14ac:dyDescent="0.3">
      <c r="A69" s="40" t="s">
        <v>110</v>
      </c>
      <c r="B69" s="40" t="s">
        <v>10</v>
      </c>
      <c r="C69" s="40" t="s">
        <v>30</v>
      </c>
      <c r="D69" s="40" t="s">
        <v>38</v>
      </c>
      <c r="E69" s="40">
        <v>4</v>
      </c>
      <c r="F69" s="40">
        <v>66725</v>
      </c>
      <c r="G69" s="40" t="s">
        <v>50</v>
      </c>
      <c r="H69" s="40" t="s">
        <v>36</v>
      </c>
      <c r="I69" s="42">
        <v>45715</v>
      </c>
      <c r="J69" s="41">
        <f>SUM(TBL_SALES3[[#This Row],[QUANTITY]]*TBL_SALES3[[#This Row],[PRICE_PER_UNIT]])</f>
        <v>266900</v>
      </c>
      <c r="K69" s="40">
        <f>SUMIF(TBL_SALES3[BRAND_NAME],TBL_SALES3[[#This Row],[BRAND_NAME]],TBL_SALES3[SALES_AMOUNT])</f>
        <v>6392331</v>
      </c>
      <c r="M69" s="57" t="s">
        <v>38</v>
      </c>
      <c r="N69" s="63"/>
      <c r="O69" s="60" t="str">
        <f t="shared" si="4"/>
        <v>ROG_Zephyrus</v>
      </c>
      <c r="Q69" s="67" t="s">
        <v>18</v>
      </c>
      <c r="R69" s="63"/>
      <c r="S69" s="60" t="str">
        <f t="shared" si="5"/>
        <v>Ta</v>
      </c>
      <c r="U69" s="67" t="s">
        <v>299</v>
      </c>
      <c r="V69" s="60" t="str">
        <f t="shared" si="3"/>
        <v>S1026</v>
      </c>
      <c r="W69" s="66" t="str">
        <f t="shared" si="6"/>
        <v>RO026</v>
      </c>
    </row>
    <row r="70" spans="1:23" ht="15.75" thickBot="1" x14ac:dyDescent="0.3">
      <c r="A70" s="40" t="s">
        <v>111</v>
      </c>
      <c r="B70" s="40" t="s">
        <v>10</v>
      </c>
      <c r="C70" s="40" t="s">
        <v>41</v>
      </c>
      <c r="D70" s="40" t="s">
        <v>62</v>
      </c>
      <c r="E70" s="40">
        <v>2</v>
      </c>
      <c r="F70" s="40">
        <v>102776</v>
      </c>
      <c r="G70" s="40" t="s">
        <v>13</v>
      </c>
      <c r="H70" s="40" t="s">
        <v>14</v>
      </c>
      <c r="I70" s="42">
        <v>45817</v>
      </c>
      <c r="J70" s="41">
        <f>SUM(TBL_SALES3[[#This Row],[QUANTITY]]*TBL_SALES3[[#This Row],[PRICE_PER_UNIT]])</f>
        <v>205552</v>
      </c>
      <c r="K70" s="40">
        <f>SUMIF(TBL_SALES3[BRAND_NAME],TBL_SALES3[[#This Row],[BRAND_NAME]],TBL_SALES3[SALES_AMOUNT])</f>
        <v>4627368</v>
      </c>
      <c r="M70" s="58" t="s">
        <v>31</v>
      </c>
      <c r="N70" s="64"/>
      <c r="O70" s="61" t="str">
        <f t="shared" si="4"/>
        <v>Vivobook_15</v>
      </c>
      <c r="Q70" s="68" t="s">
        <v>28</v>
      </c>
      <c r="R70" s="64"/>
      <c r="S70" s="60" t="str">
        <f t="shared" si="5"/>
        <v>An</v>
      </c>
      <c r="U70" s="68" t="s">
        <v>298</v>
      </c>
      <c r="V70" s="61" t="str">
        <f t="shared" si="3"/>
        <v>S1027</v>
      </c>
      <c r="W70" s="66" t="str">
        <f t="shared" si="6"/>
        <v>Vi027</v>
      </c>
    </row>
    <row r="71" spans="1:23" x14ac:dyDescent="0.25">
      <c r="A71" s="40" t="s">
        <v>112</v>
      </c>
      <c r="B71" s="40" t="s">
        <v>10</v>
      </c>
      <c r="C71" s="40" t="s">
        <v>20</v>
      </c>
      <c r="D71" s="40" t="s">
        <v>21</v>
      </c>
      <c r="E71" s="40">
        <v>2</v>
      </c>
      <c r="F71" s="40">
        <v>89014</v>
      </c>
      <c r="G71" s="40" t="s">
        <v>59</v>
      </c>
      <c r="H71" s="40" t="s">
        <v>60</v>
      </c>
      <c r="I71" s="42">
        <v>45493</v>
      </c>
      <c r="J71" s="41">
        <f>SUM(TBL_SALES3[[#This Row],[QUANTITY]]*TBL_SALES3[[#This Row],[PRICE_PER_UNIT]])</f>
        <v>178028</v>
      </c>
      <c r="K71" s="40">
        <f>SUMIF(TBL_SALES3[BRAND_NAME],TBL_SALES3[[#This Row],[BRAND_NAME]],TBL_SALES3[SALES_AMOUNT])</f>
        <v>5071935</v>
      </c>
    </row>
    <row r="72" spans="1:23" x14ac:dyDescent="0.25">
      <c r="A72" s="40" t="s">
        <v>113</v>
      </c>
      <c r="B72" s="40" t="s">
        <v>10</v>
      </c>
      <c r="C72" s="40" t="s">
        <v>23</v>
      </c>
      <c r="D72" s="40" t="s">
        <v>58</v>
      </c>
      <c r="E72" s="40">
        <v>1</v>
      </c>
      <c r="F72" s="40">
        <v>84305</v>
      </c>
      <c r="G72" s="40" t="s">
        <v>55</v>
      </c>
      <c r="H72" s="40" t="s">
        <v>28</v>
      </c>
      <c r="I72" s="42">
        <v>45662</v>
      </c>
      <c r="J72" s="41">
        <f>SUM(TBL_SALES3[[#This Row],[QUANTITY]]*TBL_SALES3[[#This Row],[PRICE_PER_UNIT]])</f>
        <v>84305</v>
      </c>
      <c r="K72" s="40">
        <f>SUMIF(TBL_SALES3[BRAND_NAME],TBL_SALES3[[#This Row],[BRAND_NAME]],TBL_SALES3[SALES_AMOUNT])</f>
        <v>2939163</v>
      </c>
    </row>
    <row r="73" spans="1:23" ht="15.75" thickBot="1" x14ac:dyDescent="0.3">
      <c r="A73" s="40" t="s">
        <v>114</v>
      </c>
      <c r="B73" s="40" t="s">
        <v>10</v>
      </c>
      <c r="C73" s="40" t="s">
        <v>23</v>
      </c>
      <c r="D73" s="40" t="s">
        <v>58</v>
      </c>
      <c r="E73" s="40">
        <v>5</v>
      </c>
      <c r="F73" s="40">
        <v>68983</v>
      </c>
      <c r="G73" s="40" t="s">
        <v>59</v>
      </c>
      <c r="H73" s="40" t="s">
        <v>60</v>
      </c>
      <c r="I73" s="42">
        <v>45395</v>
      </c>
      <c r="J73" s="41">
        <f>SUM(TBL_SALES3[[#This Row],[QUANTITY]]*TBL_SALES3[[#This Row],[PRICE_PER_UNIT]])</f>
        <v>344915</v>
      </c>
      <c r="K73" s="40">
        <f>SUMIF(TBL_SALES3[BRAND_NAME],TBL_SALES3[[#This Row],[BRAND_NAME]],TBL_SALES3[SALES_AMOUNT])</f>
        <v>2939163</v>
      </c>
    </row>
    <row r="74" spans="1:23" ht="15.75" thickBot="1" x14ac:dyDescent="0.3">
      <c r="A74" s="40" t="s">
        <v>115</v>
      </c>
      <c r="B74" s="40" t="s">
        <v>10</v>
      </c>
      <c r="C74" s="40" t="s">
        <v>41</v>
      </c>
      <c r="D74" s="40" t="s">
        <v>62</v>
      </c>
      <c r="E74" s="40">
        <v>4</v>
      </c>
      <c r="F74" s="40">
        <v>83072</v>
      </c>
      <c r="G74" s="40" t="s">
        <v>17</v>
      </c>
      <c r="H74" s="40" t="s">
        <v>18</v>
      </c>
      <c r="I74" s="42">
        <v>45375</v>
      </c>
      <c r="J74" s="41">
        <f>SUM(TBL_SALES3[[#This Row],[QUANTITY]]*TBL_SALES3[[#This Row],[PRICE_PER_UNIT]])</f>
        <v>332288</v>
      </c>
      <c r="K74" s="40">
        <f>SUMIF(TBL_SALES3[BRAND_NAME],TBL_SALES3[[#This Row],[BRAND_NAME]],TBL_SALES3[SALES_AMOUNT])</f>
        <v>4627368</v>
      </c>
      <c r="M74" s="72" t="s">
        <v>305</v>
      </c>
      <c r="N74" s="73"/>
      <c r="O74" s="75" t="s">
        <v>306</v>
      </c>
      <c r="Q74" s="84" t="s">
        <v>2</v>
      </c>
      <c r="R74" s="85"/>
      <c r="S74" s="85" t="s">
        <v>3</v>
      </c>
      <c r="T74" s="85"/>
      <c r="U74" s="85" t="s">
        <v>307</v>
      </c>
      <c r="V74" s="86" t="s">
        <v>308</v>
      </c>
    </row>
    <row r="75" spans="1:23" ht="15.75" x14ac:dyDescent="0.25">
      <c r="A75" s="40" t="s">
        <v>116</v>
      </c>
      <c r="B75" s="40" t="s">
        <v>10</v>
      </c>
      <c r="C75" s="40" t="s">
        <v>30</v>
      </c>
      <c r="D75" s="40" t="s">
        <v>31</v>
      </c>
      <c r="E75" s="40">
        <v>4</v>
      </c>
      <c r="F75" s="40">
        <v>92592</v>
      </c>
      <c r="G75" s="40" t="s">
        <v>17</v>
      </c>
      <c r="H75" s="40" t="s">
        <v>18</v>
      </c>
      <c r="I75" s="42">
        <v>45603</v>
      </c>
      <c r="J75" s="41">
        <f>SUM(TBL_SALES3[[#This Row],[QUANTITY]]*TBL_SALES3[[#This Row],[PRICE_PER_UNIT]])</f>
        <v>370368</v>
      </c>
      <c r="K75" s="40">
        <f>SUMIF(TBL_SALES3[BRAND_NAME],TBL_SALES3[[#This Row],[BRAND_NAME]],TBL_SALES3[SALES_AMOUNT])</f>
        <v>6392331</v>
      </c>
      <c r="M75" s="52" t="str">
        <f>PROPER(TBL_SALES3[CITY])</f>
        <v>Madurai</v>
      </c>
      <c r="O75" s="67">
        <f>LEN(M75)</f>
        <v>7</v>
      </c>
      <c r="Q75" s="81" t="str">
        <f t="shared" ref="Q75:Q90" si="7">S4</f>
        <v>HP</v>
      </c>
      <c r="R75" s="79"/>
      <c r="S75" s="82" t="str">
        <f t="shared" ref="S75:S90" si="8">U4</f>
        <v>omen 16</v>
      </c>
      <c r="T75" s="79"/>
      <c r="U75" s="83" t="str">
        <f t="shared" ref="U75:U90" si="9">M75</f>
        <v>Madurai</v>
      </c>
      <c r="V75" s="87" t="str">
        <f>CONCATENATE(UPPER(LEFT(Q75,3)),UPPER(RIGHT(S75,2)),UPPER(LEFT(U75,3)))</f>
        <v>HP16MAD</v>
      </c>
    </row>
    <row r="76" spans="1:23" ht="15.75" x14ac:dyDescent="0.25">
      <c r="A76" s="40" t="s">
        <v>117</v>
      </c>
      <c r="B76" s="40" t="s">
        <v>10</v>
      </c>
      <c r="C76" s="40" t="s">
        <v>20</v>
      </c>
      <c r="D76" s="40" t="s">
        <v>21</v>
      </c>
      <c r="E76" s="40">
        <v>4</v>
      </c>
      <c r="F76" s="40">
        <v>52476</v>
      </c>
      <c r="G76" s="40" t="s">
        <v>35</v>
      </c>
      <c r="H76" s="40" t="s">
        <v>36</v>
      </c>
      <c r="I76" s="42">
        <v>45871</v>
      </c>
      <c r="J76" s="41">
        <f>SUM(TBL_SALES3[[#This Row],[QUANTITY]]*TBL_SALES3[[#This Row],[PRICE_PER_UNIT]])</f>
        <v>209904</v>
      </c>
      <c r="K76" s="40">
        <f>SUMIF(TBL_SALES3[BRAND_NAME],TBL_SALES3[[#This Row],[BRAND_NAME]],TBL_SALES3[SALES_AMOUNT])</f>
        <v>5071935</v>
      </c>
      <c r="M76" s="52" t="str">
        <f>PROPER(TBL_SALES3[CITY])</f>
        <v>Mysore</v>
      </c>
      <c r="O76" s="67">
        <f t="shared" ref="O76:O90" si="10">LEN(M76)</f>
        <v>6</v>
      </c>
      <c r="Q76" s="76" t="str">
        <f t="shared" si="7"/>
        <v>DELL</v>
      </c>
      <c r="R76" s="79"/>
      <c r="S76" s="77" t="str">
        <f t="shared" si="8"/>
        <v>inspiron 15</v>
      </c>
      <c r="T76" s="79"/>
      <c r="U76" s="78" t="str">
        <f t="shared" si="9"/>
        <v>Mysore</v>
      </c>
      <c r="V76" s="88" t="str">
        <f t="shared" ref="V76:V90" si="11">CONCATENATE(UPPER(LEFT(Q76,3)),UPPER(RIGHT(S76,2)),UPPER(LEFT(U76,3)))</f>
        <v>DEL15MYS</v>
      </c>
    </row>
    <row r="77" spans="1:23" ht="15.75" x14ac:dyDescent="0.25">
      <c r="A77" s="40" t="s">
        <v>118</v>
      </c>
      <c r="B77" s="40" t="s">
        <v>10</v>
      </c>
      <c r="C77" s="40" t="s">
        <v>20</v>
      </c>
      <c r="D77" s="40" t="s">
        <v>26</v>
      </c>
      <c r="E77" s="40">
        <v>4</v>
      </c>
      <c r="F77" s="40">
        <v>65907</v>
      </c>
      <c r="G77" s="40" t="s">
        <v>13</v>
      </c>
      <c r="H77" s="40" t="s">
        <v>14</v>
      </c>
      <c r="I77" s="42">
        <v>45834</v>
      </c>
      <c r="J77" s="41">
        <f>SUM(TBL_SALES3[[#This Row],[QUANTITY]]*TBL_SALES3[[#This Row],[PRICE_PER_UNIT]])</f>
        <v>263628</v>
      </c>
      <c r="K77" s="40">
        <f>SUMIF(TBL_SALES3[BRAND_NAME],TBL_SALES3[[#This Row],[BRAND_NAME]],TBL_SALES3[SALES_AMOUNT])</f>
        <v>5071935</v>
      </c>
      <c r="M77" s="52" t="str">
        <f>PROPER(TBL_SALES3[CITY])</f>
        <v>Trivandrum</v>
      </c>
      <c r="O77" s="67">
        <f t="shared" si="10"/>
        <v>10</v>
      </c>
      <c r="Q77" s="76" t="str">
        <f t="shared" si="7"/>
        <v>HP</v>
      </c>
      <c r="R77" s="79"/>
      <c r="S77" s="77" t="str">
        <f t="shared" si="8"/>
        <v>pavilion 14</v>
      </c>
      <c r="T77" s="79"/>
      <c r="U77" s="78" t="str">
        <f t="shared" si="9"/>
        <v>Trivandrum</v>
      </c>
      <c r="V77" s="88" t="str">
        <f t="shared" si="11"/>
        <v>HP14TRI</v>
      </c>
    </row>
    <row r="78" spans="1:23" ht="15.75" x14ac:dyDescent="0.25">
      <c r="A78" s="40" t="s">
        <v>119</v>
      </c>
      <c r="B78" s="40" t="s">
        <v>10</v>
      </c>
      <c r="C78" s="40" t="s">
        <v>30</v>
      </c>
      <c r="D78" s="40" t="s">
        <v>31</v>
      </c>
      <c r="E78" s="40">
        <v>2</v>
      </c>
      <c r="F78" s="40">
        <v>95160</v>
      </c>
      <c r="G78" s="40" t="s">
        <v>50</v>
      </c>
      <c r="H78" s="40" t="s">
        <v>36</v>
      </c>
      <c r="I78" s="42">
        <v>45379</v>
      </c>
      <c r="J78" s="41">
        <f>SUM(TBL_SALES3[[#This Row],[QUANTITY]]*TBL_SALES3[[#This Row],[PRICE_PER_UNIT]])</f>
        <v>190320</v>
      </c>
      <c r="K78" s="40">
        <f>SUMIF(TBL_SALES3[BRAND_NAME],TBL_SALES3[[#This Row],[BRAND_NAME]],TBL_SALES3[SALES_AMOUNT])</f>
        <v>6392331</v>
      </c>
      <c r="M78" s="52" t="str">
        <f>PROPER(TBL_SALES3[CITY])</f>
        <v>Bangalore</v>
      </c>
      <c r="O78" s="67">
        <f t="shared" si="10"/>
        <v>9</v>
      </c>
      <c r="Q78" s="76" t="str">
        <f t="shared" si="7"/>
        <v>ASUS</v>
      </c>
      <c r="R78" s="79"/>
      <c r="S78" s="77" t="str">
        <f t="shared" si="8"/>
        <v>vivobook 15</v>
      </c>
      <c r="T78" s="79"/>
      <c r="U78" s="78" t="str">
        <f t="shared" si="9"/>
        <v>Bangalore</v>
      </c>
      <c r="V78" s="88" t="str">
        <f t="shared" si="11"/>
        <v>ASU15BAN</v>
      </c>
    </row>
    <row r="79" spans="1:23" ht="15.75" x14ac:dyDescent="0.25">
      <c r="A79" s="40" t="s">
        <v>120</v>
      </c>
      <c r="B79" s="40" t="s">
        <v>10</v>
      </c>
      <c r="C79" s="40" t="s">
        <v>41</v>
      </c>
      <c r="D79" s="40" t="s">
        <v>62</v>
      </c>
      <c r="E79" s="40">
        <v>1</v>
      </c>
      <c r="F79" s="40">
        <v>45868</v>
      </c>
      <c r="G79" s="40" t="s">
        <v>39</v>
      </c>
      <c r="H79" s="40" t="s">
        <v>18</v>
      </c>
      <c r="I79" s="42">
        <v>45249</v>
      </c>
      <c r="J79" s="41">
        <f>SUM(TBL_SALES3[[#This Row],[QUANTITY]]*TBL_SALES3[[#This Row],[PRICE_PER_UNIT]])</f>
        <v>45868</v>
      </c>
      <c r="K79" s="40">
        <f>SUMIF(TBL_SALES3[BRAND_NAME],TBL_SALES3[[#This Row],[BRAND_NAME]],TBL_SALES3[SALES_AMOUNT])</f>
        <v>4627368</v>
      </c>
      <c r="M79" s="52" t="str">
        <f>PROPER(TBL_SALES3[CITY])</f>
        <v>Coimbatore</v>
      </c>
      <c r="O79" s="67">
        <f t="shared" si="10"/>
        <v>10</v>
      </c>
      <c r="Q79" s="76" t="str">
        <f t="shared" si="7"/>
        <v>HP</v>
      </c>
      <c r="R79" s="79"/>
      <c r="S79" s="77" t="str">
        <f t="shared" si="8"/>
        <v>pavilion 14</v>
      </c>
      <c r="T79" s="79"/>
      <c r="U79" s="78" t="str">
        <f t="shared" si="9"/>
        <v>Coimbatore</v>
      </c>
      <c r="V79" s="88" t="str">
        <f t="shared" si="11"/>
        <v>HP14COI</v>
      </c>
    </row>
    <row r="80" spans="1:23" ht="15.75" x14ac:dyDescent="0.25">
      <c r="A80" s="40" t="s">
        <v>121</v>
      </c>
      <c r="B80" s="40" t="s">
        <v>10</v>
      </c>
      <c r="C80" s="40" t="s">
        <v>47</v>
      </c>
      <c r="D80" s="40" t="s">
        <v>72</v>
      </c>
      <c r="E80" s="40">
        <v>3</v>
      </c>
      <c r="F80" s="40">
        <v>45942</v>
      </c>
      <c r="G80" s="40" t="s">
        <v>33</v>
      </c>
      <c r="H80" s="40" t="s">
        <v>18</v>
      </c>
      <c r="I80" s="42">
        <v>45867</v>
      </c>
      <c r="J80" s="41">
        <f>SUM(TBL_SALES3[[#This Row],[QUANTITY]]*TBL_SALES3[[#This Row],[PRICE_PER_UNIT]])</f>
        <v>137826</v>
      </c>
      <c r="K80" s="40">
        <f>SUMIF(TBL_SALES3[BRAND_NAME],TBL_SALES3[[#This Row],[BRAND_NAME]],TBL_SALES3[SALES_AMOUNT])</f>
        <v>2863185</v>
      </c>
      <c r="M80" s="52" t="str">
        <f>PROPER(TBL_SALES3[CITY])</f>
        <v>Chennai</v>
      </c>
      <c r="O80" s="67">
        <f t="shared" si="10"/>
        <v>7</v>
      </c>
      <c r="Q80" s="76" t="str">
        <f t="shared" si="7"/>
        <v>HP</v>
      </c>
      <c r="R80" s="79"/>
      <c r="S80" s="77" t="str">
        <f t="shared" si="8"/>
        <v>pavilion 14</v>
      </c>
      <c r="T80" s="79"/>
      <c r="U80" s="78" t="str">
        <f t="shared" si="9"/>
        <v>Chennai</v>
      </c>
      <c r="V80" s="88" t="str">
        <f t="shared" si="11"/>
        <v>HP14CHE</v>
      </c>
    </row>
    <row r="81" spans="1:23" ht="15.75" x14ac:dyDescent="0.25">
      <c r="A81" s="40" t="s">
        <v>122</v>
      </c>
      <c r="B81" s="40" t="s">
        <v>10</v>
      </c>
      <c r="C81" s="40" t="s">
        <v>47</v>
      </c>
      <c r="D81" s="40" t="s">
        <v>48</v>
      </c>
      <c r="E81" s="40">
        <v>1</v>
      </c>
      <c r="F81" s="40">
        <v>56224</v>
      </c>
      <c r="G81" s="40" t="s">
        <v>13</v>
      </c>
      <c r="H81" s="40" t="s">
        <v>14</v>
      </c>
      <c r="I81" s="42">
        <v>45580</v>
      </c>
      <c r="J81" s="41">
        <f>SUM(TBL_SALES3[[#This Row],[QUANTITY]]*TBL_SALES3[[#This Row],[PRICE_PER_UNIT]])</f>
        <v>56224</v>
      </c>
      <c r="K81" s="40">
        <f>SUMIF(TBL_SALES3[BRAND_NAME],TBL_SALES3[[#This Row],[BRAND_NAME]],TBL_SALES3[SALES_AMOUNT])</f>
        <v>2863185</v>
      </c>
      <c r="M81" s="52" t="str">
        <f>PROPER(TBL_SALES3[CITY])</f>
        <v>Trivandrum</v>
      </c>
      <c r="O81" s="67">
        <f t="shared" si="10"/>
        <v>10</v>
      </c>
      <c r="Q81" s="76" t="str">
        <f t="shared" si="7"/>
        <v>ASUS</v>
      </c>
      <c r="R81" s="79"/>
      <c r="S81" s="77" t="str">
        <f t="shared" si="8"/>
        <v>rog zephyrus</v>
      </c>
      <c r="T81" s="79"/>
      <c r="U81" s="78" t="str">
        <f t="shared" si="9"/>
        <v>Trivandrum</v>
      </c>
      <c r="V81" s="88" t="str">
        <f t="shared" si="11"/>
        <v>ASUUSTRI</v>
      </c>
    </row>
    <row r="82" spans="1:23" ht="15.75" x14ac:dyDescent="0.25">
      <c r="A82" s="40" t="s">
        <v>123</v>
      </c>
      <c r="B82" s="40" t="s">
        <v>10</v>
      </c>
      <c r="C82" s="40" t="s">
        <v>41</v>
      </c>
      <c r="D82" s="40" t="s">
        <v>42</v>
      </c>
      <c r="E82" s="40">
        <v>2</v>
      </c>
      <c r="F82" s="40">
        <v>110876</v>
      </c>
      <c r="G82" s="40" t="s">
        <v>13</v>
      </c>
      <c r="H82" s="40" t="s">
        <v>14</v>
      </c>
      <c r="I82" s="42">
        <v>45762</v>
      </c>
      <c r="J82" s="41">
        <f>SUM(TBL_SALES3[[#This Row],[QUANTITY]]*TBL_SALES3[[#This Row],[PRICE_PER_UNIT]])</f>
        <v>221752</v>
      </c>
      <c r="K82" s="40">
        <f>SUMIF(TBL_SALES3[BRAND_NAME],TBL_SALES3[[#This Row],[BRAND_NAME]],TBL_SALES3[SALES_AMOUNT])</f>
        <v>4627368</v>
      </c>
      <c r="M82" s="52" t="str">
        <f>PROPER(TBL_SALES3[CITY])</f>
        <v>Trivandrum</v>
      </c>
      <c r="O82" s="67">
        <f t="shared" si="10"/>
        <v>10</v>
      </c>
      <c r="Q82" s="76" t="str">
        <f t="shared" si="7"/>
        <v>MSI</v>
      </c>
      <c r="R82" s="79"/>
      <c r="S82" s="77" t="str">
        <f t="shared" si="8"/>
        <v>modern 14</v>
      </c>
      <c r="T82" s="79"/>
      <c r="U82" s="78" t="str">
        <f t="shared" si="9"/>
        <v>Trivandrum</v>
      </c>
      <c r="V82" s="88" t="str">
        <f t="shared" si="11"/>
        <v>MSI14TRI</v>
      </c>
    </row>
    <row r="83" spans="1:23" ht="15.75" x14ac:dyDescent="0.25">
      <c r="A83" s="40" t="s">
        <v>124</v>
      </c>
      <c r="B83" s="40" t="s">
        <v>10</v>
      </c>
      <c r="C83" s="40" t="s">
        <v>41</v>
      </c>
      <c r="D83" s="40" t="s">
        <v>62</v>
      </c>
      <c r="E83" s="40">
        <v>3</v>
      </c>
      <c r="F83" s="40">
        <v>100961</v>
      </c>
      <c r="G83" s="40" t="s">
        <v>27</v>
      </c>
      <c r="H83" s="40" t="s">
        <v>28</v>
      </c>
      <c r="I83" s="42">
        <v>45753</v>
      </c>
      <c r="J83" s="41">
        <f>SUM(TBL_SALES3[[#This Row],[QUANTITY]]*TBL_SALES3[[#This Row],[PRICE_PER_UNIT]])</f>
        <v>302883</v>
      </c>
      <c r="K83" s="40">
        <f>SUMIF(TBL_SALES3[BRAND_NAME],TBL_SALES3[[#This Row],[BRAND_NAME]],TBL_SALES3[SALES_AMOUNT])</f>
        <v>4627368</v>
      </c>
      <c r="M83" s="52" t="str">
        <f>PROPER(TBL_SALES3[CITY])</f>
        <v>Visakhapatnam</v>
      </c>
      <c r="O83" s="67">
        <f t="shared" si="10"/>
        <v>13</v>
      </c>
      <c r="Q83" s="76" t="str">
        <f t="shared" si="7"/>
        <v>HP</v>
      </c>
      <c r="R83" s="79"/>
      <c r="S83" s="77" t="str">
        <f t="shared" si="8"/>
        <v>omen 16</v>
      </c>
      <c r="T83" s="79"/>
      <c r="U83" s="78" t="str">
        <f t="shared" si="9"/>
        <v>Visakhapatnam</v>
      </c>
      <c r="V83" s="88" t="str">
        <f t="shared" si="11"/>
        <v>HP16VIS</v>
      </c>
    </row>
    <row r="84" spans="1:23" ht="15.75" x14ac:dyDescent="0.25">
      <c r="A84" s="40" t="s">
        <v>125</v>
      </c>
      <c r="B84" s="40" t="s">
        <v>10</v>
      </c>
      <c r="C84" s="40" t="s">
        <v>47</v>
      </c>
      <c r="D84" s="40" t="s">
        <v>48</v>
      </c>
      <c r="E84" s="40">
        <v>3</v>
      </c>
      <c r="F84" s="40">
        <v>54509</v>
      </c>
      <c r="G84" s="40" t="s">
        <v>39</v>
      </c>
      <c r="H84" s="40" t="s">
        <v>18</v>
      </c>
      <c r="I84" s="42">
        <v>45893</v>
      </c>
      <c r="J84" s="41">
        <f>SUM(TBL_SALES3[[#This Row],[QUANTITY]]*TBL_SALES3[[#This Row],[PRICE_PER_UNIT]])</f>
        <v>163527</v>
      </c>
      <c r="K84" s="40">
        <f>SUMIF(TBL_SALES3[BRAND_NAME],TBL_SALES3[[#This Row],[BRAND_NAME]],TBL_SALES3[SALES_AMOUNT])</f>
        <v>2863185</v>
      </c>
      <c r="M84" s="52" t="str">
        <f>PROPER(TBL_SALES3[CITY])</f>
        <v>Coimbatore</v>
      </c>
      <c r="O84" s="67">
        <f t="shared" si="10"/>
        <v>10</v>
      </c>
      <c r="Q84" s="76" t="str">
        <f t="shared" si="7"/>
        <v>ACER</v>
      </c>
      <c r="R84" s="79"/>
      <c r="S84" s="77" t="str">
        <f t="shared" si="8"/>
        <v>aspire 5</v>
      </c>
      <c r="T84" s="79"/>
      <c r="U84" s="78" t="str">
        <f t="shared" si="9"/>
        <v>Coimbatore</v>
      </c>
      <c r="V84" s="88" t="str">
        <f t="shared" si="11"/>
        <v>ACE 5COI</v>
      </c>
    </row>
    <row r="85" spans="1:23" ht="15.75" x14ac:dyDescent="0.25">
      <c r="A85" s="40" t="s">
        <v>126</v>
      </c>
      <c r="B85" s="40" t="s">
        <v>10</v>
      </c>
      <c r="C85" s="40" t="s">
        <v>47</v>
      </c>
      <c r="D85" s="40" t="s">
        <v>72</v>
      </c>
      <c r="E85" s="40">
        <v>4</v>
      </c>
      <c r="F85" s="40">
        <v>79393</v>
      </c>
      <c r="G85" s="40" t="s">
        <v>50</v>
      </c>
      <c r="H85" s="40" t="s">
        <v>36</v>
      </c>
      <c r="I85" s="42">
        <v>45574</v>
      </c>
      <c r="J85" s="41">
        <f>SUM(TBL_SALES3[[#This Row],[QUANTITY]]*TBL_SALES3[[#This Row],[PRICE_PER_UNIT]])</f>
        <v>317572</v>
      </c>
      <c r="K85" s="40">
        <f>SUMIF(TBL_SALES3[BRAND_NAME],TBL_SALES3[[#This Row],[BRAND_NAME]],TBL_SALES3[SALES_AMOUNT])</f>
        <v>2863185</v>
      </c>
      <c r="M85" s="52" t="str">
        <f>PROPER(TBL_SALES3[CITY])</f>
        <v>Bangalore</v>
      </c>
      <c r="O85" s="67">
        <f>LEN(M85)</f>
        <v>9</v>
      </c>
      <c r="Q85" s="76" t="str">
        <f t="shared" si="7"/>
        <v>LENOVO</v>
      </c>
      <c r="R85" s="79"/>
      <c r="S85" s="77" t="str">
        <f t="shared" si="8"/>
        <v>ideapad slim 5</v>
      </c>
      <c r="T85" s="79"/>
      <c r="U85" s="78" t="str">
        <f t="shared" si="9"/>
        <v>Bangalore</v>
      </c>
      <c r="V85" s="88" t="str">
        <f t="shared" si="11"/>
        <v>LEN 5BAN</v>
      </c>
    </row>
    <row r="86" spans="1:23" ht="15.75" x14ac:dyDescent="0.25">
      <c r="A86" s="40" t="s">
        <v>127</v>
      </c>
      <c r="B86" s="40" t="s">
        <v>10</v>
      </c>
      <c r="C86" s="40" t="s">
        <v>23</v>
      </c>
      <c r="D86" s="40" t="s">
        <v>58</v>
      </c>
      <c r="E86" s="40">
        <v>4</v>
      </c>
      <c r="F86" s="40">
        <v>81670</v>
      </c>
      <c r="G86" s="40" t="s">
        <v>35</v>
      </c>
      <c r="H86" s="40" t="s">
        <v>36</v>
      </c>
      <c r="I86" s="42">
        <v>45844</v>
      </c>
      <c r="J86" s="41">
        <f>SUM(TBL_SALES3[[#This Row],[QUANTITY]]*TBL_SALES3[[#This Row],[PRICE_PER_UNIT]])</f>
        <v>326680</v>
      </c>
      <c r="K86" s="40">
        <f>SUMIF(TBL_SALES3[BRAND_NAME],TBL_SALES3[[#This Row],[BRAND_NAME]],TBL_SALES3[SALES_AMOUNT])</f>
        <v>2939163</v>
      </c>
      <c r="M86" s="52" t="str">
        <f>PROPER(TBL_SALES3[CITY])</f>
        <v>Mysore</v>
      </c>
      <c r="O86" s="67">
        <f t="shared" si="10"/>
        <v>6</v>
      </c>
      <c r="Q86" s="76" t="str">
        <f t="shared" si="7"/>
        <v>DELL</v>
      </c>
      <c r="R86" s="79"/>
      <c r="S86" s="77" t="str">
        <f t="shared" si="8"/>
        <v>inspiron 15</v>
      </c>
      <c r="T86" s="79"/>
      <c r="U86" s="78" t="str">
        <f t="shared" si="9"/>
        <v>Mysore</v>
      </c>
      <c r="V86" s="88" t="str">
        <f t="shared" si="11"/>
        <v>DEL15MYS</v>
      </c>
    </row>
    <row r="87" spans="1:23" ht="15.75" x14ac:dyDescent="0.25">
      <c r="A87" s="40" t="s">
        <v>128</v>
      </c>
      <c r="B87" s="40" t="s">
        <v>10</v>
      </c>
      <c r="C87" s="40" t="s">
        <v>11</v>
      </c>
      <c r="D87" s="40" t="s">
        <v>16</v>
      </c>
      <c r="E87" s="40">
        <v>5</v>
      </c>
      <c r="F87" s="40">
        <v>58053</v>
      </c>
      <c r="G87" s="40" t="s">
        <v>33</v>
      </c>
      <c r="H87" s="40" t="s">
        <v>18</v>
      </c>
      <c r="I87" s="42">
        <v>45340</v>
      </c>
      <c r="J87" s="41">
        <f>SUM(TBL_SALES3[[#This Row],[QUANTITY]]*TBL_SALES3[[#This Row],[PRICE_PER_UNIT]])</f>
        <v>290265</v>
      </c>
      <c r="K87" s="40">
        <f>SUMIF(TBL_SALES3[BRAND_NAME],TBL_SALES3[[#This Row],[BRAND_NAME]],TBL_SALES3[SALES_AMOUNT])</f>
        <v>3447703</v>
      </c>
      <c r="M87" s="52" t="str">
        <f>PROPER(TBL_SALES3[CITY])</f>
        <v>Chennai</v>
      </c>
      <c r="O87" s="67">
        <f t="shared" si="10"/>
        <v>7</v>
      </c>
      <c r="Q87" s="76" t="str">
        <f t="shared" si="7"/>
        <v>ASUS</v>
      </c>
      <c r="R87" s="79"/>
      <c r="S87" s="77" t="str">
        <f t="shared" si="8"/>
        <v>vivobook 15</v>
      </c>
      <c r="T87" s="79"/>
      <c r="U87" s="78" t="str">
        <f t="shared" si="9"/>
        <v>Chennai</v>
      </c>
      <c r="V87" s="88" t="str">
        <f t="shared" si="11"/>
        <v>ASU15CHE</v>
      </c>
    </row>
    <row r="88" spans="1:23" ht="15.75" x14ac:dyDescent="0.25">
      <c r="A88" s="40" t="s">
        <v>129</v>
      </c>
      <c r="B88" s="40" t="s">
        <v>10</v>
      </c>
      <c r="C88" s="40" t="s">
        <v>30</v>
      </c>
      <c r="D88" s="40" t="s">
        <v>38</v>
      </c>
      <c r="E88" s="40">
        <v>3</v>
      </c>
      <c r="F88" s="40">
        <v>115336</v>
      </c>
      <c r="G88" s="40" t="s">
        <v>59</v>
      </c>
      <c r="H88" s="40" t="s">
        <v>60</v>
      </c>
      <c r="I88" s="42">
        <v>45699</v>
      </c>
      <c r="J88" s="41">
        <f>SUM(TBL_SALES3[[#This Row],[QUANTITY]]*TBL_SALES3[[#This Row],[PRICE_PER_UNIT]])</f>
        <v>346008</v>
      </c>
      <c r="K88" s="40">
        <f>SUMIF(TBL_SALES3[BRAND_NAME],TBL_SALES3[[#This Row],[BRAND_NAME]],TBL_SALES3[SALES_AMOUNT])</f>
        <v>6392331</v>
      </c>
      <c r="M88" s="52" t="str">
        <f>PROPER(TBL_SALES3[CITY])</f>
        <v>Hyderabad</v>
      </c>
      <c r="O88" s="67">
        <f t="shared" si="10"/>
        <v>9</v>
      </c>
      <c r="Q88" s="76" t="str">
        <f t="shared" si="7"/>
        <v>HP</v>
      </c>
      <c r="R88" s="79"/>
      <c r="S88" s="77" t="str">
        <f t="shared" si="8"/>
        <v>omen 16</v>
      </c>
      <c r="T88" s="79"/>
      <c r="U88" s="78" t="str">
        <f t="shared" si="9"/>
        <v>Hyderabad</v>
      </c>
      <c r="V88" s="88" t="str">
        <f t="shared" si="11"/>
        <v>HP16HYD</v>
      </c>
    </row>
    <row r="89" spans="1:23" ht="15.75" x14ac:dyDescent="0.25">
      <c r="A89" s="40" t="s">
        <v>130</v>
      </c>
      <c r="B89" s="40" t="s">
        <v>10</v>
      </c>
      <c r="C89" s="40" t="s">
        <v>20</v>
      </c>
      <c r="D89" s="40" t="s">
        <v>26</v>
      </c>
      <c r="E89" s="40">
        <v>1</v>
      </c>
      <c r="F89" s="40">
        <v>77223</v>
      </c>
      <c r="G89" s="40" t="s">
        <v>35</v>
      </c>
      <c r="H89" s="40" t="s">
        <v>36</v>
      </c>
      <c r="I89" s="42">
        <v>45864</v>
      </c>
      <c r="J89" s="41">
        <f>SUM(TBL_SALES3[[#This Row],[QUANTITY]]*TBL_SALES3[[#This Row],[PRICE_PER_UNIT]])</f>
        <v>77223</v>
      </c>
      <c r="K89" s="40">
        <f>SUMIF(TBL_SALES3[BRAND_NAME],TBL_SALES3[[#This Row],[BRAND_NAME]],TBL_SALES3[SALES_AMOUNT])</f>
        <v>5071935</v>
      </c>
      <c r="M89" s="52" t="str">
        <f>PROPER(TBL_SALES3[CITY])</f>
        <v>Mysore</v>
      </c>
      <c r="O89" s="67">
        <f t="shared" si="10"/>
        <v>6</v>
      </c>
      <c r="Q89" s="76" t="str">
        <f t="shared" si="7"/>
        <v>DELL</v>
      </c>
      <c r="R89" s="79"/>
      <c r="S89" s="77" t="str">
        <f t="shared" si="8"/>
        <v>inspiron 15</v>
      </c>
      <c r="T89" s="79"/>
      <c r="U89" s="78" t="str">
        <f t="shared" si="9"/>
        <v>Mysore</v>
      </c>
      <c r="V89" s="88" t="str">
        <f t="shared" si="11"/>
        <v>DEL15MYS</v>
      </c>
    </row>
    <row r="90" spans="1:23" ht="16.5" thickBot="1" x14ac:dyDescent="0.3">
      <c r="A90" s="40" t="s">
        <v>131</v>
      </c>
      <c r="B90" s="40" t="s">
        <v>10</v>
      </c>
      <c r="C90" s="40" t="s">
        <v>20</v>
      </c>
      <c r="D90" s="40" t="s">
        <v>21</v>
      </c>
      <c r="E90" s="40">
        <v>1</v>
      </c>
      <c r="F90" s="40">
        <v>61574</v>
      </c>
      <c r="G90" s="40" t="s">
        <v>17</v>
      </c>
      <c r="H90" s="40" t="s">
        <v>18</v>
      </c>
      <c r="I90" s="42">
        <v>45969</v>
      </c>
      <c r="J90" s="41">
        <f>SUM(TBL_SALES3[[#This Row],[QUANTITY]]*TBL_SALES3[[#This Row],[PRICE_PER_UNIT]])</f>
        <v>61574</v>
      </c>
      <c r="K90" s="40">
        <f>SUMIF(TBL_SALES3[BRAND_NAME],TBL_SALES3[[#This Row],[BRAND_NAME]],TBL_SALES3[SALES_AMOUNT])</f>
        <v>5071935</v>
      </c>
      <c r="M90" s="54" t="str">
        <f>PROPER(TBL_SALES3[CITY])</f>
        <v>Madurai</v>
      </c>
      <c r="N90" s="74"/>
      <c r="O90" s="68">
        <f t="shared" si="10"/>
        <v>7</v>
      </c>
      <c r="Q90" s="76" t="str">
        <f t="shared" si="7"/>
        <v>ACER</v>
      </c>
      <c r="R90" s="80"/>
      <c r="S90" s="77" t="str">
        <f t="shared" si="8"/>
        <v>aspire 5</v>
      </c>
      <c r="T90" s="80"/>
      <c r="U90" s="78" t="str">
        <f t="shared" si="9"/>
        <v>Madurai</v>
      </c>
      <c r="V90" s="88" t="str">
        <f t="shared" si="11"/>
        <v>ACE 5MAD</v>
      </c>
    </row>
    <row r="91" spans="1:23" x14ac:dyDescent="0.25">
      <c r="A91" s="40" t="s">
        <v>132</v>
      </c>
      <c r="B91" s="40" t="s">
        <v>10</v>
      </c>
      <c r="C91" s="40" t="s">
        <v>30</v>
      </c>
      <c r="D91" s="40" t="s">
        <v>38</v>
      </c>
      <c r="E91" s="40">
        <v>5</v>
      </c>
      <c r="F91" s="40">
        <v>79624</v>
      </c>
      <c r="G91" s="40" t="s">
        <v>59</v>
      </c>
      <c r="H91" s="40" t="s">
        <v>60</v>
      </c>
      <c r="I91" s="42">
        <v>45894</v>
      </c>
      <c r="J91" s="41">
        <f>SUM(TBL_SALES3[[#This Row],[QUANTITY]]*TBL_SALES3[[#This Row],[PRICE_PER_UNIT]])</f>
        <v>398120</v>
      </c>
      <c r="K91" s="40">
        <f>SUMIF(TBL_SALES3[BRAND_NAME],TBL_SALES3[[#This Row],[BRAND_NAME]],TBL_SALES3[SALES_AMOUNT])</f>
        <v>6392331</v>
      </c>
    </row>
    <row r="92" spans="1:23" x14ac:dyDescent="0.25">
      <c r="A92" s="40" t="s">
        <v>133</v>
      </c>
      <c r="B92" s="40" t="s">
        <v>10</v>
      </c>
      <c r="C92" s="40" t="s">
        <v>23</v>
      </c>
      <c r="D92" s="40" t="s">
        <v>24</v>
      </c>
      <c r="E92" s="40">
        <v>5</v>
      </c>
      <c r="F92" s="40">
        <v>45458</v>
      </c>
      <c r="G92" s="40" t="s">
        <v>17</v>
      </c>
      <c r="H92" s="40" t="s">
        <v>18</v>
      </c>
      <c r="I92" s="42">
        <v>45632</v>
      </c>
      <c r="J92" s="41">
        <f>SUM(TBL_SALES3[[#This Row],[QUANTITY]]*TBL_SALES3[[#This Row],[PRICE_PER_UNIT]])</f>
        <v>227290</v>
      </c>
      <c r="K92" s="40">
        <f>SUMIF(TBL_SALES3[BRAND_NAME],TBL_SALES3[[#This Row],[BRAND_NAME]],TBL_SALES3[SALES_AMOUNT])</f>
        <v>2939163</v>
      </c>
    </row>
    <row r="93" spans="1:23" ht="15.75" thickBot="1" x14ac:dyDescent="0.3">
      <c r="A93" s="40" t="s">
        <v>134</v>
      </c>
      <c r="B93" s="40" t="s">
        <v>10</v>
      </c>
      <c r="C93" s="40" t="s">
        <v>20</v>
      </c>
      <c r="D93" s="40" t="s">
        <v>26</v>
      </c>
      <c r="E93" s="40">
        <v>4</v>
      </c>
      <c r="F93" s="40">
        <v>60349</v>
      </c>
      <c r="G93" s="40" t="s">
        <v>55</v>
      </c>
      <c r="H93" s="40" t="s">
        <v>28</v>
      </c>
      <c r="I93" s="42">
        <v>45253</v>
      </c>
      <c r="J93" s="41">
        <f>SUM(TBL_SALES3[[#This Row],[QUANTITY]]*TBL_SALES3[[#This Row],[PRICE_PER_UNIT]])</f>
        <v>241396</v>
      </c>
      <c r="K93" s="40">
        <f>SUMIF(TBL_SALES3[BRAND_NAME],TBL_SALES3[[#This Row],[BRAND_NAME]],TBL_SALES3[SALES_AMOUNT])</f>
        <v>5071935</v>
      </c>
    </row>
    <row r="94" spans="1:23" x14ac:dyDescent="0.25">
      <c r="A94" s="40" t="s">
        <v>135</v>
      </c>
      <c r="B94" s="40" t="s">
        <v>10</v>
      </c>
      <c r="C94" s="40" t="s">
        <v>47</v>
      </c>
      <c r="D94" s="40" t="s">
        <v>48</v>
      </c>
      <c r="E94" s="40">
        <v>4</v>
      </c>
      <c r="F94" s="40">
        <v>103163</v>
      </c>
      <c r="G94" s="40" t="s">
        <v>27</v>
      </c>
      <c r="H94" s="40" t="s">
        <v>28</v>
      </c>
      <c r="I94" s="42">
        <v>45295</v>
      </c>
      <c r="J94" s="41">
        <f>SUM(TBL_SALES3[[#This Row],[QUANTITY]]*TBL_SALES3[[#This Row],[PRICE_PER_UNIT]])</f>
        <v>412652</v>
      </c>
      <c r="K94" s="40">
        <f>SUMIF(TBL_SALES3[BRAND_NAME],TBL_SALES3[[#This Row],[BRAND_NAME]],TBL_SALES3[SALES_AMOUNT])</f>
        <v>2863185</v>
      </c>
      <c r="M94" s="89" t="s">
        <v>310</v>
      </c>
      <c r="N94" s="90"/>
      <c r="O94" s="91" t="s">
        <v>311</v>
      </c>
      <c r="Q94" s="91" t="s">
        <v>312</v>
      </c>
      <c r="U94" s="96" t="s">
        <v>313</v>
      </c>
      <c r="V94" s="97" t="s">
        <v>314</v>
      </c>
      <c r="W94" s="98" t="s">
        <v>315</v>
      </c>
    </row>
    <row r="95" spans="1:23" x14ac:dyDescent="0.25">
      <c r="A95" s="40" t="s">
        <v>136</v>
      </c>
      <c r="B95" s="40" t="s">
        <v>10</v>
      </c>
      <c r="C95" s="40" t="s">
        <v>30</v>
      </c>
      <c r="D95" s="40" t="s">
        <v>31</v>
      </c>
      <c r="E95" s="40">
        <v>1</v>
      </c>
      <c r="F95" s="40">
        <v>52724</v>
      </c>
      <c r="G95" s="40" t="s">
        <v>17</v>
      </c>
      <c r="H95" s="40" t="s">
        <v>18</v>
      </c>
      <c r="I95" s="42">
        <v>45424</v>
      </c>
      <c r="J95" s="41">
        <f>SUM(TBL_SALES3[[#This Row],[QUANTITY]]*TBL_SALES3[[#This Row],[PRICE_PER_UNIT]])</f>
        <v>52724</v>
      </c>
      <c r="K95" s="40">
        <f>SUMIF(TBL_SALES3[BRAND_NAME],TBL_SALES3[[#This Row],[BRAND_NAME]],TBL_SALES3[SALES_AMOUNT])</f>
        <v>6392331</v>
      </c>
      <c r="M95" s="92">
        <v>45667</v>
      </c>
      <c r="O95" s="94" t="str">
        <f>TEXT(M95,"mm")</f>
        <v>01</v>
      </c>
      <c r="Q95" s="94" t="str">
        <f>TEXT(M95,"YYYY")</f>
        <v>2025</v>
      </c>
      <c r="U95" s="99">
        <v>5</v>
      </c>
      <c r="V95" s="83">
        <v>62011</v>
      </c>
      <c r="W95" s="100" t="str">
        <f>CONCATENATE("Quantity : "&amp;U95 &amp;" "&amp;"||"&amp;"Price_per_Unit : "&amp;V95)</f>
        <v>Quantity : 5 ||Price_per_Unit : 62011</v>
      </c>
    </row>
    <row r="96" spans="1:23" x14ac:dyDescent="0.25">
      <c r="A96" s="40" t="s">
        <v>137</v>
      </c>
      <c r="B96" s="40" t="s">
        <v>10</v>
      </c>
      <c r="C96" s="40" t="s">
        <v>11</v>
      </c>
      <c r="D96" s="40" t="s">
        <v>12</v>
      </c>
      <c r="E96" s="40">
        <v>1</v>
      </c>
      <c r="F96" s="40">
        <v>67281</v>
      </c>
      <c r="G96" s="40" t="s">
        <v>43</v>
      </c>
      <c r="H96" s="40" t="s">
        <v>14</v>
      </c>
      <c r="I96" s="42">
        <v>45901</v>
      </c>
      <c r="J96" s="41">
        <f>SUM(TBL_SALES3[[#This Row],[QUANTITY]]*TBL_SALES3[[#This Row],[PRICE_PER_UNIT]])</f>
        <v>67281</v>
      </c>
      <c r="K96" s="40">
        <f>SUMIF(TBL_SALES3[BRAND_NAME],TBL_SALES3[[#This Row],[BRAND_NAME]],TBL_SALES3[SALES_AMOUNT])</f>
        <v>3447703</v>
      </c>
      <c r="M96" s="92">
        <v>45697</v>
      </c>
      <c r="O96" s="94" t="str">
        <f t="shared" ref="O96:O110" si="12">TEXT(M96,"mm")</f>
        <v>02</v>
      </c>
      <c r="Q96" s="94" t="str">
        <f t="shared" ref="Q96:Q110" si="13">TEXT(M96,"YYYY")</f>
        <v>2025</v>
      </c>
      <c r="U96" s="99">
        <v>3</v>
      </c>
      <c r="V96" s="83">
        <v>98041</v>
      </c>
      <c r="W96" s="100" t="str">
        <f t="shared" ref="W96:W111" si="14">CONCATENATE("Quantity : "&amp;U96 &amp;" "&amp;"||"&amp;"Price_per_Unit : "&amp;V96)</f>
        <v>Quantity : 3 ||Price_per_Unit : 98041</v>
      </c>
    </row>
    <row r="97" spans="1:23" x14ac:dyDescent="0.25">
      <c r="A97" s="40" t="s">
        <v>138</v>
      </c>
      <c r="B97" s="40" t="s">
        <v>10</v>
      </c>
      <c r="C97" s="40" t="s">
        <v>41</v>
      </c>
      <c r="D97" s="40" t="s">
        <v>62</v>
      </c>
      <c r="E97" s="40">
        <v>1</v>
      </c>
      <c r="F97" s="40">
        <v>47082</v>
      </c>
      <c r="G97" s="40" t="s">
        <v>33</v>
      </c>
      <c r="H97" s="40" t="s">
        <v>18</v>
      </c>
      <c r="I97" s="42">
        <v>45522</v>
      </c>
      <c r="J97" s="41">
        <f>SUM(TBL_SALES3[[#This Row],[QUANTITY]]*TBL_SALES3[[#This Row],[PRICE_PER_UNIT]])</f>
        <v>47082</v>
      </c>
      <c r="K97" s="40">
        <f>SUMIF(TBL_SALES3[BRAND_NAME],TBL_SALES3[[#This Row],[BRAND_NAME]],TBL_SALES3[SALES_AMOUNT])</f>
        <v>4627368</v>
      </c>
      <c r="M97" s="92">
        <v>45428</v>
      </c>
      <c r="O97" s="94" t="str">
        <f t="shared" si="12"/>
        <v>05</v>
      </c>
      <c r="Q97" s="94" t="str">
        <f t="shared" si="13"/>
        <v>2024</v>
      </c>
      <c r="U97" s="101">
        <v>1</v>
      </c>
      <c r="V97" s="78">
        <v>88403</v>
      </c>
      <c r="W97" s="100" t="str">
        <f>CONCATENATE("Quantity : "&amp;U97 &amp;" "&amp;"||"&amp;"Price_per_Unit : "&amp;V97)</f>
        <v>Quantity : 1 ||Price_per_Unit : 88403</v>
      </c>
    </row>
    <row r="98" spans="1:23" x14ac:dyDescent="0.25">
      <c r="A98" s="40" t="s">
        <v>139</v>
      </c>
      <c r="B98" s="40" t="s">
        <v>10</v>
      </c>
      <c r="C98" s="40" t="s">
        <v>30</v>
      </c>
      <c r="D98" s="40" t="s">
        <v>31</v>
      </c>
      <c r="E98" s="40">
        <v>4</v>
      </c>
      <c r="F98" s="40">
        <v>115162</v>
      </c>
      <c r="G98" s="40" t="s">
        <v>13</v>
      </c>
      <c r="H98" s="40" t="s">
        <v>14</v>
      </c>
      <c r="I98" s="42">
        <v>45845</v>
      </c>
      <c r="J98" s="41">
        <f>SUM(TBL_SALES3[[#This Row],[QUANTITY]]*TBL_SALES3[[#This Row],[PRICE_PER_UNIT]])</f>
        <v>460648</v>
      </c>
      <c r="K98" s="40">
        <f>SUMIF(TBL_SALES3[BRAND_NAME],TBL_SALES3[[#This Row],[BRAND_NAME]],TBL_SALES3[SALES_AMOUNT])</f>
        <v>6392331</v>
      </c>
      <c r="M98" s="92">
        <v>45302</v>
      </c>
      <c r="O98" s="94" t="str">
        <f t="shared" si="12"/>
        <v>01</v>
      </c>
      <c r="Q98" s="94" t="str">
        <f t="shared" si="13"/>
        <v>2024</v>
      </c>
      <c r="U98" s="101">
        <v>3</v>
      </c>
      <c r="V98" s="78">
        <v>96072</v>
      </c>
      <c r="W98" s="100" t="str">
        <f t="shared" si="14"/>
        <v>Quantity : 3 ||Price_per_Unit : 96072</v>
      </c>
    </row>
    <row r="99" spans="1:23" x14ac:dyDescent="0.25">
      <c r="A99" s="40" t="s">
        <v>140</v>
      </c>
      <c r="B99" s="40" t="s">
        <v>10</v>
      </c>
      <c r="C99" s="40" t="s">
        <v>20</v>
      </c>
      <c r="D99" s="40" t="s">
        <v>21</v>
      </c>
      <c r="E99" s="40">
        <v>5</v>
      </c>
      <c r="F99" s="40">
        <v>62500</v>
      </c>
      <c r="G99" s="40" t="s">
        <v>33</v>
      </c>
      <c r="H99" s="40" t="s">
        <v>18</v>
      </c>
      <c r="I99" s="42">
        <v>45504</v>
      </c>
      <c r="J99" s="41">
        <f>SUM(TBL_SALES3[[#This Row],[QUANTITY]]*TBL_SALES3[[#This Row],[PRICE_PER_UNIT]])</f>
        <v>312500</v>
      </c>
      <c r="K99" s="40">
        <f>SUMIF(TBL_SALES3[BRAND_NAME],TBL_SALES3[[#This Row],[BRAND_NAME]],TBL_SALES3[SALES_AMOUNT])</f>
        <v>5071935</v>
      </c>
      <c r="M99" s="92">
        <v>45781</v>
      </c>
      <c r="O99" s="94" t="str">
        <f t="shared" si="12"/>
        <v>05</v>
      </c>
      <c r="Q99" s="94" t="str">
        <f t="shared" si="13"/>
        <v>2025</v>
      </c>
      <c r="U99" s="101">
        <v>2</v>
      </c>
      <c r="V99" s="78">
        <v>100311</v>
      </c>
      <c r="W99" s="100" t="str">
        <f t="shared" si="14"/>
        <v>Quantity : 2 ||Price_per_Unit : 100311</v>
      </c>
    </row>
    <row r="100" spans="1:23" x14ac:dyDescent="0.25">
      <c r="A100" s="40" t="s">
        <v>141</v>
      </c>
      <c r="B100" s="40" t="s">
        <v>10</v>
      </c>
      <c r="C100" s="40" t="s">
        <v>30</v>
      </c>
      <c r="D100" s="40" t="s">
        <v>38</v>
      </c>
      <c r="E100" s="40">
        <v>1</v>
      </c>
      <c r="F100" s="40">
        <v>114507</v>
      </c>
      <c r="G100" s="40" t="s">
        <v>27</v>
      </c>
      <c r="H100" s="40" t="s">
        <v>28</v>
      </c>
      <c r="I100" s="42">
        <v>45384</v>
      </c>
      <c r="J100" s="41">
        <f>SUM(TBL_SALES3[[#This Row],[QUANTITY]]*TBL_SALES3[[#This Row],[PRICE_PER_UNIT]])</f>
        <v>114507</v>
      </c>
      <c r="K100" s="40">
        <f>SUMIF(TBL_SALES3[BRAND_NAME],TBL_SALES3[[#This Row],[BRAND_NAME]],TBL_SALES3[SALES_AMOUNT])</f>
        <v>6392331</v>
      </c>
      <c r="M100" s="92">
        <v>45655</v>
      </c>
      <c r="O100" s="94" t="str">
        <f t="shared" si="12"/>
        <v>12</v>
      </c>
      <c r="Q100" s="94" t="str">
        <f t="shared" si="13"/>
        <v>2024</v>
      </c>
      <c r="U100" s="101">
        <v>4</v>
      </c>
      <c r="V100" s="78">
        <v>87672</v>
      </c>
      <c r="W100" s="100" t="str">
        <f t="shared" si="14"/>
        <v>Quantity : 4 ||Price_per_Unit : 87672</v>
      </c>
    </row>
    <row r="101" spans="1:23" x14ac:dyDescent="0.25">
      <c r="A101" s="40" t="s">
        <v>142</v>
      </c>
      <c r="B101" s="40" t="s">
        <v>10</v>
      </c>
      <c r="C101" s="40" t="s">
        <v>47</v>
      </c>
      <c r="D101" s="40" t="s">
        <v>72</v>
      </c>
      <c r="E101" s="40">
        <v>1</v>
      </c>
      <c r="F101" s="40">
        <v>105811</v>
      </c>
      <c r="G101" s="40" t="s">
        <v>39</v>
      </c>
      <c r="H101" s="40" t="s">
        <v>18</v>
      </c>
      <c r="I101" s="42">
        <v>45459</v>
      </c>
      <c r="J101" s="41">
        <f>SUM(TBL_SALES3[[#This Row],[QUANTITY]]*TBL_SALES3[[#This Row],[PRICE_PER_UNIT]])</f>
        <v>105811</v>
      </c>
      <c r="K101" s="40">
        <f>SUMIF(TBL_SALES3[BRAND_NAME],TBL_SALES3[[#This Row],[BRAND_NAME]],TBL_SALES3[SALES_AMOUNT])</f>
        <v>2863185</v>
      </c>
      <c r="M101" s="92">
        <v>45306</v>
      </c>
      <c r="O101" s="94" t="str">
        <f t="shared" si="12"/>
        <v>01</v>
      </c>
      <c r="Q101" s="94" t="str">
        <f t="shared" si="13"/>
        <v>2024</v>
      </c>
      <c r="U101" s="101">
        <v>4</v>
      </c>
      <c r="V101" s="78">
        <v>84444</v>
      </c>
      <c r="W101" s="100" t="str">
        <f t="shared" si="14"/>
        <v>Quantity : 4 ||Price_per_Unit : 84444</v>
      </c>
    </row>
    <row r="102" spans="1:23" x14ac:dyDescent="0.25">
      <c r="A102" s="40" t="s">
        <v>143</v>
      </c>
      <c r="B102" s="40" t="s">
        <v>144</v>
      </c>
      <c r="C102" s="40" t="s">
        <v>145</v>
      </c>
      <c r="D102" s="40" t="s">
        <v>146</v>
      </c>
      <c r="E102" s="40">
        <v>1</v>
      </c>
      <c r="F102" s="40">
        <v>15624</v>
      </c>
      <c r="G102" s="40" t="s">
        <v>39</v>
      </c>
      <c r="H102" s="40" t="s">
        <v>60</v>
      </c>
      <c r="I102" s="42">
        <v>45734</v>
      </c>
      <c r="J102" s="41">
        <f>SUM(TBL_SALES3[[#This Row],[QUANTITY]]*TBL_SALES3[[#This Row],[PRICE_PER_UNIT]])</f>
        <v>15624</v>
      </c>
      <c r="K102" s="40">
        <f>SUMIF(TBL_SALES3[BRAND_NAME],TBL_SALES3[[#This Row],[BRAND_NAME]],TBL_SALES3[SALES_AMOUNT])</f>
        <v>872059</v>
      </c>
      <c r="M102" s="92">
        <v>45926</v>
      </c>
      <c r="O102" s="94" t="str">
        <f t="shared" si="12"/>
        <v>09</v>
      </c>
      <c r="Q102" s="94" t="str">
        <f t="shared" si="13"/>
        <v>2025</v>
      </c>
      <c r="U102" s="101">
        <v>4</v>
      </c>
      <c r="V102" s="78">
        <v>96499</v>
      </c>
      <c r="W102" s="100" t="str">
        <f t="shared" si="14"/>
        <v>Quantity : 4 ||Price_per_Unit : 96499</v>
      </c>
    </row>
    <row r="103" spans="1:23" x14ac:dyDescent="0.25">
      <c r="A103" s="40" t="s">
        <v>147</v>
      </c>
      <c r="B103" s="40" t="s">
        <v>144</v>
      </c>
      <c r="C103" s="40" t="s">
        <v>148</v>
      </c>
      <c r="D103" s="40" t="s">
        <v>149</v>
      </c>
      <c r="E103" s="40">
        <v>2</v>
      </c>
      <c r="F103" s="40">
        <v>66123</v>
      </c>
      <c r="G103" s="40" t="s">
        <v>33</v>
      </c>
      <c r="H103" s="40" t="s">
        <v>18</v>
      </c>
      <c r="I103" s="42">
        <v>45744</v>
      </c>
      <c r="J103" s="41">
        <f>SUM(TBL_SALES3[[#This Row],[QUANTITY]]*TBL_SALES3[[#This Row],[PRICE_PER_UNIT]])</f>
        <v>132246</v>
      </c>
      <c r="K103" s="40">
        <f>SUMIF(TBL_SALES3[BRAND_NAME],TBL_SALES3[[#This Row],[BRAND_NAME]],TBL_SALES3[SALES_AMOUNT])</f>
        <v>926044</v>
      </c>
      <c r="M103" s="92">
        <v>45482</v>
      </c>
      <c r="O103" s="94" t="str">
        <f>TEXT(M103,"mm")</f>
        <v>07</v>
      </c>
      <c r="Q103" s="94" t="str">
        <f t="shared" si="13"/>
        <v>2024</v>
      </c>
      <c r="U103" s="101">
        <v>5</v>
      </c>
      <c r="V103" s="78">
        <v>91084</v>
      </c>
      <c r="W103" s="100" t="str">
        <f t="shared" si="14"/>
        <v>Quantity : 5 ||Price_per_Unit : 91084</v>
      </c>
    </row>
    <row r="104" spans="1:23" x14ac:dyDescent="0.25">
      <c r="A104" s="40" t="s">
        <v>150</v>
      </c>
      <c r="B104" s="40" t="s">
        <v>144</v>
      </c>
      <c r="C104" s="40" t="s">
        <v>151</v>
      </c>
      <c r="D104" s="40" t="s">
        <v>152</v>
      </c>
      <c r="E104" s="40">
        <v>4</v>
      </c>
      <c r="F104" s="40">
        <v>26124</v>
      </c>
      <c r="G104" s="40" t="s">
        <v>43</v>
      </c>
      <c r="H104" s="40" t="s">
        <v>60</v>
      </c>
      <c r="I104" s="42">
        <v>45926</v>
      </c>
      <c r="J104" s="41">
        <f>SUM(TBL_SALES3[[#This Row],[QUANTITY]]*TBL_SALES3[[#This Row],[PRICE_PER_UNIT]])</f>
        <v>104496</v>
      </c>
      <c r="K104" s="40">
        <f>SUMIF(TBL_SALES3[BRAND_NAME],TBL_SALES3[[#This Row],[BRAND_NAME]],TBL_SALES3[SALES_AMOUNT])</f>
        <v>1033916</v>
      </c>
      <c r="M104" s="92">
        <v>45881</v>
      </c>
      <c r="O104" s="94" t="str">
        <f t="shared" si="12"/>
        <v>08</v>
      </c>
      <c r="Q104" s="94" t="str">
        <f t="shared" si="13"/>
        <v>2025</v>
      </c>
      <c r="U104" s="101">
        <v>5</v>
      </c>
      <c r="V104" s="78">
        <v>100663</v>
      </c>
      <c r="W104" s="100" t="str">
        <f t="shared" si="14"/>
        <v>Quantity : 5 ||Price_per_Unit : 100663</v>
      </c>
    </row>
    <row r="105" spans="1:23" x14ac:dyDescent="0.25">
      <c r="A105" s="40" t="s">
        <v>153</v>
      </c>
      <c r="B105" s="40" t="s">
        <v>144</v>
      </c>
      <c r="C105" s="40" t="s">
        <v>154</v>
      </c>
      <c r="D105" s="40" t="s">
        <v>155</v>
      </c>
      <c r="E105" s="40">
        <v>5</v>
      </c>
      <c r="F105" s="40">
        <v>57429</v>
      </c>
      <c r="G105" s="40" t="s">
        <v>33</v>
      </c>
      <c r="H105" s="40" t="s">
        <v>14</v>
      </c>
      <c r="I105" s="42">
        <v>45787</v>
      </c>
      <c r="J105" s="41">
        <f>SUM(TBL_SALES3[[#This Row],[QUANTITY]]*TBL_SALES3[[#This Row],[PRICE_PER_UNIT]])</f>
        <v>287145</v>
      </c>
      <c r="K105" s="40">
        <f>SUMIF(TBL_SALES3[BRAND_NAME],TBL_SALES3[[#This Row],[BRAND_NAME]],TBL_SALES3[SALES_AMOUNT])</f>
        <v>788607</v>
      </c>
      <c r="M105" s="92">
        <v>45834</v>
      </c>
      <c r="O105" s="94" t="str">
        <f t="shared" si="12"/>
        <v>06</v>
      </c>
      <c r="Q105" s="94" t="str">
        <f t="shared" si="13"/>
        <v>2025</v>
      </c>
      <c r="U105" s="101">
        <v>5</v>
      </c>
      <c r="V105" s="78">
        <v>116551</v>
      </c>
      <c r="W105" s="100" t="str">
        <f t="shared" si="14"/>
        <v>Quantity : 5 ||Price_per_Unit : 116551</v>
      </c>
    </row>
    <row r="106" spans="1:23" x14ac:dyDescent="0.25">
      <c r="A106" s="40" t="s">
        <v>156</v>
      </c>
      <c r="B106" s="40" t="s">
        <v>144</v>
      </c>
      <c r="C106" s="40" t="s">
        <v>157</v>
      </c>
      <c r="D106" s="40" t="s">
        <v>158</v>
      </c>
      <c r="E106" s="40">
        <v>2</v>
      </c>
      <c r="F106" s="40">
        <v>89091</v>
      </c>
      <c r="G106" s="40" t="s">
        <v>43</v>
      </c>
      <c r="H106" s="40" t="s">
        <v>36</v>
      </c>
      <c r="I106" s="42">
        <v>45734</v>
      </c>
      <c r="J106" s="41">
        <f>SUM(TBL_SALES3[[#This Row],[QUANTITY]]*TBL_SALES3[[#This Row],[PRICE_PER_UNIT]])</f>
        <v>178182</v>
      </c>
      <c r="K106" s="40">
        <f>SUMIF(TBL_SALES3[BRAND_NAME],TBL_SALES3[[#This Row],[BRAND_NAME]],TBL_SALES3[SALES_AMOUNT])</f>
        <v>461421</v>
      </c>
      <c r="M106" s="92">
        <v>45285</v>
      </c>
      <c r="O106" s="94" t="str">
        <f t="shared" si="12"/>
        <v>12</v>
      </c>
      <c r="Q106" s="94" t="str">
        <f t="shared" si="13"/>
        <v>2023</v>
      </c>
      <c r="U106" s="101">
        <v>5</v>
      </c>
      <c r="V106" s="78">
        <v>62573</v>
      </c>
      <c r="W106" s="100" t="str">
        <f t="shared" si="14"/>
        <v>Quantity : 5 ||Price_per_Unit : 62573</v>
      </c>
    </row>
    <row r="107" spans="1:23" x14ac:dyDescent="0.25">
      <c r="A107" s="40" t="s">
        <v>159</v>
      </c>
      <c r="B107" s="40" t="s">
        <v>144</v>
      </c>
      <c r="C107" s="40" t="s">
        <v>154</v>
      </c>
      <c r="D107" s="40" t="s">
        <v>155</v>
      </c>
      <c r="E107" s="40">
        <v>4</v>
      </c>
      <c r="F107" s="40">
        <v>30710</v>
      </c>
      <c r="G107" s="40" t="s">
        <v>33</v>
      </c>
      <c r="H107" s="40" t="s">
        <v>18</v>
      </c>
      <c r="I107" s="42">
        <v>45926</v>
      </c>
      <c r="J107" s="41">
        <f>SUM(TBL_SALES3[[#This Row],[QUANTITY]]*TBL_SALES3[[#This Row],[PRICE_PER_UNIT]])</f>
        <v>122840</v>
      </c>
      <c r="K107" s="40">
        <f>SUMIF(TBL_SALES3[BRAND_NAME],TBL_SALES3[[#This Row],[BRAND_NAME]],TBL_SALES3[SALES_AMOUNT])</f>
        <v>788607</v>
      </c>
      <c r="M107" s="92">
        <v>45392</v>
      </c>
      <c r="O107" s="94" t="str">
        <f t="shared" si="12"/>
        <v>04</v>
      </c>
      <c r="Q107" s="94" t="str">
        <f t="shared" si="13"/>
        <v>2024</v>
      </c>
      <c r="U107" s="101">
        <v>2</v>
      </c>
      <c r="V107" s="78">
        <v>85445</v>
      </c>
      <c r="W107" s="100" t="str">
        <f t="shared" si="14"/>
        <v>Quantity : 2 ||Price_per_Unit : 85445</v>
      </c>
    </row>
    <row r="108" spans="1:23" x14ac:dyDescent="0.25">
      <c r="A108" s="40" t="s">
        <v>160</v>
      </c>
      <c r="B108" s="40" t="s">
        <v>144</v>
      </c>
      <c r="C108" s="40" t="s">
        <v>161</v>
      </c>
      <c r="D108" s="40" t="s">
        <v>162</v>
      </c>
      <c r="E108" s="40">
        <v>2</v>
      </c>
      <c r="F108" s="40">
        <v>45254</v>
      </c>
      <c r="G108" s="40" t="s">
        <v>17</v>
      </c>
      <c r="H108" s="40" t="s">
        <v>14</v>
      </c>
      <c r="I108" s="42">
        <v>45667</v>
      </c>
      <c r="J108" s="41">
        <f>SUM(TBL_SALES3[[#This Row],[QUANTITY]]*TBL_SALES3[[#This Row],[PRICE_PER_UNIT]])</f>
        <v>90508</v>
      </c>
      <c r="K108" s="40">
        <f>SUMIF(TBL_SALES3[BRAND_NAME],TBL_SALES3[[#This Row],[BRAND_NAME]],TBL_SALES3[SALES_AMOUNT])</f>
        <v>696807</v>
      </c>
      <c r="M108" s="92">
        <v>45421</v>
      </c>
      <c r="O108" s="94" t="str">
        <f t="shared" si="12"/>
        <v>05</v>
      </c>
      <c r="Q108" s="94" t="str">
        <f t="shared" si="13"/>
        <v>2024</v>
      </c>
      <c r="U108" s="101">
        <v>5</v>
      </c>
      <c r="V108" s="78">
        <v>67954</v>
      </c>
      <c r="W108" s="100" t="str">
        <f t="shared" si="14"/>
        <v>Quantity : 5 ||Price_per_Unit : 67954</v>
      </c>
    </row>
    <row r="109" spans="1:23" x14ac:dyDescent="0.25">
      <c r="A109" s="40" t="s">
        <v>163</v>
      </c>
      <c r="B109" s="40" t="s">
        <v>144</v>
      </c>
      <c r="C109" s="40" t="s">
        <v>151</v>
      </c>
      <c r="D109" s="40" t="s">
        <v>152</v>
      </c>
      <c r="E109" s="40">
        <v>3</v>
      </c>
      <c r="F109" s="40">
        <v>41447</v>
      </c>
      <c r="G109" s="40" t="s">
        <v>43</v>
      </c>
      <c r="H109" s="40" t="s">
        <v>60</v>
      </c>
      <c r="I109" s="42">
        <v>45928</v>
      </c>
      <c r="J109" s="41">
        <f>SUM(TBL_SALES3[[#This Row],[QUANTITY]]*TBL_SALES3[[#This Row],[PRICE_PER_UNIT]])</f>
        <v>124341</v>
      </c>
      <c r="K109" s="40">
        <f>SUMIF(TBL_SALES3[BRAND_NAME],TBL_SALES3[[#This Row],[BRAND_NAME]],TBL_SALES3[SALES_AMOUNT])</f>
        <v>1033916</v>
      </c>
      <c r="M109" s="92">
        <v>45893</v>
      </c>
      <c r="O109" s="94" t="str">
        <f t="shared" si="12"/>
        <v>08</v>
      </c>
      <c r="Q109" s="94" t="str">
        <f t="shared" si="13"/>
        <v>2025</v>
      </c>
      <c r="U109" s="101">
        <v>2</v>
      </c>
      <c r="V109" s="78">
        <v>72979</v>
      </c>
      <c r="W109" s="100" t="str">
        <f t="shared" si="14"/>
        <v>Quantity : 2 ||Price_per_Unit : 72979</v>
      </c>
    </row>
    <row r="110" spans="1:23" ht="15.75" thickBot="1" x14ac:dyDescent="0.3">
      <c r="A110" s="40" t="s">
        <v>164</v>
      </c>
      <c r="B110" s="40" t="s">
        <v>144</v>
      </c>
      <c r="C110" s="40" t="s">
        <v>161</v>
      </c>
      <c r="D110" s="40" t="s">
        <v>162</v>
      </c>
      <c r="E110" s="40">
        <v>2</v>
      </c>
      <c r="F110" s="40">
        <v>50220</v>
      </c>
      <c r="G110" s="40" t="s">
        <v>43</v>
      </c>
      <c r="H110" s="40" t="s">
        <v>14</v>
      </c>
      <c r="I110" s="42">
        <v>45924</v>
      </c>
      <c r="J110" s="41">
        <f>SUM(TBL_SALES3[[#This Row],[QUANTITY]]*TBL_SALES3[[#This Row],[PRICE_PER_UNIT]])</f>
        <v>100440</v>
      </c>
      <c r="K110" s="40">
        <f>SUMIF(TBL_SALES3[BRAND_NAME],TBL_SALES3[[#This Row],[BRAND_NAME]],TBL_SALES3[SALES_AMOUNT])</f>
        <v>696807</v>
      </c>
      <c r="M110" s="93">
        <v>45479</v>
      </c>
      <c r="N110" s="74"/>
      <c r="O110" s="94" t="str">
        <f t="shared" si="12"/>
        <v>07</v>
      </c>
      <c r="Q110" s="94" t="str">
        <f t="shared" si="13"/>
        <v>2024</v>
      </c>
      <c r="U110" s="101">
        <v>4</v>
      </c>
      <c r="V110" s="78">
        <v>95618</v>
      </c>
      <c r="W110" s="100" t="str">
        <f t="shared" si="14"/>
        <v>Quantity : 4 ||Price_per_Unit : 95618</v>
      </c>
    </row>
    <row r="111" spans="1:23" ht="15.75" thickBot="1" x14ac:dyDescent="0.3">
      <c r="A111" s="40" t="s">
        <v>165</v>
      </c>
      <c r="B111" s="40" t="s">
        <v>144</v>
      </c>
      <c r="C111" s="40" t="s">
        <v>145</v>
      </c>
      <c r="D111" s="40" t="s">
        <v>146</v>
      </c>
      <c r="E111" s="40">
        <v>5</v>
      </c>
      <c r="F111" s="40">
        <v>56642</v>
      </c>
      <c r="G111" s="40" t="s">
        <v>50</v>
      </c>
      <c r="H111" s="40" t="s">
        <v>18</v>
      </c>
      <c r="I111" s="42">
        <v>45957</v>
      </c>
      <c r="J111" s="41">
        <f>SUM(TBL_SALES3[[#This Row],[QUANTITY]]*TBL_SALES3[[#This Row],[PRICE_PER_UNIT]])</f>
        <v>283210</v>
      </c>
      <c r="K111" s="40">
        <f>SUMIF(TBL_SALES3[BRAND_NAME],TBL_SALES3[[#This Row],[BRAND_NAME]],TBL_SALES3[SALES_AMOUNT])</f>
        <v>872059</v>
      </c>
      <c r="M111" s="42"/>
      <c r="U111" s="102">
        <v>1</v>
      </c>
      <c r="V111" s="103">
        <v>73160</v>
      </c>
      <c r="W111" s="104" t="str">
        <f t="shared" si="14"/>
        <v>Quantity : 1 ||Price_per_Unit : 73160</v>
      </c>
    </row>
    <row r="112" spans="1:23" ht="15.75" thickBot="1" x14ac:dyDescent="0.3">
      <c r="A112" s="40" t="s">
        <v>166</v>
      </c>
      <c r="B112" s="40" t="s">
        <v>144</v>
      </c>
      <c r="C112" s="40" t="s">
        <v>167</v>
      </c>
      <c r="D112" s="40" t="s">
        <v>168</v>
      </c>
      <c r="E112" s="40">
        <v>2</v>
      </c>
      <c r="F112" s="40">
        <v>47995</v>
      </c>
      <c r="G112" s="40" t="s">
        <v>43</v>
      </c>
      <c r="H112" s="40" t="s">
        <v>36</v>
      </c>
      <c r="I112" s="42">
        <v>45944</v>
      </c>
      <c r="J112" s="41">
        <f>SUM(TBL_SALES3[[#This Row],[QUANTITY]]*TBL_SALES3[[#This Row],[PRICE_PER_UNIT]])</f>
        <v>95990</v>
      </c>
      <c r="K112" s="40">
        <f>SUMIF(TBL_SALES3[BRAND_NAME],TBL_SALES3[[#This Row],[BRAND_NAME]],TBL_SALES3[SALES_AMOUNT])</f>
        <v>663890</v>
      </c>
      <c r="M112" s="42"/>
    </row>
    <row r="113" spans="1:27" x14ac:dyDescent="0.25">
      <c r="A113" s="40" t="s">
        <v>169</v>
      </c>
      <c r="B113" s="40" t="s">
        <v>144</v>
      </c>
      <c r="C113" s="40" t="s">
        <v>145</v>
      </c>
      <c r="D113" s="40" t="s">
        <v>146</v>
      </c>
      <c r="E113" s="40">
        <v>2</v>
      </c>
      <c r="F113" s="40">
        <v>41980</v>
      </c>
      <c r="G113" s="40" t="s">
        <v>59</v>
      </c>
      <c r="H113" s="40" t="s">
        <v>14</v>
      </c>
      <c r="I113" s="42">
        <v>45912</v>
      </c>
      <c r="J113" s="41">
        <f>SUM(TBL_SALES3[[#This Row],[QUANTITY]]*TBL_SALES3[[#This Row],[PRICE_PER_UNIT]])</f>
        <v>83960</v>
      </c>
      <c r="K113" s="40">
        <f>SUMIF(TBL_SALES3[BRAND_NAME],TBL_SALES3[[#This Row],[BRAND_NAME]],TBL_SALES3[SALES_AMOUNT])</f>
        <v>872059</v>
      </c>
      <c r="M113" s="106" t="s">
        <v>278</v>
      </c>
      <c r="N113" s="107"/>
      <c r="O113" s="108" t="s">
        <v>317</v>
      </c>
      <c r="Q113" s="110" t="s">
        <v>318</v>
      </c>
      <c r="Z113" s="119" t="s">
        <v>321</v>
      </c>
      <c r="AA113" s="119" t="s">
        <v>322</v>
      </c>
    </row>
    <row r="114" spans="1:27" x14ac:dyDescent="0.25">
      <c r="A114" s="40" t="s">
        <v>170</v>
      </c>
      <c r="B114" s="40" t="s">
        <v>144</v>
      </c>
      <c r="C114" s="40" t="s">
        <v>171</v>
      </c>
      <c r="D114" s="40" t="s">
        <v>172</v>
      </c>
      <c r="E114" s="40">
        <v>4</v>
      </c>
      <c r="F114" s="40">
        <v>77679</v>
      </c>
      <c r="G114" s="40" t="s">
        <v>43</v>
      </c>
      <c r="H114" s="40" t="s">
        <v>60</v>
      </c>
      <c r="I114" s="42">
        <v>45959</v>
      </c>
      <c r="J114" s="41">
        <f>SUM(TBL_SALES3[[#This Row],[QUANTITY]]*TBL_SALES3[[#This Row],[PRICE_PER_UNIT]])</f>
        <v>310716</v>
      </c>
      <c r="K114" s="40">
        <f>SUMIF(TBL_SALES3[BRAND_NAME],TBL_SALES3[[#This Row],[BRAND_NAME]],TBL_SALES3[SALES_AMOUNT])</f>
        <v>883221</v>
      </c>
      <c r="M114" s="52" t="str">
        <f t="shared" ref="M114:M129" si="15">S4</f>
        <v>HP</v>
      </c>
      <c r="O114" s="53" t="str">
        <f>PROPER(M114)</f>
        <v>Hp</v>
      </c>
      <c r="Q114" s="109" t="str">
        <f>_xlfn.TEXTJOIN("_",TRUE,"Laptop",M114,S75)</f>
        <v>Laptop_HP_omen 16</v>
      </c>
      <c r="Z114" s="118" t="s">
        <v>147</v>
      </c>
      <c r="AA114" s="118" t="str">
        <f>LEFT(RIGHT(Z114,LEN(Z114)-1),LEN(Z114)-2)</f>
        <v>110</v>
      </c>
    </row>
    <row r="115" spans="1:27" x14ac:dyDescent="0.25">
      <c r="A115" s="40" t="s">
        <v>173</v>
      </c>
      <c r="B115" s="40" t="s">
        <v>144</v>
      </c>
      <c r="C115" s="40" t="s">
        <v>167</v>
      </c>
      <c r="D115" s="40" t="s">
        <v>168</v>
      </c>
      <c r="E115" s="40">
        <v>3</v>
      </c>
      <c r="F115" s="40">
        <v>15212</v>
      </c>
      <c r="G115" s="40" t="s">
        <v>17</v>
      </c>
      <c r="H115" s="40" t="s">
        <v>14</v>
      </c>
      <c r="I115" s="42">
        <v>45863</v>
      </c>
      <c r="J115" s="41">
        <f>SUM(TBL_SALES3[[#This Row],[QUANTITY]]*TBL_SALES3[[#This Row],[PRICE_PER_UNIT]])</f>
        <v>45636</v>
      </c>
      <c r="K115" s="40">
        <f>SUMIF(TBL_SALES3[BRAND_NAME],TBL_SALES3[[#This Row],[BRAND_NAME]],TBL_SALES3[SALES_AMOUNT])</f>
        <v>663890</v>
      </c>
      <c r="M115" s="52" t="str">
        <f t="shared" si="15"/>
        <v>DELL</v>
      </c>
      <c r="O115" s="53" t="str">
        <f t="shared" ref="O115:O129" si="16">PROPER(M115)</f>
        <v>Dell</v>
      </c>
      <c r="Q115" s="109" t="str">
        <f t="shared" ref="Q115:Q129" si="17">_xlfn.TEXTJOIN("_",TRUE,"Laptop",M115,S76)</f>
        <v>Laptop_DELL_inspiron 15</v>
      </c>
      <c r="Z115" s="118" t="s">
        <v>150</v>
      </c>
      <c r="AA115" s="118" t="str">
        <f>LEFT(RIGHT(Z115,LEN(Z115)-1),LEN(Z115)-2)</f>
        <v>110</v>
      </c>
    </row>
    <row r="116" spans="1:27" x14ac:dyDescent="0.25">
      <c r="A116" s="40" t="s">
        <v>174</v>
      </c>
      <c r="B116" s="40" t="s">
        <v>144</v>
      </c>
      <c r="C116" s="40" t="s">
        <v>145</v>
      </c>
      <c r="D116" s="40" t="s">
        <v>146</v>
      </c>
      <c r="E116" s="40">
        <v>4</v>
      </c>
      <c r="F116" s="40">
        <v>23594</v>
      </c>
      <c r="G116" s="40" t="s">
        <v>33</v>
      </c>
      <c r="H116" s="40" t="s">
        <v>18</v>
      </c>
      <c r="I116" s="42">
        <v>45721</v>
      </c>
      <c r="J116" s="41">
        <f>SUM(TBL_SALES3[[#This Row],[QUANTITY]]*TBL_SALES3[[#This Row],[PRICE_PER_UNIT]])</f>
        <v>94376</v>
      </c>
      <c r="K116" s="40">
        <f>SUMIF(TBL_SALES3[BRAND_NAME],TBL_SALES3[[#This Row],[BRAND_NAME]],TBL_SALES3[SALES_AMOUNT])</f>
        <v>872059</v>
      </c>
      <c r="M116" s="52" t="str">
        <f t="shared" si="15"/>
        <v>HP</v>
      </c>
      <c r="O116" s="53" t="str">
        <f t="shared" si="16"/>
        <v>Hp</v>
      </c>
      <c r="Q116" s="109" t="str">
        <f>_xlfn.TEXTJOIN("_",TRUE,"Laptop",M116,S77)</f>
        <v>Laptop_HP_pavilion 14</v>
      </c>
      <c r="Z116" s="118" t="s">
        <v>153</v>
      </c>
      <c r="AA116" s="118" t="str">
        <f t="shared" ref="AA116:AA117" si="18">LEFT(RIGHT(Z116,LEN(Z116)-1),LEN(Z116)-2)</f>
        <v>110</v>
      </c>
    </row>
    <row r="117" spans="1:27" x14ac:dyDescent="0.25">
      <c r="A117" s="40" t="s">
        <v>175</v>
      </c>
      <c r="B117" s="40" t="s">
        <v>144</v>
      </c>
      <c r="C117" s="40" t="s">
        <v>148</v>
      </c>
      <c r="D117" s="40" t="s">
        <v>149</v>
      </c>
      <c r="E117" s="40">
        <v>2</v>
      </c>
      <c r="F117" s="40">
        <v>39135</v>
      </c>
      <c r="G117" s="40" t="s">
        <v>17</v>
      </c>
      <c r="H117" s="40" t="s">
        <v>36</v>
      </c>
      <c r="I117" s="42">
        <v>45630</v>
      </c>
      <c r="J117" s="41">
        <f>SUM(TBL_SALES3[[#This Row],[QUANTITY]]*TBL_SALES3[[#This Row],[PRICE_PER_UNIT]])</f>
        <v>78270</v>
      </c>
      <c r="K117" s="40">
        <f>SUMIF(TBL_SALES3[BRAND_NAME],TBL_SALES3[[#This Row],[BRAND_NAME]],TBL_SALES3[SALES_AMOUNT])</f>
        <v>926044</v>
      </c>
      <c r="M117" s="52" t="str">
        <f t="shared" si="15"/>
        <v>ASUS</v>
      </c>
      <c r="O117" s="53" t="str">
        <f t="shared" si="16"/>
        <v>Asus</v>
      </c>
      <c r="Q117" s="109" t="str">
        <f t="shared" si="17"/>
        <v>Laptop_ASUS_vivobook 15</v>
      </c>
      <c r="Z117" s="118" t="s">
        <v>156</v>
      </c>
      <c r="AA117" s="118" t="str">
        <f t="shared" si="18"/>
        <v>110</v>
      </c>
    </row>
    <row r="118" spans="1:27" x14ac:dyDescent="0.25">
      <c r="A118" s="40" t="s">
        <v>176</v>
      </c>
      <c r="B118" s="40" t="s">
        <v>144</v>
      </c>
      <c r="C118" s="40" t="s">
        <v>161</v>
      </c>
      <c r="D118" s="40" t="s">
        <v>162</v>
      </c>
      <c r="E118" s="40">
        <v>1</v>
      </c>
      <c r="F118" s="40">
        <v>78139</v>
      </c>
      <c r="G118" s="40" t="s">
        <v>50</v>
      </c>
      <c r="H118" s="40" t="s">
        <v>14</v>
      </c>
      <c r="I118" s="42">
        <v>45923</v>
      </c>
      <c r="J118" s="41">
        <f>SUM(TBL_SALES3[[#This Row],[QUANTITY]]*TBL_SALES3[[#This Row],[PRICE_PER_UNIT]])</f>
        <v>78139</v>
      </c>
      <c r="K118" s="40">
        <f>SUMIF(TBL_SALES3[BRAND_NAME],TBL_SALES3[[#This Row],[BRAND_NAME]],TBL_SALES3[SALES_AMOUNT])</f>
        <v>696807</v>
      </c>
      <c r="M118" s="52" t="str">
        <f t="shared" si="15"/>
        <v>HP</v>
      </c>
      <c r="O118" s="53" t="str">
        <f t="shared" si="16"/>
        <v>Hp</v>
      </c>
      <c r="Q118" s="109" t="str">
        <f t="shared" si="17"/>
        <v>Laptop_HP_pavilion 14</v>
      </c>
    </row>
    <row r="119" spans="1:27" x14ac:dyDescent="0.25">
      <c r="A119" s="40" t="s">
        <v>177</v>
      </c>
      <c r="B119" s="40" t="s">
        <v>144</v>
      </c>
      <c r="C119" s="40" t="s">
        <v>154</v>
      </c>
      <c r="D119" s="40" t="s">
        <v>155</v>
      </c>
      <c r="E119" s="40">
        <v>4</v>
      </c>
      <c r="F119" s="40">
        <v>22816</v>
      </c>
      <c r="G119" s="40" t="s">
        <v>39</v>
      </c>
      <c r="H119" s="40" t="s">
        <v>14</v>
      </c>
      <c r="I119" s="42">
        <v>45655</v>
      </c>
      <c r="J119" s="41">
        <f>SUM(TBL_SALES3[[#This Row],[QUANTITY]]*TBL_SALES3[[#This Row],[PRICE_PER_UNIT]])</f>
        <v>91264</v>
      </c>
      <c r="K119" s="40">
        <f>SUMIF(TBL_SALES3[BRAND_NAME],TBL_SALES3[[#This Row],[BRAND_NAME]],TBL_SALES3[SALES_AMOUNT])</f>
        <v>788607</v>
      </c>
      <c r="M119" s="52" t="str">
        <f t="shared" si="15"/>
        <v>HP</v>
      </c>
      <c r="O119" s="53" t="str">
        <f t="shared" si="16"/>
        <v>Hp</v>
      </c>
      <c r="Q119" s="109" t="str">
        <f t="shared" si="17"/>
        <v>Laptop_HP_pavilion 14</v>
      </c>
    </row>
    <row r="120" spans="1:27" x14ac:dyDescent="0.25">
      <c r="A120" s="40" t="s">
        <v>178</v>
      </c>
      <c r="B120" s="40" t="s">
        <v>144</v>
      </c>
      <c r="C120" s="40" t="s">
        <v>161</v>
      </c>
      <c r="D120" s="40" t="s">
        <v>162</v>
      </c>
      <c r="E120" s="40">
        <v>3</v>
      </c>
      <c r="F120" s="40">
        <v>61792</v>
      </c>
      <c r="G120" s="40" t="s">
        <v>59</v>
      </c>
      <c r="H120" s="40" t="s">
        <v>18</v>
      </c>
      <c r="I120" s="42">
        <v>45951</v>
      </c>
      <c r="J120" s="41">
        <f>SUM(TBL_SALES3[[#This Row],[QUANTITY]]*TBL_SALES3[[#This Row],[PRICE_PER_UNIT]])</f>
        <v>185376</v>
      </c>
      <c r="K120" s="40">
        <f>SUMIF(TBL_SALES3[BRAND_NAME],TBL_SALES3[[#This Row],[BRAND_NAME]],TBL_SALES3[SALES_AMOUNT])</f>
        <v>696807</v>
      </c>
      <c r="M120" s="52" t="str">
        <f t="shared" si="15"/>
        <v>ASUS</v>
      </c>
      <c r="O120" s="53" t="str">
        <f t="shared" si="16"/>
        <v>Asus</v>
      </c>
      <c r="Q120" s="109" t="str">
        <f t="shared" si="17"/>
        <v>Laptop_ASUS_rog zephyrus</v>
      </c>
    </row>
    <row r="121" spans="1:27" x14ac:dyDescent="0.25">
      <c r="A121" s="40" t="s">
        <v>179</v>
      </c>
      <c r="B121" s="40" t="s">
        <v>144</v>
      </c>
      <c r="C121" s="40" t="s">
        <v>171</v>
      </c>
      <c r="D121" s="40" t="s">
        <v>172</v>
      </c>
      <c r="E121" s="40">
        <v>1</v>
      </c>
      <c r="F121" s="40">
        <v>57884</v>
      </c>
      <c r="G121" s="40" t="s">
        <v>17</v>
      </c>
      <c r="H121" s="40" t="s">
        <v>36</v>
      </c>
      <c r="I121" s="42">
        <v>45915</v>
      </c>
      <c r="J121" s="41">
        <f>SUM(TBL_SALES3[[#This Row],[QUANTITY]]*TBL_SALES3[[#This Row],[PRICE_PER_UNIT]])</f>
        <v>57884</v>
      </c>
      <c r="K121" s="40">
        <f>SUMIF(TBL_SALES3[BRAND_NAME],TBL_SALES3[[#This Row],[BRAND_NAME]],TBL_SALES3[SALES_AMOUNT])</f>
        <v>883221</v>
      </c>
      <c r="M121" s="52" t="str">
        <f t="shared" si="15"/>
        <v>MSI</v>
      </c>
      <c r="O121" s="53" t="str">
        <f t="shared" si="16"/>
        <v>Msi</v>
      </c>
      <c r="Q121" s="109" t="str">
        <f t="shared" si="17"/>
        <v>Laptop_MSI_modern 14</v>
      </c>
    </row>
    <row r="122" spans="1:27" x14ac:dyDescent="0.25">
      <c r="A122" s="40" t="s">
        <v>180</v>
      </c>
      <c r="B122" s="40" t="s">
        <v>144</v>
      </c>
      <c r="C122" s="40" t="s">
        <v>181</v>
      </c>
      <c r="D122" s="40" t="s">
        <v>182</v>
      </c>
      <c r="E122" s="40">
        <v>2</v>
      </c>
      <c r="F122" s="40">
        <v>82795</v>
      </c>
      <c r="G122" s="40" t="s">
        <v>50</v>
      </c>
      <c r="H122" s="40" t="s">
        <v>60</v>
      </c>
      <c r="I122" s="42">
        <v>45876</v>
      </c>
      <c r="J122" s="41">
        <f>SUM(TBL_SALES3[[#This Row],[QUANTITY]]*TBL_SALES3[[#This Row],[PRICE_PER_UNIT]])</f>
        <v>165590</v>
      </c>
      <c r="K122" s="40">
        <f>SUMIF(TBL_SALES3[BRAND_NAME],TBL_SALES3[[#This Row],[BRAND_NAME]],TBL_SALES3[SALES_AMOUNT])</f>
        <v>588378</v>
      </c>
      <c r="M122" s="52" t="str">
        <f t="shared" si="15"/>
        <v>HP</v>
      </c>
      <c r="O122" s="53" t="str">
        <f t="shared" si="16"/>
        <v>Hp</v>
      </c>
      <c r="Q122" s="109" t="str">
        <f t="shared" si="17"/>
        <v>Laptop_HP_omen 16</v>
      </c>
    </row>
    <row r="123" spans="1:27" x14ac:dyDescent="0.25">
      <c r="A123" s="40" t="s">
        <v>183</v>
      </c>
      <c r="B123" s="40" t="s">
        <v>144</v>
      </c>
      <c r="C123" s="40" t="s">
        <v>154</v>
      </c>
      <c r="D123" s="40" t="s">
        <v>155</v>
      </c>
      <c r="E123" s="40">
        <v>5</v>
      </c>
      <c r="F123" s="40">
        <v>33402</v>
      </c>
      <c r="G123" s="40" t="s">
        <v>43</v>
      </c>
      <c r="H123" s="40" t="s">
        <v>60</v>
      </c>
      <c r="I123" s="42">
        <v>45619</v>
      </c>
      <c r="J123" s="41">
        <f>SUM(TBL_SALES3[[#This Row],[QUANTITY]]*TBL_SALES3[[#This Row],[PRICE_PER_UNIT]])</f>
        <v>167010</v>
      </c>
      <c r="K123" s="40">
        <f>SUMIF(TBL_SALES3[BRAND_NAME],TBL_SALES3[[#This Row],[BRAND_NAME]],TBL_SALES3[SALES_AMOUNT])</f>
        <v>788607</v>
      </c>
      <c r="M123" s="52" t="str">
        <f t="shared" si="15"/>
        <v>ACER</v>
      </c>
      <c r="O123" s="53" t="str">
        <f t="shared" si="16"/>
        <v>Acer</v>
      </c>
      <c r="Q123" s="109" t="str">
        <f t="shared" si="17"/>
        <v>Laptop_ACER_aspire 5</v>
      </c>
    </row>
    <row r="124" spans="1:27" x14ac:dyDescent="0.25">
      <c r="A124" s="40" t="s">
        <v>184</v>
      </c>
      <c r="B124" s="40" t="s">
        <v>144</v>
      </c>
      <c r="C124" s="40" t="s">
        <v>181</v>
      </c>
      <c r="D124" s="40" t="s">
        <v>182</v>
      </c>
      <c r="E124" s="40">
        <v>4</v>
      </c>
      <c r="F124" s="40">
        <v>25166</v>
      </c>
      <c r="G124" s="40" t="s">
        <v>33</v>
      </c>
      <c r="H124" s="40" t="s">
        <v>14</v>
      </c>
      <c r="I124" s="42">
        <v>45619</v>
      </c>
      <c r="J124" s="41">
        <f>SUM(TBL_SALES3[[#This Row],[QUANTITY]]*TBL_SALES3[[#This Row],[PRICE_PER_UNIT]])</f>
        <v>100664</v>
      </c>
      <c r="K124" s="40">
        <f>SUMIF(TBL_SALES3[BRAND_NAME],TBL_SALES3[[#This Row],[BRAND_NAME]],TBL_SALES3[SALES_AMOUNT])</f>
        <v>588378</v>
      </c>
      <c r="M124" s="52" t="str">
        <f t="shared" si="15"/>
        <v>LENOVO</v>
      </c>
      <c r="O124" s="53" t="str">
        <f t="shared" si="16"/>
        <v>Lenovo</v>
      </c>
      <c r="Q124" s="109" t="str">
        <f t="shared" si="17"/>
        <v>Laptop_LENOVO_ideapad slim 5</v>
      </c>
    </row>
    <row r="125" spans="1:27" x14ac:dyDescent="0.25">
      <c r="A125" s="40" t="s">
        <v>185</v>
      </c>
      <c r="B125" s="40" t="s">
        <v>144</v>
      </c>
      <c r="C125" s="40" t="s">
        <v>171</v>
      </c>
      <c r="D125" s="40" t="s">
        <v>172</v>
      </c>
      <c r="E125" s="40">
        <v>5</v>
      </c>
      <c r="F125" s="40">
        <v>13403</v>
      </c>
      <c r="G125" s="40" t="s">
        <v>50</v>
      </c>
      <c r="H125" s="40" t="s">
        <v>14</v>
      </c>
      <c r="I125" s="42">
        <v>45622</v>
      </c>
      <c r="J125" s="41">
        <f>SUM(TBL_SALES3[[#This Row],[QUANTITY]]*TBL_SALES3[[#This Row],[PRICE_PER_UNIT]])</f>
        <v>67015</v>
      </c>
      <c r="K125" s="40">
        <f>SUMIF(TBL_SALES3[BRAND_NAME],TBL_SALES3[[#This Row],[BRAND_NAME]],TBL_SALES3[SALES_AMOUNT])</f>
        <v>883221</v>
      </c>
      <c r="M125" s="52" t="str">
        <f t="shared" si="15"/>
        <v>DELL</v>
      </c>
      <c r="O125" s="53" t="str">
        <f t="shared" si="16"/>
        <v>Dell</v>
      </c>
      <c r="Q125" s="109" t="str">
        <f t="shared" si="17"/>
        <v>Laptop_DELL_inspiron 15</v>
      </c>
    </row>
    <row r="126" spans="1:27" x14ac:dyDescent="0.25">
      <c r="A126" s="40" t="s">
        <v>186</v>
      </c>
      <c r="B126" s="40" t="s">
        <v>144</v>
      </c>
      <c r="C126" s="40" t="s">
        <v>171</v>
      </c>
      <c r="D126" s="40" t="s">
        <v>172</v>
      </c>
      <c r="E126" s="40">
        <v>3</v>
      </c>
      <c r="F126" s="40">
        <v>80420</v>
      </c>
      <c r="G126" s="40" t="s">
        <v>50</v>
      </c>
      <c r="H126" s="40" t="s">
        <v>36</v>
      </c>
      <c r="I126" s="42">
        <v>45922</v>
      </c>
      <c r="J126" s="41">
        <f>SUM(TBL_SALES3[[#This Row],[QUANTITY]]*TBL_SALES3[[#This Row],[PRICE_PER_UNIT]])</f>
        <v>241260</v>
      </c>
      <c r="K126" s="40">
        <f>SUMIF(TBL_SALES3[BRAND_NAME],TBL_SALES3[[#This Row],[BRAND_NAME]],TBL_SALES3[SALES_AMOUNT])</f>
        <v>883221</v>
      </c>
      <c r="M126" s="52" t="str">
        <f t="shared" si="15"/>
        <v>ASUS</v>
      </c>
      <c r="O126" s="53" t="str">
        <f t="shared" si="16"/>
        <v>Asus</v>
      </c>
      <c r="Q126" s="109" t="str">
        <f t="shared" si="17"/>
        <v>Laptop_ASUS_vivobook 15</v>
      </c>
    </row>
    <row r="127" spans="1:27" x14ac:dyDescent="0.25">
      <c r="A127" s="40" t="s">
        <v>187</v>
      </c>
      <c r="B127" s="40" t="s">
        <v>144</v>
      </c>
      <c r="C127" s="40" t="s">
        <v>151</v>
      </c>
      <c r="D127" s="40" t="s">
        <v>152</v>
      </c>
      <c r="E127" s="40">
        <v>1</v>
      </c>
      <c r="F127" s="40">
        <v>42564</v>
      </c>
      <c r="G127" s="40" t="s">
        <v>33</v>
      </c>
      <c r="H127" s="40" t="s">
        <v>60</v>
      </c>
      <c r="I127" s="42">
        <v>45649</v>
      </c>
      <c r="J127" s="41">
        <f>SUM(TBL_SALES3[[#This Row],[QUANTITY]]*TBL_SALES3[[#This Row],[PRICE_PER_UNIT]])</f>
        <v>42564</v>
      </c>
      <c r="K127" s="40">
        <f>SUMIF(TBL_SALES3[BRAND_NAME],TBL_SALES3[[#This Row],[BRAND_NAME]],TBL_SALES3[SALES_AMOUNT])</f>
        <v>1033916</v>
      </c>
      <c r="M127" s="52" t="str">
        <f t="shared" si="15"/>
        <v>HP</v>
      </c>
      <c r="O127" s="53" t="str">
        <f t="shared" si="16"/>
        <v>Hp</v>
      </c>
      <c r="Q127" s="109" t="str">
        <f t="shared" si="17"/>
        <v>Laptop_HP_omen 16</v>
      </c>
    </row>
    <row r="128" spans="1:27" x14ac:dyDescent="0.25">
      <c r="A128" s="40" t="s">
        <v>188</v>
      </c>
      <c r="B128" s="40" t="s">
        <v>144</v>
      </c>
      <c r="C128" s="40" t="s">
        <v>189</v>
      </c>
      <c r="D128" s="40" t="s">
        <v>190</v>
      </c>
      <c r="E128" s="40">
        <v>4</v>
      </c>
      <c r="F128" s="40">
        <v>61702</v>
      </c>
      <c r="G128" s="40" t="s">
        <v>33</v>
      </c>
      <c r="H128" s="40" t="s">
        <v>60</v>
      </c>
      <c r="I128" s="42">
        <v>45633</v>
      </c>
      <c r="J128" s="41">
        <f>SUM(TBL_SALES3[[#This Row],[QUANTITY]]*TBL_SALES3[[#This Row],[PRICE_PER_UNIT]])</f>
        <v>246808</v>
      </c>
      <c r="K128" s="40">
        <f>SUMIF(TBL_SALES3[BRAND_NAME],TBL_SALES3[[#This Row],[BRAND_NAME]],TBL_SALES3[SALES_AMOUNT])</f>
        <v>849338</v>
      </c>
      <c r="M128" s="52" t="str">
        <f t="shared" si="15"/>
        <v>DELL</v>
      </c>
      <c r="O128" s="53" t="str">
        <f>PROPER(M128)</f>
        <v>Dell</v>
      </c>
      <c r="Q128" s="109" t="str">
        <f t="shared" si="17"/>
        <v>Laptop_DELL_inspiron 15</v>
      </c>
    </row>
    <row r="129" spans="1:17" ht="15.75" thickBot="1" x14ac:dyDescent="0.3">
      <c r="A129" s="40" t="s">
        <v>191</v>
      </c>
      <c r="B129" s="40" t="s">
        <v>144</v>
      </c>
      <c r="C129" s="40" t="s">
        <v>151</v>
      </c>
      <c r="D129" s="40" t="s">
        <v>152</v>
      </c>
      <c r="E129" s="40">
        <v>3</v>
      </c>
      <c r="F129" s="40">
        <v>87888</v>
      </c>
      <c r="G129" s="40" t="s">
        <v>59</v>
      </c>
      <c r="H129" s="40" t="s">
        <v>18</v>
      </c>
      <c r="I129" s="42">
        <v>45937</v>
      </c>
      <c r="J129" s="41">
        <f>SUM(TBL_SALES3[[#This Row],[QUANTITY]]*TBL_SALES3[[#This Row],[PRICE_PER_UNIT]])</f>
        <v>263664</v>
      </c>
      <c r="K129" s="40">
        <f>SUMIF(TBL_SALES3[BRAND_NAME],TBL_SALES3[[#This Row],[BRAND_NAME]],TBL_SALES3[SALES_AMOUNT])</f>
        <v>1033916</v>
      </c>
      <c r="M129" s="54" t="str">
        <f t="shared" si="15"/>
        <v>ACER</v>
      </c>
      <c r="N129" s="74"/>
      <c r="O129" s="55" t="str">
        <f t="shared" si="16"/>
        <v>Acer</v>
      </c>
      <c r="Q129" s="109" t="str">
        <f t="shared" si="17"/>
        <v>Laptop_ACER_aspire 5</v>
      </c>
    </row>
    <row r="130" spans="1:17" x14ac:dyDescent="0.25">
      <c r="A130" s="40" t="s">
        <v>192</v>
      </c>
      <c r="B130" s="40" t="s">
        <v>144</v>
      </c>
      <c r="C130" s="40" t="s">
        <v>157</v>
      </c>
      <c r="D130" s="40" t="s">
        <v>158</v>
      </c>
      <c r="E130" s="40">
        <v>2</v>
      </c>
      <c r="F130" s="40">
        <v>43797</v>
      </c>
      <c r="G130" s="40" t="s">
        <v>17</v>
      </c>
      <c r="H130" s="40" t="s">
        <v>36</v>
      </c>
      <c r="I130" s="42">
        <v>45647</v>
      </c>
      <c r="J130" s="41">
        <f>SUM(TBL_SALES3[[#This Row],[QUANTITY]]*TBL_SALES3[[#This Row],[PRICE_PER_UNIT]])</f>
        <v>87594</v>
      </c>
      <c r="K130" s="40">
        <f>SUMIF(TBL_SALES3[BRAND_NAME],TBL_SALES3[[#This Row],[BRAND_NAME]],TBL_SALES3[SALES_AMOUNT])</f>
        <v>461421</v>
      </c>
    </row>
    <row r="131" spans="1:17" ht="15.75" thickBot="1" x14ac:dyDescent="0.3">
      <c r="A131" s="40" t="s">
        <v>193</v>
      </c>
      <c r="B131" s="40" t="s">
        <v>144</v>
      </c>
      <c r="C131" s="40" t="s">
        <v>171</v>
      </c>
      <c r="D131" s="40" t="s">
        <v>172</v>
      </c>
      <c r="E131" s="40">
        <v>3</v>
      </c>
      <c r="F131" s="40">
        <v>68782</v>
      </c>
      <c r="G131" s="40" t="s">
        <v>33</v>
      </c>
      <c r="H131" s="40" t="s">
        <v>36</v>
      </c>
      <c r="I131" s="42">
        <v>45924</v>
      </c>
      <c r="J131" s="41">
        <f>SUM(TBL_SALES3[[#This Row],[QUANTITY]]*TBL_SALES3[[#This Row],[PRICE_PER_UNIT]])</f>
        <v>206346</v>
      </c>
      <c r="K131" s="40">
        <f>SUMIF(TBL_SALES3[BRAND_NAME],TBL_SALES3[[#This Row],[BRAND_NAME]],TBL_SALES3[SALES_AMOUNT])</f>
        <v>883221</v>
      </c>
    </row>
    <row r="132" spans="1:17" x14ac:dyDescent="0.25">
      <c r="A132" s="40" t="s">
        <v>194</v>
      </c>
      <c r="B132" s="40" t="s">
        <v>144</v>
      </c>
      <c r="C132" s="40" t="s">
        <v>189</v>
      </c>
      <c r="D132" s="40" t="s">
        <v>190</v>
      </c>
      <c r="E132" s="40">
        <v>5</v>
      </c>
      <c r="F132" s="40">
        <v>53967</v>
      </c>
      <c r="G132" s="40" t="s">
        <v>43</v>
      </c>
      <c r="H132" s="40" t="s">
        <v>14</v>
      </c>
      <c r="I132" s="42">
        <v>45735</v>
      </c>
      <c r="J132" s="41">
        <f>SUM(TBL_SALES3[[#This Row],[QUANTITY]]*TBL_SALES3[[#This Row],[PRICE_PER_UNIT]])</f>
        <v>269835</v>
      </c>
      <c r="K132" s="40">
        <f>SUMIF(TBL_SALES3[BRAND_NAME],TBL_SALES3[[#This Row],[BRAND_NAME]],TBL_SALES3[SALES_AMOUNT])</f>
        <v>849338</v>
      </c>
      <c r="M132" s="106" t="s">
        <v>319</v>
      </c>
      <c r="N132" s="112"/>
      <c r="O132" s="113" t="s">
        <v>320</v>
      </c>
    </row>
    <row r="133" spans="1:17" x14ac:dyDescent="0.25">
      <c r="A133" s="40" t="s">
        <v>195</v>
      </c>
      <c r="B133" s="40" t="s">
        <v>144</v>
      </c>
      <c r="C133" s="40" t="s">
        <v>151</v>
      </c>
      <c r="D133" s="40" t="s">
        <v>152</v>
      </c>
      <c r="E133" s="40">
        <v>4</v>
      </c>
      <c r="F133" s="40">
        <v>87933</v>
      </c>
      <c r="G133" s="40" t="s">
        <v>50</v>
      </c>
      <c r="H133" s="40" t="s">
        <v>36</v>
      </c>
      <c r="I133" s="42">
        <v>45683</v>
      </c>
      <c r="J133" s="41">
        <f>SUM(TBL_SALES3[[#This Row],[QUANTITY]]*TBL_SALES3[[#This Row],[PRICE_PER_UNIT]])</f>
        <v>351732</v>
      </c>
      <c r="K133" s="40">
        <f>SUMIF(TBL_SALES3[BRAND_NAME],TBL_SALES3[[#This Row],[BRAND_NAME]],TBL_SALES3[SALES_AMOUNT])</f>
        <v>1033916</v>
      </c>
      <c r="M133" s="52" t="str">
        <f t="shared" ref="M133:M151" si="19">D3</f>
        <v>Aspire 5</v>
      </c>
      <c r="O133" s="114" t="str">
        <f>SUBSTITUTE(M133,"Omen","OMEN-Series")</f>
        <v>Aspire 5</v>
      </c>
    </row>
    <row r="134" spans="1:17" x14ac:dyDescent="0.25">
      <c r="A134" s="40" t="s">
        <v>196</v>
      </c>
      <c r="B134" s="40" t="s">
        <v>144</v>
      </c>
      <c r="C134" s="40" t="s">
        <v>167</v>
      </c>
      <c r="D134" s="40" t="s">
        <v>168</v>
      </c>
      <c r="E134" s="40">
        <v>2</v>
      </c>
      <c r="F134" s="40">
        <v>47277</v>
      </c>
      <c r="G134" s="40" t="s">
        <v>59</v>
      </c>
      <c r="H134" s="40" t="s">
        <v>36</v>
      </c>
      <c r="I134" s="42">
        <v>45658</v>
      </c>
      <c r="J134" s="41">
        <f>SUM(TBL_SALES3[[#This Row],[QUANTITY]]*TBL_SALES3[[#This Row],[PRICE_PER_UNIT]])</f>
        <v>94554</v>
      </c>
      <c r="K134" s="40">
        <f>SUMIF(TBL_SALES3[BRAND_NAME],TBL_SALES3[[#This Row],[BRAND_NAME]],TBL_SALES3[SALES_AMOUNT])</f>
        <v>663890</v>
      </c>
      <c r="M134" s="111" t="str">
        <f t="shared" si="19"/>
        <v>Omen 16</v>
      </c>
      <c r="N134" s="115"/>
      <c r="O134" s="116" t="str">
        <f t="shared" ref="O134:O151" si="20">SUBSTITUTE(M134,"Omen","OMEN-Series")</f>
        <v>OMEN-Series 16</v>
      </c>
    </row>
    <row r="135" spans="1:17" x14ac:dyDescent="0.25">
      <c r="A135" s="40" t="s">
        <v>197</v>
      </c>
      <c r="B135" s="40" t="s">
        <v>144</v>
      </c>
      <c r="C135" s="40" t="s">
        <v>181</v>
      </c>
      <c r="D135" s="40" t="s">
        <v>182</v>
      </c>
      <c r="E135" s="40">
        <v>1</v>
      </c>
      <c r="F135" s="40">
        <v>17461</v>
      </c>
      <c r="G135" s="40" t="s">
        <v>17</v>
      </c>
      <c r="H135" s="40" t="s">
        <v>60</v>
      </c>
      <c r="I135" s="42">
        <v>45914</v>
      </c>
      <c r="J135" s="41">
        <f>SUM(TBL_SALES3[[#This Row],[QUANTITY]]*TBL_SALES3[[#This Row],[PRICE_PER_UNIT]])</f>
        <v>17461</v>
      </c>
      <c r="K135" s="40">
        <f>SUMIF(TBL_SALES3[BRAND_NAME],TBL_SALES3[[#This Row],[BRAND_NAME]],TBL_SALES3[SALES_AMOUNT])</f>
        <v>588378</v>
      </c>
      <c r="M135" s="52" t="str">
        <f t="shared" si="19"/>
        <v>Inspiron 15</v>
      </c>
      <c r="O135" s="114" t="str">
        <f t="shared" si="20"/>
        <v>Inspiron 15</v>
      </c>
    </row>
    <row r="136" spans="1:17" x14ac:dyDescent="0.25">
      <c r="A136" s="40" t="s">
        <v>198</v>
      </c>
      <c r="B136" s="40" t="s">
        <v>144</v>
      </c>
      <c r="C136" s="40" t="s">
        <v>145</v>
      </c>
      <c r="D136" s="40" t="s">
        <v>146</v>
      </c>
      <c r="E136" s="40">
        <v>1</v>
      </c>
      <c r="F136" s="40">
        <v>62355</v>
      </c>
      <c r="G136" s="40" t="s">
        <v>43</v>
      </c>
      <c r="H136" s="40" t="s">
        <v>60</v>
      </c>
      <c r="I136" s="42">
        <v>45955</v>
      </c>
      <c r="J136" s="41">
        <f>SUM(TBL_SALES3[[#This Row],[QUANTITY]]*TBL_SALES3[[#This Row],[PRICE_PER_UNIT]])</f>
        <v>62355</v>
      </c>
      <c r="K136" s="40">
        <f>SUMIF(TBL_SALES3[BRAND_NAME],TBL_SALES3[[#This Row],[BRAND_NAME]],TBL_SALES3[SALES_AMOUNT])</f>
        <v>872059</v>
      </c>
      <c r="M136" s="52" t="str">
        <f t="shared" si="19"/>
        <v>Pavilion 14</v>
      </c>
      <c r="O136" s="114" t="str">
        <f t="shared" si="20"/>
        <v>Pavilion 14</v>
      </c>
    </row>
    <row r="137" spans="1:17" x14ac:dyDescent="0.25">
      <c r="A137" s="40" t="s">
        <v>199</v>
      </c>
      <c r="B137" s="40" t="s">
        <v>144</v>
      </c>
      <c r="C137" s="40" t="s">
        <v>148</v>
      </c>
      <c r="D137" s="40" t="s">
        <v>149</v>
      </c>
      <c r="E137" s="40">
        <v>1</v>
      </c>
      <c r="F137" s="40">
        <v>31273</v>
      </c>
      <c r="G137" s="40" t="s">
        <v>43</v>
      </c>
      <c r="H137" s="40" t="s">
        <v>18</v>
      </c>
      <c r="I137" s="42">
        <v>45800</v>
      </c>
      <c r="J137" s="41">
        <f>SUM(TBL_SALES3[[#This Row],[QUANTITY]]*TBL_SALES3[[#This Row],[PRICE_PER_UNIT]])</f>
        <v>31273</v>
      </c>
      <c r="K137" s="40">
        <f>SUMIF(TBL_SALES3[BRAND_NAME],TBL_SALES3[[#This Row],[BRAND_NAME]],TBL_SALES3[SALES_AMOUNT])</f>
        <v>926044</v>
      </c>
      <c r="M137" s="52" t="str">
        <f t="shared" si="19"/>
        <v>Vivobook 15</v>
      </c>
      <c r="O137" s="114" t="str">
        <f t="shared" si="20"/>
        <v>Vivobook 15</v>
      </c>
    </row>
    <row r="138" spans="1:17" x14ac:dyDescent="0.25">
      <c r="A138" s="40" t="s">
        <v>200</v>
      </c>
      <c r="B138" s="40" t="s">
        <v>144</v>
      </c>
      <c r="C138" s="40" t="s">
        <v>157</v>
      </c>
      <c r="D138" s="40" t="s">
        <v>158</v>
      </c>
      <c r="E138" s="40">
        <v>1</v>
      </c>
      <c r="F138" s="40">
        <v>32893</v>
      </c>
      <c r="G138" s="40" t="s">
        <v>50</v>
      </c>
      <c r="H138" s="40" t="s">
        <v>18</v>
      </c>
      <c r="I138" s="42">
        <v>45686</v>
      </c>
      <c r="J138" s="41">
        <f>SUM(TBL_SALES3[[#This Row],[QUANTITY]]*TBL_SALES3[[#This Row],[PRICE_PER_UNIT]])</f>
        <v>32893</v>
      </c>
      <c r="K138" s="40">
        <f>SUMIF(TBL_SALES3[BRAND_NAME],TBL_SALES3[[#This Row],[BRAND_NAME]],TBL_SALES3[SALES_AMOUNT])</f>
        <v>461421</v>
      </c>
      <c r="M138" s="52" t="str">
        <f t="shared" si="19"/>
        <v>Pavilion 14</v>
      </c>
      <c r="O138" s="114" t="str">
        <f t="shared" si="20"/>
        <v>Pavilion 14</v>
      </c>
    </row>
    <row r="139" spans="1:17" x14ac:dyDescent="0.25">
      <c r="A139" s="40" t="s">
        <v>201</v>
      </c>
      <c r="B139" s="40" t="s">
        <v>144</v>
      </c>
      <c r="C139" s="40" t="s">
        <v>145</v>
      </c>
      <c r="D139" s="40" t="s">
        <v>146</v>
      </c>
      <c r="E139" s="40">
        <v>1</v>
      </c>
      <c r="F139" s="40">
        <v>67121</v>
      </c>
      <c r="G139" s="40" t="s">
        <v>59</v>
      </c>
      <c r="H139" s="40" t="s">
        <v>18</v>
      </c>
      <c r="I139" s="42">
        <v>45770</v>
      </c>
      <c r="J139" s="41">
        <f>SUM(TBL_SALES3[[#This Row],[QUANTITY]]*TBL_SALES3[[#This Row],[PRICE_PER_UNIT]])</f>
        <v>67121</v>
      </c>
      <c r="K139" s="40">
        <f>SUMIF(TBL_SALES3[BRAND_NAME],TBL_SALES3[[#This Row],[BRAND_NAME]],TBL_SALES3[SALES_AMOUNT])</f>
        <v>872059</v>
      </c>
      <c r="M139" s="52" t="str">
        <f t="shared" si="19"/>
        <v>Pavilion 14</v>
      </c>
      <c r="O139" s="114" t="str">
        <f t="shared" si="20"/>
        <v>Pavilion 14</v>
      </c>
    </row>
    <row r="140" spans="1:17" x14ac:dyDescent="0.25">
      <c r="A140" s="40" t="s">
        <v>202</v>
      </c>
      <c r="B140" s="40" t="s">
        <v>144</v>
      </c>
      <c r="C140" s="40" t="s">
        <v>189</v>
      </c>
      <c r="D140" s="40" t="s">
        <v>190</v>
      </c>
      <c r="E140" s="40">
        <v>2</v>
      </c>
      <c r="F140" s="40">
        <v>69619</v>
      </c>
      <c r="G140" s="40" t="s">
        <v>43</v>
      </c>
      <c r="H140" s="40" t="s">
        <v>36</v>
      </c>
      <c r="I140" s="42">
        <v>45827</v>
      </c>
      <c r="J140" s="41">
        <f>SUM(TBL_SALES3[[#This Row],[QUANTITY]]*TBL_SALES3[[#This Row],[PRICE_PER_UNIT]])</f>
        <v>139238</v>
      </c>
      <c r="K140" s="40">
        <f>SUMIF(TBL_SALES3[BRAND_NAME],TBL_SALES3[[#This Row],[BRAND_NAME]],TBL_SALES3[SALES_AMOUNT])</f>
        <v>849338</v>
      </c>
      <c r="M140" s="52" t="str">
        <f t="shared" si="19"/>
        <v>ROG Zephyrus</v>
      </c>
      <c r="O140" s="114" t="str">
        <f t="shared" si="20"/>
        <v>ROG Zephyrus</v>
      </c>
    </row>
    <row r="141" spans="1:17" x14ac:dyDescent="0.25">
      <c r="A141" s="40" t="s">
        <v>203</v>
      </c>
      <c r="B141" s="40" t="s">
        <v>144</v>
      </c>
      <c r="C141" s="40" t="s">
        <v>148</v>
      </c>
      <c r="D141" s="40" t="s">
        <v>149</v>
      </c>
      <c r="E141" s="40">
        <v>1</v>
      </c>
      <c r="F141" s="40">
        <v>69307</v>
      </c>
      <c r="G141" s="40" t="s">
        <v>17</v>
      </c>
      <c r="H141" s="40" t="s">
        <v>18</v>
      </c>
      <c r="I141" s="42">
        <v>45706</v>
      </c>
      <c r="J141" s="41">
        <f>SUM(TBL_SALES3[[#This Row],[QUANTITY]]*TBL_SALES3[[#This Row],[PRICE_PER_UNIT]])</f>
        <v>69307</v>
      </c>
      <c r="K141" s="40">
        <f>SUMIF(TBL_SALES3[BRAND_NAME],TBL_SALES3[[#This Row],[BRAND_NAME]],TBL_SALES3[SALES_AMOUNT])</f>
        <v>926044</v>
      </c>
      <c r="M141" s="52" t="str">
        <f t="shared" si="19"/>
        <v>Modern 14</v>
      </c>
      <c r="O141" s="114" t="str">
        <f t="shared" si="20"/>
        <v>Modern 14</v>
      </c>
    </row>
    <row r="142" spans="1:17" x14ac:dyDescent="0.25">
      <c r="A142" s="40" t="s">
        <v>204</v>
      </c>
      <c r="B142" s="40" t="s">
        <v>144</v>
      </c>
      <c r="C142" s="40" t="s">
        <v>145</v>
      </c>
      <c r="D142" s="40" t="s">
        <v>146</v>
      </c>
      <c r="E142" s="40">
        <v>3</v>
      </c>
      <c r="F142" s="40">
        <v>44283</v>
      </c>
      <c r="G142" s="40" t="s">
        <v>33</v>
      </c>
      <c r="H142" s="40" t="s">
        <v>36</v>
      </c>
      <c r="I142" s="42">
        <v>45634</v>
      </c>
      <c r="J142" s="41">
        <f>SUM(TBL_SALES3[[#This Row],[QUANTITY]]*TBL_SALES3[[#This Row],[PRICE_PER_UNIT]])</f>
        <v>132849</v>
      </c>
      <c r="K142" s="40">
        <f>SUMIF(TBL_SALES3[BRAND_NAME],TBL_SALES3[[#This Row],[BRAND_NAME]],TBL_SALES3[SALES_AMOUNT])</f>
        <v>872059</v>
      </c>
      <c r="M142" s="111" t="str">
        <f t="shared" si="19"/>
        <v>Omen 16</v>
      </c>
      <c r="N142" s="115"/>
      <c r="O142" s="116" t="str">
        <f t="shared" si="20"/>
        <v>OMEN-Series 16</v>
      </c>
    </row>
    <row r="143" spans="1:17" x14ac:dyDescent="0.25">
      <c r="A143" s="40" t="s">
        <v>205</v>
      </c>
      <c r="B143" s="40" t="s">
        <v>144</v>
      </c>
      <c r="C143" s="40" t="s">
        <v>151</v>
      </c>
      <c r="D143" s="40" t="s">
        <v>152</v>
      </c>
      <c r="E143" s="40">
        <v>4</v>
      </c>
      <c r="F143" s="40">
        <v>23297</v>
      </c>
      <c r="G143" s="40" t="s">
        <v>33</v>
      </c>
      <c r="H143" s="40" t="s">
        <v>36</v>
      </c>
      <c r="I143" s="42">
        <v>45870</v>
      </c>
      <c r="J143" s="41">
        <f>SUM(TBL_SALES3[[#This Row],[QUANTITY]]*TBL_SALES3[[#This Row],[PRICE_PER_UNIT]])</f>
        <v>93188</v>
      </c>
      <c r="K143" s="40">
        <f>SUMIF(TBL_SALES3[BRAND_NAME],TBL_SALES3[[#This Row],[BRAND_NAME]],TBL_SALES3[SALES_AMOUNT])</f>
        <v>1033916</v>
      </c>
      <c r="M143" s="52" t="str">
        <f t="shared" si="19"/>
        <v>Aspire 5</v>
      </c>
      <c r="O143" s="114" t="str">
        <f t="shared" si="20"/>
        <v>Aspire 5</v>
      </c>
    </row>
    <row r="144" spans="1:17" x14ac:dyDescent="0.25">
      <c r="A144" s="40" t="s">
        <v>206</v>
      </c>
      <c r="B144" s="40" t="s">
        <v>144</v>
      </c>
      <c r="C144" s="40" t="s">
        <v>181</v>
      </c>
      <c r="D144" s="40" t="s">
        <v>182</v>
      </c>
      <c r="E144" s="40">
        <v>5</v>
      </c>
      <c r="F144" s="40">
        <v>26045</v>
      </c>
      <c r="G144" s="40" t="s">
        <v>50</v>
      </c>
      <c r="H144" s="40" t="s">
        <v>36</v>
      </c>
      <c r="I144" s="42">
        <v>45634</v>
      </c>
      <c r="J144" s="41">
        <f>SUM(TBL_SALES3[[#This Row],[QUANTITY]]*TBL_SALES3[[#This Row],[PRICE_PER_UNIT]])</f>
        <v>130225</v>
      </c>
      <c r="K144" s="40">
        <f>SUMIF(TBL_SALES3[BRAND_NAME],TBL_SALES3[[#This Row],[BRAND_NAME]],TBL_SALES3[SALES_AMOUNT])</f>
        <v>588378</v>
      </c>
      <c r="M144" s="52" t="str">
        <f t="shared" si="19"/>
        <v>IdeaPad Slim 5</v>
      </c>
      <c r="O144" s="114" t="str">
        <f t="shared" si="20"/>
        <v>IdeaPad Slim 5</v>
      </c>
    </row>
    <row r="145" spans="1:15" x14ac:dyDescent="0.25">
      <c r="A145" s="40" t="s">
        <v>207</v>
      </c>
      <c r="B145" s="40" t="s">
        <v>144</v>
      </c>
      <c r="C145" s="40" t="s">
        <v>189</v>
      </c>
      <c r="D145" s="40" t="s">
        <v>190</v>
      </c>
      <c r="E145" s="40">
        <v>2</v>
      </c>
      <c r="F145" s="40">
        <v>33125</v>
      </c>
      <c r="G145" s="40" t="s">
        <v>50</v>
      </c>
      <c r="H145" s="40" t="s">
        <v>36</v>
      </c>
      <c r="I145" s="42">
        <v>45671</v>
      </c>
      <c r="J145" s="41">
        <f>SUM(TBL_SALES3[[#This Row],[QUANTITY]]*TBL_SALES3[[#This Row],[PRICE_PER_UNIT]])</f>
        <v>66250</v>
      </c>
      <c r="K145" s="40">
        <f>SUMIF(TBL_SALES3[BRAND_NAME],TBL_SALES3[[#This Row],[BRAND_NAME]],TBL_SALES3[SALES_AMOUNT])</f>
        <v>849338</v>
      </c>
      <c r="M145" s="52" t="str">
        <f t="shared" si="19"/>
        <v>Inspiron 15</v>
      </c>
      <c r="O145" s="114" t="str">
        <f t="shared" si="20"/>
        <v>Inspiron 15</v>
      </c>
    </row>
    <row r="146" spans="1:15" x14ac:dyDescent="0.25">
      <c r="A146" s="40" t="s">
        <v>208</v>
      </c>
      <c r="B146" s="40" t="s">
        <v>144</v>
      </c>
      <c r="C146" s="40" t="s">
        <v>154</v>
      </c>
      <c r="D146" s="40" t="s">
        <v>155</v>
      </c>
      <c r="E146" s="40">
        <v>1</v>
      </c>
      <c r="F146" s="40">
        <v>51361</v>
      </c>
      <c r="G146" s="40" t="s">
        <v>50</v>
      </c>
      <c r="H146" s="40" t="s">
        <v>60</v>
      </c>
      <c r="I146" s="42">
        <v>45825</v>
      </c>
      <c r="J146" s="41">
        <f>SUM(TBL_SALES3[[#This Row],[QUANTITY]]*TBL_SALES3[[#This Row],[PRICE_PER_UNIT]])</f>
        <v>51361</v>
      </c>
      <c r="K146" s="40">
        <f>SUMIF(TBL_SALES3[BRAND_NAME],TBL_SALES3[[#This Row],[BRAND_NAME]],TBL_SALES3[SALES_AMOUNT])</f>
        <v>788607</v>
      </c>
      <c r="M146" s="52" t="str">
        <f t="shared" si="19"/>
        <v>Vivobook 15</v>
      </c>
      <c r="O146" s="114" t="str">
        <f t="shared" si="20"/>
        <v>Vivobook 15</v>
      </c>
    </row>
    <row r="147" spans="1:15" x14ac:dyDescent="0.25">
      <c r="A147" s="40" t="s">
        <v>209</v>
      </c>
      <c r="B147" s="40" t="s">
        <v>144</v>
      </c>
      <c r="C147" s="40" t="s">
        <v>145</v>
      </c>
      <c r="D147" s="40" t="s">
        <v>146</v>
      </c>
      <c r="E147" s="40">
        <v>3</v>
      </c>
      <c r="F147" s="40">
        <v>44188</v>
      </c>
      <c r="G147" s="40" t="s">
        <v>43</v>
      </c>
      <c r="H147" s="40" t="s">
        <v>14</v>
      </c>
      <c r="I147" s="42">
        <v>45765</v>
      </c>
      <c r="J147" s="41">
        <f>SUM(TBL_SALES3[[#This Row],[QUANTITY]]*TBL_SALES3[[#This Row],[PRICE_PER_UNIT]])</f>
        <v>132564</v>
      </c>
      <c r="K147" s="40">
        <f>SUMIF(TBL_SALES3[BRAND_NAME],TBL_SALES3[[#This Row],[BRAND_NAME]],TBL_SALES3[SALES_AMOUNT])</f>
        <v>872059</v>
      </c>
      <c r="M147" s="111" t="str">
        <f t="shared" si="19"/>
        <v>Omen 16</v>
      </c>
      <c r="N147" s="115"/>
      <c r="O147" s="116" t="str">
        <f t="shared" si="20"/>
        <v>OMEN-Series 16</v>
      </c>
    </row>
    <row r="148" spans="1:15" ht="15.75" thickBot="1" x14ac:dyDescent="0.3">
      <c r="A148" s="40" t="s">
        <v>210</v>
      </c>
      <c r="B148" s="40" t="s">
        <v>144</v>
      </c>
      <c r="C148" s="40" t="s">
        <v>151</v>
      </c>
      <c r="D148" s="40" t="s">
        <v>152</v>
      </c>
      <c r="E148" s="40">
        <v>1</v>
      </c>
      <c r="F148" s="40">
        <v>26059</v>
      </c>
      <c r="G148" s="40" t="s">
        <v>17</v>
      </c>
      <c r="H148" s="40" t="s">
        <v>14</v>
      </c>
      <c r="I148" s="42">
        <v>45631</v>
      </c>
      <c r="J148" s="41">
        <f>SUM(TBL_SALES3[[#This Row],[QUANTITY]]*TBL_SALES3[[#This Row],[PRICE_PER_UNIT]])</f>
        <v>26059</v>
      </c>
      <c r="K148" s="40">
        <f>SUMIF(TBL_SALES3[BRAND_NAME],TBL_SALES3[[#This Row],[BRAND_NAME]],TBL_SALES3[SALES_AMOUNT])</f>
        <v>1033916</v>
      </c>
      <c r="M148" s="54" t="str">
        <f t="shared" si="19"/>
        <v>Inspiron 15</v>
      </c>
      <c r="O148" s="114" t="str">
        <f t="shared" si="20"/>
        <v>Inspiron 15</v>
      </c>
    </row>
    <row r="149" spans="1:15" ht="15.75" thickBot="1" x14ac:dyDescent="0.3">
      <c r="A149" s="40" t="s">
        <v>211</v>
      </c>
      <c r="B149" s="40" t="s">
        <v>144</v>
      </c>
      <c r="C149" s="40" t="s">
        <v>157</v>
      </c>
      <c r="D149" s="40" t="s">
        <v>158</v>
      </c>
      <c r="E149" s="40">
        <v>2</v>
      </c>
      <c r="F149" s="40">
        <v>81376</v>
      </c>
      <c r="G149" s="40" t="s">
        <v>50</v>
      </c>
      <c r="H149" s="40" t="s">
        <v>14</v>
      </c>
      <c r="I149" s="42">
        <v>45714</v>
      </c>
      <c r="J149" s="41">
        <f>SUM(TBL_SALES3[[#This Row],[QUANTITY]]*TBL_SALES3[[#This Row],[PRICE_PER_UNIT]])</f>
        <v>162752</v>
      </c>
      <c r="K149" s="40">
        <f>SUMIF(TBL_SALES3[BRAND_NAME],TBL_SALES3[[#This Row],[BRAND_NAME]],TBL_SALES3[SALES_AMOUNT])</f>
        <v>461421</v>
      </c>
      <c r="M149" s="54" t="str">
        <f t="shared" si="19"/>
        <v>Aspire 5</v>
      </c>
      <c r="O149" s="114" t="str">
        <f t="shared" si="20"/>
        <v>Aspire 5</v>
      </c>
    </row>
    <row r="150" spans="1:15" ht="15.75" thickBot="1" x14ac:dyDescent="0.3">
      <c r="A150" s="40" t="s">
        <v>212</v>
      </c>
      <c r="B150" s="40" t="s">
        <v>144</v>
      </c>
      <c r="C150" s="40" t="s">
        <v>161</v>
      </c>
      <c r="D150" s="40" t="s">
        <v>162</v>
      </c>
      <c r="E150" s="40">
        <v>3</v>
      </c>
      <c r="F150" s="40">
        <v>50840</v>
      </c>
      <c r="G150" s="40" t="s">
        <v>43</v>
      </c>
      <c r="H150" s="40" t="s">
        <v>36</v>
      </c>
      <c r="I150" s="42">
        <v>45961</v>
      </c>
      <c r="J150" s="41">
        <f>SUM(TBL_SALES3[[#This Row],[QUANTITY]]*TBL_SALES3[[#This Row],[PRICE_PER_UNIT]])</f>
        <v>152520</v>
      </c>
      <c r="K150" s="40">
        <f>SUMIF(TBL_SALES3[BRAND_NAME],TBL_SALES3[[#This Row],[BRAND_NAME]],TBL_SALES3[SALES_AMOUNT])</f>
        <v>696807</v>
      </c>
      <c r="M150" s="54" t="str">
        <f t="shared" si="19"/>
        <v>Predator Helios</v>
      </c>
      <c r="O150" s="114" t="str">
        <f t="shared" si="20"/>
        <v>Predator Helios</v>
      </c>
    </row>
    <row r="151" spans="1:15" ht="15.75" thickBot="1" x14ac:dyDescent="0.3">
      <c r="A151" s="40" t="s">
        <v>213</v>
      </c>
      <c r="B151" s="40" t="s">
        <v>144</v>
      </c>
      <c r="C151" s="40" t="s">
        <v>167</v>
      </c>
      <c r="D151" s="40" t="s">
        <v>168</v>
      </c>
      <c r="E151" s="40">
        <v>5</v>
      </c>
      <c r="F151" s="40">
        <v>57381</v>
      </c>
      <c r="G151" s="40" t="s">
        <v>59</v>
      </c>
      <c r="H151" s="40" t="s">
        <v>36</v>
      </c>
      <c r="I151" s="42">
        <v>45734</v>
      </c>
      <c r="J151" s="41">
        <f>SUM(TBL_SALES3[[#This Row],[QUANTITY]]*TBL_SALES3[[#This Row],[PRICE_PER_UNIT]])</f>
        <v>286905</v>
      </c>
      <c r="K151" s="40">
        <f>SUMIF(TBL_SALES3[BRAND_NAME],TBL_SALES3[[#This Row],[BRAND_NAME]],TBL_SALES3[SALES_AMOUNT])</f>
        <v>663890</v>
      </c>
      <c r="M151" s="54" t="str">
        <f t="shared" si="19"/>
        <v>XPS 13</v>
      </c>
      <c r="N151" s="74"/>
      <c r="O151" s="117" t="str">
        <f t="shared" si="20"/>
        <v>XPS 13</v>
      </c>
    </row>
    <row r="152" spans="1:15" x14ac:dyDescent="0.25">
      <c r="A152" s="40" t="s">
        <v>214</v>
      </c>
      <c r="B152" s="40" t="s">
        <v>144</v>
      </c>
      <c r="C152" s="40" t="s">
        <v>189</v>
      </c>
      <c r="D152" s="40" t="s">
        <v>190</v>
      </c>
      <c r="E152" s="40">
        <v>2</v>
      </c>
      <c r="F152" s="40">
        <v>19109</v>
      </c>
      <c r="G152" s="40" t="s">
        <v>39</v>
      </c>
      <c r="H152" s="40" t="s">
        <v>36</v>
      </c>
      <c r="I152" s="42">
        <v>45707</v>
      </c>
      <c r="J152" s="41">
        <f>SUM(TBL_SALES3[[#This Row],[QUANTITY]]*TBL_SALES3[[#This Row],[PRICE_PER_UNIT]])</f>
        <v>38218</v>
      </c>
      <c r="K152" s="40">
        <f>SUMIF(TBL_SALES3[BRAND_NAME],TBL_SALES3[[#This Row],[BRAND_NAME]],TBL_SALES3[SALES_AMOUNT])</f>
        <v>849338</v>
      </c>
    </row>
    <row r="153" spans="1:15" x14ac:dyDescent="0.25">
      <c r="A153" s="40" t="s">
        <v>215</v>
      </c>
      <c r="B153" s="40" t="s">
        <v>144</v>
      </c>
      <c r="C153" s="40" t="s">
        <v>167</v>
      </c>
      <c r="D153" s="40" t="s">
        <v>168</v>
      </c>
      <c r="E153" s="40">
        <v>5</v>
      </c>
      <c r="F153" s="40">
        <v>28161</v>
      </c>
      <c r="G153" s="40" t="s">
        <v>50</v>
      </c>
      <c r="H153" s="40" t="s">
        <v>14</v>
      </c>
      <c r="I153" s="42">
        <v>45650</v>
      </c>
      <c r="J153" s="41">
        <f>SUM(TBL_SALES3[[#This Row],[QUANTITY]]*TBL_SALES3[[#This Row],[PRICE_PER_UNIT]])</f>
        <v>140805</v>
      </c>
      <c r="K153" s="40">
        <f>SUMIF(TBL_SALES3[BRAND_NAME],TBL_SALES3[[#This Row],[BRAND_NAME]],TBL_SALES3[SALES_AMOUNT])</f>
        <v>663890</v>
      </c>
    </row>
    <row r="154" spans="1:15" x14ac:dyDescent="0.25">
      <c r="A154" s="40" t="s">
        <v>216</v>
      </c>
      <c r="B154" s="40" t="s">
        <v>144</v>
      </c>
      <c r="C154" s="40" t="s">
        <v>154</v>
      </c>
      <c r="D154" s="40" t="s">
        <v>155</v>
      </c>
      <c r="E154" s="40">
        <v>1</v>
      </c>
      <c r="F154" s="40">
        <v>68987</v>
      </c>
      <c r="G154" s="40" t="s">
        <v>59</v>
      </c>
      <c r="H154" s="40" t="s">
        <v>14</v>
      </c>
      <c r="I154" s="42">
        <v>45739</v>
      </c>
      <c r="J154" s="41">
        <f>SUM(TBL_SALES3[[#This Row],[QUANTITY]]*TBL_SALES3[[#This Row],[PRICE_PER_UNIT]])</f>
        <v>68987</v>
      </c>
      <c r="K154" s="40">
        <f>SUMIF(TBL_SALES3[BRAND_NAME],TBL_SALES3[[#This Row],[BRAND_NAME]],TBL_SALES3[SALES_AMOUNT])</f>
        <v>788607</v>
      </c>
    </row>
    <row r="155" spans="1:15" x14ac:dyDescent="0.25">
      <c r="A155" s="40" t="s">
        <v>217</v>
      </c>
      <c r="B155" s="40" t="s">
        <v>144</v>
      </c>
      <c r="C155" s="40" t="s">
        <v>189</v>
      </c>
      <c r="D155" s="40" t="s">
        <v>190</v>
      </c>
      <c r="E155" s="40">
        <v>1</v>
      </c>
      <c r="F155" s="40">
        <v>88989</v>
      </c>
      <c r="G155" s="40" t="s">
        <v>39</v>
      </c>
      <c r="H155" s="40" t="s">
        <v>14</v>
      </c>
      <c r="I155" s="42">
        <v>45756</v>
      </c>
      <c r="J155" s="41">
        <f>SUM(TBL_SALES3[[#This Row],[QUANTITY]]*TBL_SALES3[[#This Row],[PRICE_PER_UNIT]])</f>
        <v>88989</v>
      </c>
      <c r="K155" s="40">
        <f>SUMIF(TBL_SALES3[BRAND_NAME],TBL_SALES3[[#This Row],[BRAND_NAME]],TBL_SALES3[SALES_AMOUNT])</f>
        <v>849338</v>
      </c>
    </row>
    <row r="156" spans="1:15" x14ac:dyDescent="0.25">
      <c r="A156" s="40" t="s">
        <v>218</v>
      </c>
      <c r="B156" s="40" t="s">
        <v>144</v>
      </c>
      <c r="C156" s="40" t="s">
        <v>148</v>
      </c>
      <c r="D156" s="40" t="s">
        <v>149</v>
      </c>
      <c r="E156" s="40">
        <v>4</v>
      </c>
      <c r="F156" s="40">
        <v>50654</v>
      </c>
      <c r="G156" s="40" t="s">
        <v>43</v>
      </c>
      <c r="H156" s="40" t="s">
        <v>18</v>
      </c>
      <c r="I156" s="42">
        <v>45770</v>
      </c>
      <c r="J156" s="41">
        <f>SUM(TBL_SALES3[[#This Row],[QUANTITY]]*TBL_SALES3[[#This Row],[PRICE_PER_UNIT]])</f>
        <v>202616</v>
      </c>
      <c r="K156" s="40">
        <f>SUMIF(TBL_SALES3[BRAND_NAME],TBL_SALES3[[#This Row],[BRAND_NAME]],TBL_SALES3[SALES_AMOUNT])</f>
        <v>926044</v>
      </c>
    </row>
    <row r="157" spans="1:15" x14ac:dyDescent="0.25">
      <c r="A157" s="40" t="s">
        <v>219</v>
      </c>
      <c r="B157" s="40" t="s">
        <v>144</v>
      </c>
      <c r="C157" s="40" t="s">
        <v>148</v>
      </c>
      <c r="D157" s="40" t="s">
        <v>149</v>
      </c>
      <c r="E157" s="40">
        <v>2</v>
      </c>
      <c r="F157" s="40">
        <v>62646</v>
      </c>
      <c r="G157" s="40" t="s">
        <v>50</v>
      </c>
      <c r="H157" s="40" t="s">
        <v>36</v>
      </c>
      <c r="I157" s="42">
        <v>45902</v>
      </c>
      <c r="J157" s="41">
        <f>SUM(TBL_SALES3[[#This Row],[QUANTITY]]*TBL_SALES3[[#This Row],[PRICE_PER_UNIT]])</f>
        <v>125292</v>
      </c>
      <c r="K157" s="40">
        <f>SUMIF(TBL_SALES3[BRAND_NAME],TBL_SALES3[[#This Row],[BRAND_NAME]],TBL_SALES3[SALES_AMOUNT])</f>
        <v>926044</v>
      </c>
    </row>
    <row r="158" spans="1:15" x14ac:dyDescent="0.25">
      <c r="A158" s="40" t="s">
        <v>220</v>
      </c>
      <c r="B158" s="40" t="s">
        <v>144</v>
      </c>
      <c r="C158" s="40" t="s">
        <v>161</v>
      </c>
      <c r="D158" s="40" t="s">
        <v>162</v>
      </c>
      <c r="E158" s="40">
        <v>4</v>
      </c>
      <c r="F158" s="40">
        <v>22456</v>
      </c>
      <c r="G158" s="40" t="s">
        <v>43</v>
      </c>
      <c r="H158" s="40" t="s">
        <v>36</v>
      </c>
      <c r="I158" s="42">
        <v>45779</v>
      </c>
      <c r="J158" s="41">
        <f>SUM(TBL_SALES3[[#This Row],[QUANTITY]]*TBL_SALES3[[#This Row],[PRICE_PER_UNIT]])</f>
        <v>89824</v>
      </c>
      <c r="K158" s="40">
        <f>SUMIF(TBL_SALES3[BRAND_NAME],TBL_SALES3[[#This Row],[BRAND_NAME]],TBL_SALES3[SALES_AMOUNT])</f>
        <v>696807</v>
      </c>
    </row>
    <row r="159" spans="1:15" x14ac:dyDescent="0.25">
      <c r="A159" s="40" t="s">
        <v>221</v>
      </c>
      <c r="B159" s="40" t="s">
        <v>144</v>
      </c>
      <c r="C159" s="40" t="s">
        <v>151</v>
      </c>
      <c r="D159" s="40" t="s">
        <v>152</v>
      </c>
      <c r="E159" s="40">
        <v>1</v>
      </c>
      <c r="F159" s="40">
        <v>27872</v>
      </c>
      <c r="G159" s="40" t="s">
        <v>33</v>
      </c>
      <c r="H159" s="40" t="s">
        <v>60</v>
      </c>
      <c r="I159" s="42">
        <v>45942</v>
      </c>
      <c r="J159" s="41">
        <f>SUM(TBL_SALES3[[#This Row],[QUANTITY]]*TBL_SALES3[[#This Row],[PRICE_PER_UNIT]])</f>
        <v>27872</v>
      </c>
      <c r="K159" s="40">
        <f>SUMIF(TBL_SALES3[BRAND_NAME],TBL_SALES3[[#This Row],[BRAND_NAME]],TBL_SALES3[SALES_AMOUNT])</f>
        <v>1033916</v>
      </c>
    </row>
    <row r="160" spans="1:15" x14ac:dyDescent="0.25">
      <c r="A160" s="40" t="s">
        <v>222</v>
      </c>
      <c r="B160" s="40" t="s">
        <v>144</v>
      </c>
      <c r="C160" s="40" t="s">
        <v>181</v>
      </c>
      <c r="D160" s="40" t="s">
        <v>182</v>
      </c>
      <c r="E160" s="40">
        <v>3</v>
      </c>
      <c r="F160" s="40">
        <v>58146</v>
      </c>
      <c r="G160" s="40" t="s">
        <v>50</v>
      </c>
      <c r="H160" s="40" t="s">
        <v>60</v>
      </c>
      <c r="I160" s="42">
        <v>45632</v>
      </c>
      <c r="J160" s="41">
        <f>SUM(TBL_SALES3[[#This Row],[QUANTITY]]*TBL_SALES3[[#This Row],[PRICE_PER_UNIT]])</f>
        <v>174438</v>
      </c>
      <c r="K160" s="40">
        <f>SUMIF(TBL_SALES3[BRAND_NAME],TBL_SALES3[[#This Row],[BRAND_NAME]],TBL_SALES3[SALES_AMOUNT])</f>
        <v>588378</v>
      </c>
    </row>
    <row r="161" spans="1:11" x14ac:dyDescent="0.25">
      <c r="A161" s="40" t="s">
        <v>223</v>
      </c>
      <c r="B161" s="40" t="s">
        <v>144</v>
      </c>
      <c r="C161" s="40" t="s">
        <v>148</v>
      </c>
      <c r="D161" s="40" t="s">
        <v>149</v>
      </c>
      <c r="E161" s="40">
        <v>4</v>
      </c>
      <c r="F161" s="40">
        <v>71760</v>
      </c>
      <c r="G161" s="40" t="s">
        <v>59</v>
      </c>
      <c r="H161" s="40" t="s">
        <v>14</v>
      </c>
      <c r="I161" s="42">
        <v>45671</v>
      </c>
      <c r="J161" s="41">
        <f>SUM(TBL_SALES3[[#This Row],[QUANTITY]]*TBL_SALES3[[#This Row],[PRICE_PER_UNIT]])</f>
        <v>287040</v>
      </c>
      <c r="K161" s="40">
        <f>SUMIF(TBL_SALES3[BRAND_NAME],TBL_SALES3[[#This Row],[BRAND_NAME]],TBL_SALES3[SALES_AMOUNT])</f>
        <v>926044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Assignment_4_Navigation</vt:lpstr>
      <vt:lpstr>Basic_math_funnctions</vt:lpstr>
      <vt:lpstr>SALES_AGG_CONDI_Assignment</vt:lpstr>
      <vt:lpstr>Text_Functions_assignment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Sriman sree</dc:creator>
  <cp:lastModifiedBy>Sriman sree</cp:lastModifiedBy>
  <dcterms:created xsi:type="dcterms:W3CDTF">2025-11-15T06:45:31Z</dcterms:created>
  <dcterms:modified xsi:type="dcterms:W3CDTF">2025-11-16T21:25:49Z</dcterms:modified>
</cp:coreProperties>
</file>