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C:\Users\BHARA\Desktop\DataAnalytics02\"/>
    </mc:Choice>
  </mc:AlternateContent>
  <xr:revisionPtr revIDLastSave="1415" documentId="13_ncr:1_{ADADAE43-ED7C-4E6A-898F-9C534E6FD212}" xr6:coauthVersionLast="47" xr6:coauthVersionMax="47" xr10:uidLastSave="{E655E068-3756-45F1-A7C2-FA1E5FC72E14}"/>
  <bookViews>
    <workbookView xWindow="-108" yWindow="-108" windowWidth="23256" windowHeight="12576" firstSheet="2" activeTab="9" xr2:uid="{22F52097-3DE0-44AE-B893-9795709D0F0D}"/>
  </bookViews>
  <sheets>
    <sheet name="Revenue per State" sheetId="13" r:id="rId1"/>
    <sheet name="CAT_QUANTITY" sheetId="14" r:id="rId2"/>
    <sheet name="ORDERS_TREND" sheetId="15" r:id="rId3"/>
    <sheet name="SALES" sheetId="3" r:id="rId4"/>
    <sheet name="FACT_SALES" sheetId="5" r:id="rId5"/>
    <sheet name="DIM_TABLES" sheetId="6" r:id="rId6"/>
    <sheet name="DIM_DATE" sheetId="7" r:id="rId7"/>
    <sheet name="Assignment _A" sheetId="8" r:id="rId8"/>
    <sheet name="ASSIGNMENT_B" sheetId="9" r:id="rId9"/>
    <sheet name="ASSIGNMENT_3" sheetId="10" r:id="rId10"/>
    <sheet name="ASSIGNMENT_4" sheetId="11" r:id="rId11"/>
    <sheet name="ASSIGNMENT_5" sheetId="12" r:id="rId12"/>
  </sheets>
  <definedNames>
    <definedName name="_xlnm._FilterDatabase" localSheetId="8" hidden="1">ASSIGNMENT_B!$D$222:$D$382</definedName>
  </definedNames>
  <calcPr calcId="191028"/>
  <pivotCaches>
    <pivotCache cacheId="6815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3" l="1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B937" i="11"/>
  <c r="C937" i="11" s="1"/>
  <c r="B936" i="11"/>
  <c r="C936" i="11" s="1"/>
  <c r="B935" i="11"/>
  <c r="C935" i="11" s="1"/>
  <c r="B934" i="11"/>
  <c r="C934" i="11" s="1"/>
  <c r="B933" i="11"/>
  <c r="C933" i="11" s="1"/>
  <c r="B932" i="11"/>
  <c r="C932" i="11" s="1"/>
  <c r="B931" i="11"/>
  <c r="C931" i="11" s="1"/>
  <c r="C763" i="11" a="1"/>
  <c r="C763" i="11"/>
  <c r="B763" i="11" a="1"/>
  <c r="B763" i="11"/>
  <c r="B595" i="11" a="1"/>
  <c r="B595" i="11"/>
  <c r="B431" i="11" a="1"/>
  <c r="B431" i="11"/>
  <c r="C408" i="11"/>
  <c r="C409" i="11"/>
  <c r="C410" i="11"/>
  <c r="C411" i="11"/>
  <c r="C412" i="11"/>
  <c r="C413" i="11"/>
  <c r="C414" i="11"/>
  <c r="C415" i="11"/>
  <c r="C416" i="11"/>
  <c r="C417" i="11"/>
  <c r="C418" i="11"/>
  <c r="C419" i="11"/>
  <c r="C420" i="11"/>
  <c r="C421" i="11"/>
  <c r="C422" i="11"/>
  <c r="C423" i="11"/>
  <c r="C424" i="11"/>
  <c r="C425" i="11"/>
  <c r="C426" i="11"/>
  <c r="C427" i="11"/>
  <c r="C403" i="11"/>
  <c r="C404" i="11"/>
  <c r="C405" i="11"/>
  <c r="C406" i="11"/>
  <c r="C407" i="11"/>
  <c r="C402" i="11"/>
  <c r="B394" i="11" a="1"/>
  <c r="B394" i="11"/>
  <c r="C394" i="11" s="1" a="1"/>
  <c r="C394" i="11" s="1"/>
  <c r="C229" i="11" a="1"/>
  <c r="C229" i="11"/>
  <c r="B229" i="11" a="1"/>
  <c r="B229" i="11" s="1"/>
  <c r="B226" i="11"/>
  <c r="C226" i="11"/>
  <c r="B63" i="11" a="1"/>
  <c r="B63" i="11"/>
  <c r="C63" i="11" s="1" a="1"/>
  <c r="C63" i="11" s="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31" i="11"/>
  <c r="B27" i="11"/>
  <c r="D23" i="11"/>
  <c r="C23" i="11"/>
  <c r="E23" i="11" s="1"/>
  <c r="E19" i="11"/>
  <c r="E10" i="11"/>
  <c r="A14" i="11"/>
  <c r="A13" i="11"/>
  <c r="D6" i="11"/>
  <c r="C6" i="11"/>
  <c r="E6" i="11" s="1"/>
  <c r="C3" i="11"/>
  <c r="D3" i="11" s="1"/>
  <c r="C336" i="10" a="1"/>
  <c r="C336" i="10"/>
  <c r="D336" i="10" s="1" a="1"/>
  <c r="D336" i="10" s="1"/>
  <c r="L313" i="10" a="1"/>
  <c r="L313" i="10"/>
  <c r="C305" i="10" a="1"/>
  <c r="C305" i="10"/>
  <c r="D305" i="10" s="1" a="1"/>
  <c r="D305" i="10" s="1"/>
  <c r="E300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E202" i="10"/>
  <c r="E203" i="10"/>
  <c r="E204" i="10"/>
  <c r="E205" i="10"/>
  <c r="E206" i="10"/>
  <c r="E207" i="10"/>
  <c r="E208" i="10"/>
  <c r="E209" i="10"/>
  <c r="E210" i="10"/>
  <c r="E211" i="10"/>
  <c r="E212" i="10"/>
  <c r="E213" i="10"/>
  <c r="E214" i="10"/>
  <c r="E215" i="10"/>
  <c r="E216" i="10"/>
  <c r="E217" i="10"/>
  <c r="E218" i="10"/>
  <c r="E219" i="10"/>
  <c r="E220" i="10"/>
  <c r="E221" i="10"/>
  <c r="E222" i="10"/>
  <c r="E223" i="10"/>
  <c r="E224" i="10"/>
  <c r="E225" i="10"/>
  <c r="E226" i="10"/>
  <c r="E227" i="10"/>
  <c r="E228" i="10"/>
  <c r="E229" i="10"/>
  <c r="E230" i="10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E250" i="10"/>
  <c r="E251" i="10"/>
  <c r="E252" i="10"/>
  <c r="E253" i="10"/>
  <c r="E254" i="10"/>
  <c r="E255" i="10"/>
  <c r="E256" i="10"/>
  <c r="E257" i="10"/>
  <c r="E258" i="10"/>
  <c r="E259" i="10"/>
  <c r="E260" i="10"/>
  <c r="E261" i="10"/>
  <c r="E262" i="10"/>
  <c r="E263" i="10"/>
  <c r="E264" i="10"/>
  <c r="E265" i="10"/>
  <c r="E266" i="10"/>
  <c r="E267" i="10"/>
  <c r="E268" i="10"/>
  <c r="E269" i="10"/>
  <c r="E270" i="10"/>
  <c r="E271" i="10"/>
  <c r="E272" i="10"/>
  <c r="E273" i="10"/>
  <c r="E274" i="10"/>
  <c r="E275" i="10"/>
  <c r="E276" i="10"/>
  <c r="E277" i="10"/>
  <c r="E278" i="10"/>
  <c r="E279" i="10"/>
  <c r="E280" i="10"/>
  <c r="E281" i="10"/>
  <c r="E282" i="10"/>
  <c r="E283" i="10"/>
  <c r="E284" i="10"/>
  <c r="E285" i="10"/>
  <c r="E286" i="10"/>
  <c r="E287" i="10"/>
  <c r="E288" i="10"/>
  <c r="E289" i="10"/>
  <c r="E290" i="10"/>
  <c r="E291" i="10"/>
  <c r="E292" i="10"/>
  <c r="E293" i="10"/>
  <c r="E294" i="10"/>
  <c r="E295" i="10"/>
  <c r="E296" i="10"/>
  <c r="E297" i="10"/>
  <c r="E298" i="10"/>
  <c r="E299" i="10"/>
  <c r="E142" i="10"/>
  <c r="E141" i="10"/>
  <c r="C141" i="10" a="1"/>
  <c r="C141" i="10"/>
  <c r="D55" i="10" a="1"/>
  <c r="D55" i="10"/>
  <c r="C82" i="10" a="1"/>
  <c r="C82" i="10"/>
  <c r="D82" i="10" s="1" a="1"/>
  <c r="D82" i="10" s="1"/>
  <c r="F76" i="10"/>
  <c r="E76" i="10"/>
  <c r="D76" i="10"/>
  <c r="D62" i="10" a="1"/>
  <c r="D62" i="10"/>
  <c r="C62" i="10" a="1"/>
  <c r="C62" i="10"/>
  <c r="E62" i="10" s="1"/>
  <c r="C31" i="10" a="1"/>
  <c r="C31" i="10"/>
  <c r="C22" i="10" a="1"/>
  <c r="C22" i="10"/>
  <c r="D22" i="10" s="1"/>
  <c r="C3" i="10" a="1"/>
  <c r="C3" i="10"/>
  <c r="D3" i="10" s="1"/>
  <c r="C766" i="9" a="1"/>
  <c r="C766" i="9"/>
  <c r="R3" i="3"/>
  <c r="S3" i="3" s="1"/>
  <c r="R4" i="3"/>
  <c r="S4" i="3" s="1"/>
  <c r="R5" i="3"/>
  <c r="S5" i="3" s="1"/>
  <c r="R6" i="3"/>
  <c r="S6" i="3" s="1"/>
  <c r="R7" i="3"/>
  <c r="S7" i="3" s="1"/>
  <c r="R8" i="3"/>
  <c r="S8" i="3" s="1"/>
  <c r="R9" i="3"/>
  <c r="S9" i="3" s="1"/>
  <c r="R10" i="3"/>
  <c r="S10" i="3" s="1"/>
  <c r="R11" i="3"/>
  <c r="S11" i="3" s="1"/>
  <c r="R12" i="3"/>
  <c r="S12" i="3" s="1"/>
  <c r="R13" i="3"/>
  <c r="S13" i="3" s="1"/>
  <c r="R14" i="3"/>
  <c r="S14" i="3" s="1"/>
  <c r="R15" i="3"/>
  <c r="S15" i="3" s="1"/>
  <c r="R16" i="3"/>
  <c r="S16" i="3" s="1"/>
  <c r="R17" i="3"/>
  <c r="S17" i="3" s="1"/>
  <c r="R18" i="3"/>
  <c r="S18" i="3" s="1"/>
  <c r="R19" i="3"/>
  <c r="S19" i="3" s="1"/>
  <c r="R20" i="3"/>
  <c r="S20" i="3" s="1"/>
  <c r="R21" i="3"/>
  <c r="S21" i="3" s="1"/>
  <c r="R22" i="3"/>
  <c r="S22" i="3" s="1"/>
  <c r="R23" i="3"/>
  <c r="S23" i="3" s="1"/>
  <c r="R24" i="3"/>
  <c r="S24" i="3" s="1"/>
  <c r="R25" i="3"/>
  <c r="S25" i="3" s="1"/>
  <c r="R26" i="3"/>
  <c r="S26" i="3" s="1"/>
  <c r="R27" i="3"/>
  <c r="S27" i="3" s="1"/>
  <c r="R28" i="3"/>
  <c r="S28" i="3" s="1"/>
  <c r="R29" i="3"/>
  <c r="S29" i="3" s="1"/>
  <c r="R30" i="3"/>
  <c r="S30" i="3" s="1"/>
  <c r="R31" i="3"/>
  <c r="S31" i="3" s="1"/>
  <c r="R32" i="3"/>
  <c r="S32" i="3" s="1"/>
  <c r="R33" i="3"/>
  <c r="S33" i="3" s="1"/>
  <c r="R34" i="3"/>
  <c r="S34" i="3" s="1"/>
  <c r="R35" i="3"/>
  <c r="S35" i="3" s="1"/>
  <c r="R36" i="3"/>
  <c r="S36" i="3" s="1"/>
  <c r="R37" i="3"/>
  <c r="S37" i="3" s="1"/>
  <c r="R38" i="3"/>
  <c r="S38" i="3" s="1"/>
  <c r="R39" i="3"/>
  <c r="S39" i="3" s="1"/>
  <c r="R40" i="3"/>
  <c r="S40" i="3" s="1"/>
  <c r="R41" i="3"/>
  <c r="S41" i="3" s="1"/>
  <c r="R42" i="3"/>
  <c r="S42" i="3" s="1"/>
  <c r="R43" i="3"/>
  <c r="S43" i="3" s="1"/>
  <c r="R44" i="3"/>
  <c r="S44" i="3" s="1"/>
  <c r="R45" i="3"/>
  <c r="S45" i="3" s="1"/>
  <c r="R46" i="3"/>
  <c r="S46" i="3" s="1"/>
  <c r="R47" i="3"/>
  <c r="S47" i="3" s="1"/>
  <c r="R48" i="3"/>
  <c r="S48" i="3" s="1"/>
  <c r="R49" i="3"/>
  <c r="S49" i="3" s="1"/>
  <c r="R50" i="3"/>
  <c r="S50" i="3" s="1"/>
  <c r="R51" i="3"/>
  <c r="S51" i="3" s="1"/>
  <c r="R52" i="3"/>
  <c r="S52" i="3" s="1"/>
  <c r="R53" i="3"/>
  <c r="S53" i="3" s="1"/>
  <c r="R54" i="3"/>
  <c r="S54" i="3" s="1"/>
  <c r="R55" i="3"/>
  <c r="S55" i="3" s="1"/>
  <c r="R56" i="3"/>
  <c r="S56" i="3" s="1"/>
  <c r="R57" i="3"/>
  <c r="S57" i="3" s="1"/>
  <c r="R58" i="3"/>
  <c r="S58" i="3" s="1"/>
  <c r="R59" i="3"/>
  <c r="S59" i="3" s="1"/>
  <c r="R60" i="3"/>
  <c r="S60" i="3" s="1"/>
  <c r="R61" i="3"/>
  <c r="S61" i="3" s="1"/>
  <c r="R62" i="3"/>
  <c r="S62" i="3" s="1"/>
  <c r="R63" i="3"/>
  <c r="S63" i="3" s="1"/>
  <c r="R64" i="3"/>
  <c r="S64" i="3" s="1"/>
  <c r="R65" i="3"/>
  <c r="S65" i="3" s="1"/>
  <c r="R66" i="3"/>
  <c r="S66" i="3" s="1"/>
  <c r="R67" i="3"/>
  <c r="S67" i="3" s="1"/>
  <c r="R68" i="3"/>
  <c r="S68" i="3" s="1"/>
  <c r="R69" i="3"/>
  <c r="S69" i="3" s="1"/>
  <c r="R70" i="3"/>
  <c r="S70" i="3" s="1"/>
  <c r="R71" i="3"/>
  <c r="S71" i="3" s="1"/>
  <c r="R72" i="3"/>
  <c r="S72" i="3" s="1"/>
  <c r="R73" i="3"/>
  <c r="S73" i="3" s="1"/>
  <c r="R74" i="3"/>
  <c r="S74" i="3" s="1"/>
  <c r="R75" i="3"/>
  <c r="S75" i="3" s="1"/>
  <c r="R76" i="3"/>
  <c r="S76" i="3" s="1"/>
  <c r="R77" i="3"/>
  <c r="S77" i="3" s="1"/>
  <c r="R78" i="3"/>
  <c r="S78" i="3" s="1"/>
  <c r="R79" i="3"/>
  <c r="S79" i="3" s="1"/>
  <c r="R80" i="3"/>
  <c r="S80" i="3" s="1"/>
  <c r="R81" i="3"/>
  <c r="S81" i="3" s="1"/>
  <c r="R82" i="3"/>
  <c r="S82" i="3" s="1"/>
  <c r="R83" i="3"/>
  <c r="S83" i="3" s="1"/>
  <c r="R84" i="3"/>
  <c r="S84" i="3" s="1"/>
  <c r="R85" i="3"/>
  <c r="S85" i="3" s="1"/>
  <c r="R86" i="3"/>
  <c r="S86" i="3" s="1"/>
  <c r="R87" i="3"/>
  <c r="S87" i="3" s="1"/>
  <c r="R88" i="3"/>
  <c r="S88" i="3" s="1"/>
  <c r="R89" i="3"/>
  <c r="S89" i="3" s="1"/>
  <c r="R90" i="3"/>
  <c r="S90" i="3" s="1"/>
  <c r="R91" i="3"/>
  <c r="S91" i="3" s="1"/>
  <c r="R92" i="3"/>
  <c r="S92" i="3" s="1"/>
  <c r="R93" i="3"/>
  <c r="S93" i="3" s="1"/>
  <c r="R94" i="3"/>
  <c r="S94" i="3" s="1"/>
  <c r="R95" i="3"/>
  <c r="S95" i="3" s="1"/>
  <c r="R96" i="3"/>
  <c r="S96" i="3" s="1"/>
  <c r="R97" i="3"/>
  <c r="S97" i="3" s="1"/>
  <c r="R98" i="3"/>
  <c r="S98" i="3" s="1"/>
  <c r="R99" i="3"/>
  <c r="S99" i="3" s="1"/>
  <c r="R100" i="3"/>
  <c r="S100" i="3" s="1"/>
  <c r="R101" i="3"/>
  <c r="S101" i="3" s="1"/>
  <c r="R102" i="3"/>
  <c r="S102" i="3" s="1"/>
  <c r="R103" i="3"/>
  <c r="S103" i="3" s="1"/>
  <c r="R104" i="3"/>
  <c r="S104" i="3" s="1"/>
  <c r="R105" i="3"/>
  <c r="S105" i="3" s="1"/>
  <c r="R106" i="3"/>
  <c r="S106" i="3" s="1"/>
  <c r="R107" i="3"/>
  <c r="S107" i="3" s="1"/>
  <c r="R108" i="3"/>
  <c r="S108" i="3" s="1"/>
  <c r="R109" i="3"/>
  <c r="S109" i="3" s="1"/>
  <c r="R110" i="3"/>
  <c r="S110" i="3" s="1"/>
  <c r="R111" i="3"/>
  <c r="S111" i="3" s="1"/>
  <c r="R112" i="3"/>
  <c r="S112" i="3" s="1"/>
  <c r="R113" i="3"/>
  <c r="S113" i="3" s="1"/>
  <c r="R114" i="3"/>
  <c r="S114" i="3" s="1"/>
  <c r="R115" i="3"/>
  <c r="S115" i="3" s="1"/>
  <c r="R116" i="3"/>
  <c r="S116" i="3" s="1"/>
  <c r="R117" i="3"/>
  <c r="S117" i="3" s="1"/>
  <c r="R118" i="3"/>
  <c r="S118" i="3" s="1"/>
  <c r="R119" i="3"/>
  <c r="S119" i="3" s="1"/>
  <c r="R120" i="3"/>
  <c r="S120" i="3" s="1"/>
  <c r="R121" i="3"/>
  <c r="S121" i="3" s="1"/>
  <c r="R122" i="3"/>
  <c r="S122" i="3" s="1"/>
  <c r="R123" i="3"/>
  <c r="S123" i="3" s="1"/>
  <c r="R124" i="3"/>
  <c r="S124" i="3" s="1"/>
  <c r="R125" i="3"/>
  <c r="S125" i="3" s="1"/>
  <c r="R126" i="3"/>
  <c r="S126" i="3" s="1"/>
  <c r="R127" i="3"/>
  <c r="S127" i="3" s="1"/>
  <c r="R128" i="3"/>
  <c r="S128" i="3" s="1"/>
  <c r="R129" i="3"/>
  <c r="S129" i="3" s="1"/>
  <c r="R130" i="3"/>
  <c r="S130" i="3" s="1"/>
  <c r="R131" i="3"/>
  <c r="S131" i="3" s="1"/>
  <c r="R132" i="3"/>
  <c r="S132" i="3" s="1"/>
  <c r="R133" i="3"/>
  <c r="S133" i="3" s="1"/>
  <c r="R134" i="3"/>
  <c r="S134" i="3" s="1"/>
  <c r="R135" i="3"/>
  <c r="S135" i="3" s="1"/>
  <c r="R136" i="3"/>
  <c r="S136" i="3" s="1"/>
  <c r="R137" i="3"/>
  <c r="S137" i="3" s="1"/>
  <c r="R138" i="3"/>
  <c r="S138" i="3" s="1"/>
  <c r="R139" i="3"/>
  <c r="S139" i="3" s="1"/>
  <c r="R140" i="3"/>
  <c r="S140" i="3" s="1"/>
  <c r="R141" i="3"/>
  <c r="S141" i="3" s="1"/>
  <c r="R142" i="3"/>
  <c r="S142" i="3" s="1"/>
  <c r="R143" i="3"/>
  <c r="S143" i="3" s="1"/>
  <c r="R144" i="3"/>
  <c r="S144" i="3" s="1"/>
  <c r="R145" i="3"/>
  <c r="S145" i="3" s="1"/>
  <c r="R146" i="3"/>
  <c r="S146" i="3" s="1"/>
  <c r="R147" i="3"/>
  <c r="S147" i="3" s="1"/>
  <c r="R148" i="3"/>
  <c r="S148" i="3" s="1"/>
  <c r="R149" i="3"/>
  <c r="S149" i="3" s="1"/>
  <c r="R150" i="3"/>
  <c r="S150" i="3" s="1"/>
  <c r="R151" i="3"/>
  <c r="S151" i="3" s="1"/>
  <c r="R152" i="3"/>
  <c r="S152" i="3" s="1"/>
  <c r="R153" i="3"/>
  <c r="S153" i="3" s="1"/>
  <c r="R154" i="3"/>
  <c r="S154" i="3" s="1"/>
  <c r="R155" i="3"/>
  <c r="S155" i="3" s="1"/>
  <c r="R156" i="3"/>
  <c r="S156" i="3" s="1"/>
  <c r="R157" i="3"/>
  <c r="S157" i="3" s="1"/>
  <c r="R158" i="3"/>
  <c r="S158" i="3" s="1"/>
  <c r="R159" i="3"/>
  <c r="S159" i="3" s="1"/>
  <c r="R160" i="3"/>
  <c r="S160" i="3" s="1"/>
  <c r="R161" i="3"/>
  <c r="S161" i="3" s="1"/>
  <c r="R2" i="3"/>
  <c r="A753" i="9" a="1"/>
  <c r="A753" i="9"/>
  <c r="C753" i="9" s="1"/>
  <c r="C580" i="9" a="1"/>
  <c r="C580" i="9"/>
  <c r="C577" i="9" a="1"/>
  <c r="C577" i="9"/>
  <c r="C414" i="9" a="1"/>
  <c r="C414" i="9"/>
  <c r="C409" i="9" a="1"/>
  <c r="C409" i="9"/>
  <c r="C386" i="9" a="1"/>
  <c r="C386" i="9"/>
  <c r="D223" i="9" a="1"/>
  <c r="D223" i="9"/>
  <c r="C59" i="9" a="1"/>
  <c r="C59" i="9"/>
  <c r="C55" i="9"/>
  <c r="G55" i="9"/>
  <c r="C53" i="9"/>
  <c r="G53" i="9" s="1"/>
  <c r="C54" i="9"/>
  <c r="G54" i="9" s="1"/>
  <c r="C52" i="9"/>
  <c r="C11" i="9" a="1"/>
  <c r="C11" i="9"/>
  <c r="C8" i="9" a="1"/>
  <c r="C8" i="9"/>
  <c r="D4" i="9"/>
  <c r="D3" i="9"/>
  <c r="C4" i="9"/>
  <c r="C3" i="9"/>
  <c r="C413" i="8" a="1"/>
  <c r="C413" i="8"/>
  <c r="C248" i="8" a="1"/>
  <c r="C248" i="8"/>
  <c r="D243" i="8" a="1"/>
  <c r="D243" i="8"/>
  <c r="C77" i="8" a="1"/>
  <c r="C77" i="8"/>
  <c r="D74" i="8" a="1"/>
  <c r="D74" i="8"/>
  <c r="D39" i="8" a="1"/>
  <c r="D39" i="8"/>
  <c r="D34" i="8"/>
  <c r="D33" i="8"/>
  <c r="D27" i="8" a="1"/>
  <c r="D27" i="8"/>
  <c r="D23" i="8"/>
  <c r="D24" i="8"/>
  <c r="D19" i="8"/>
  <c r="C15" i="8"/>
  <c r="D11" i="8" a="1"/>
  <c r="D11" i="8"/>
  <c r="C11" i="8" a="1"/>
  <c r="C11" i="8"/>
  <c r="D9" i="8"/>
  <c r="D6" i="8" a="1"/>
  <c r="D6" i="8" s="1"/>
  <c r="D3" i="8" a="1"/>
  <c r="D3" i="8"/>
  <c r="D306" i="10" l="1" a="1"/>
  <c r="D306" i="10" s="1"/>
  <c r="D307" i="10" a="1"/>
  <c r="D307" i="10" s="1"/>
  <c r="D308" i="10" a="1"/>
  <c r="D308" i="10" s="1"/>
  <c r="D309" i="10" a="1"/>
  <c r="D309" i="10" s="1"/>
  <c r="D310" i="10" a="1"/>
  <c r="D310" i="10" s="1"/>
  <c r="D311" i="10" a="1"/>
  <c r="D311" i="10" s="1"/>
  <c r="D312" i="10" a="1"/>
  <c r="D312" i="10" s="1"/>
  <c r="D313" i="10" a="1"/>
  <c r="D313" i="10" s="1"/>
  <c r="D314" i="10" a="1"/>
  <c r="D314" i="10" s="1"/>
  <c r="D315" i="10" a="1"/>
  <c r="D315" i="10" s="1"/>
  <c r="D316" i="10" a="1"/>
  <c r="D316" i="10" s="1"/>
  <c r="D317" i="10" a="1"/>
  <c r="D317" i="10" s="1"/>
  <c r="D318" i="10" a="1"/>
  <c r="D318" i="10" s="1"/>
  <c r="D319" i="10" a="1"/>
  <c r="D319" i="10" s="1"/>
  <c r="D320" i="10" a="1"/>
  <c r="D320" i="10" s="1"/>
  <c r="D321" i="10" a="1"/>
  <c r="D321" i="10" s="1"/>
  <c r="D322" i="10" a="1"/>
  <c r="D322" i="10" s="1"/>
  <c r="D323" i="10" a="1"/>
  <c r="D323" i="10" s="1"/>
  <c r="D324" i="10" a="1"/>
  <c r="D324" i="10" s="1"/>
  <c r="D325" i="10" a="1"/>
  <c r="D325" i="10" s="1"/>
  <c r="D326" i="10" a="1"/>
  <c r="D326" i="10" s="1"/>
  <c r="D327" i="10" a="1"/>
  <c r="D327" i="10" s="1"/>
  <c r="D328" i="10" a="1"/>
  <c r="D328" i="10" s="1"/>
  <c r="C395" i="11" a="1"/>
  <c r="C395" i="11" s="1"/>
  <c r="C396" i="11" a="1"/>
  <c r="C396" i="11" s="1"/>
  <c r="C397" i="11" a="1"/>
  <c r="C397" i="11" s="1"/>
  <c r="C398" i="11" a="1"/>
  <c r="C398" i="11" s="1"/>
  <c r="C64" i="11" a="1"/>
  <c r="C64" i="11" s="1"/>
  <c r="C65" i="11" a="1"/>
  <c r="C65" i="11" s="1"/>
  <c r="C66" i="11" a="1"/>
  <c r="C66" i="11" s="1"/>
  <c r="C67" i="11" a="1"/>
  <c r="C67" i="11" s="1"/>
  <c r="C68" i="11" a="1"/>
  <c r="C68" i="11" s="1"/>
  <c r="C69" i="11" a="1"/>
  <c r="C69" i="11" s="1"/>
  <c r="C70" i="11" a="1"/>
  <c r="C70" i="11" s="1"/>
  <c r="C71" i="11" a="1"/>
  <c r="C71" i="11" s="1"/>
  <c r="C72" i="11" a="1"/>
  <c r="C72" i="11" s="1"/>
  <c r="C73" i="11" a="1"/>
  <c r="C73" i="11" s="1"/>
  <c r="C74" i="11" a="1"/>
  <c r="C74" i="11" s="1"/>
  <c r="C75" i="11" a="1"/>
  <c r="C75" i="11" s="1"/>
  <c r="C76" i="11" a="1"/>
  <c r="C76" i="11" s="1"/>
  <c r="C77" i="11" a="1"/>
  <c r="C77" i="11" s="1"/>
  <c r="C78" i="11" a="1"/>
  <c r="C78" i="11" s="1"/>
  <c r="C79" i="11" a="1"/>
  <c r="C79" i="11" s="1"/>
  <c r="C80" i="11" a="1"/>
  <c r="C80" i="11" s="1"/>
  <c r="C81" i="11" a="1"/>
  <c r="C81" i="11" s="1"/>
  <c r="C82" i="11" a="1"/>
  <c r="C82" i="11" s="1"/>
  <c r="C83" i="11" a="1"/>
  <c r="C83" i="11" s="1"/>
  <c r="C84" i="11" a="1"/>
  <c r="C84" i="11" s="1"/>
  <c r="C85" i="11" a="1"/>
  <c r="C85" i="11" s="1"/>
  <c r="C86" i="11" a="1"/>
  <c r="C86" i="11" s="1"/>
  <c r="C87" i="11" a="1"/>
  <c r="C87" i="11" s="1"/>
  <c r="C88" i="11" a="1"/>
  <c r="C88" i="11" s="1"/>
  <c r="C89" i="11" a="1"/>
  <c r="C89" i="11" s="1"/>
  <c r="C90" i="11" a="1"/>
  <c r="C90" i="11" s="1"/>
  <c r="C91" i="11" a="1"/>
  <c r="C91" i="11" s="1"/>
  <c r="C92" i="11" a="1"/>
  <c r="C92" i="11" s="1"/>
  <c r="C93" i="11" a="1"/>
  <c r="C93" i="11" s="1"/>
  <c r="C94" i="11" a="1"/>
  <c r="C94" i="11" s="1"/>
  <c r="C95" i="11" a="1"/>
  <c r="C95" i="11" s="1"/>
  <c r="C96" i="11" a="1"/>
  <c r="C96" i="11" s="1"/>
  <c r="C97" i="11" a="1"/>
  <c r="C97" i="11" s="1"/>
  <c r="C98" i="11" a="1"/>
  <c r="C98" i="11" s="1"/>
  <c r="C99" i="11" a="1"/>
  <c r="C99" i="11" s="1"/>
  <c r="C100" i="11" a="1"/>
  <c r="C100" i="11" s="1"/>
  <c r="C101" i="11" a="1"/>
  <c r="C101" i="11" s="1"/>
  <c r="C102" i="11" a="1"/>
  <c r="C102" i="11" s="1"/>
  <c r="C103" i="11" a="1"/>
  <c r="C103" i="11" s="1"/>
  <c r="C104" i="11" a="1"/>
  <c r="C104" i="11" s="1"/>
  <c r="C105" i="11" a="1"/>
  <c r="C105" i="11" s="1"/>
  <c r="C106" i="11" a="1"/>
  <c r="C106" i="11" s="1"/>
  <c r="C107" i="11" a="1"/>
  <c r="C107" i="11" s="1"/>
  <c r="C108" i="11" a="1"/>
  <c r="C108" i="11" s="1"/>
  <c r="C109" i="11" a="1"/>
  <c r="C109" i="11" s="1"/>
  <c r="C110" i="11" a="1"/>
  <c r="C110" i="11" s="1"/>
  <c r="C111" i="11" a="1"/>
  <c r="C111" i="11" s="1"/>
  <c r="C112" i="11" a="1"/>
  <c r="C112" i="11" s="1"/>
  <c r="C113" i="11" a="1"/>
  <c r="C113" i="11" s="1"/>
  <c r="C114" i="11" a="1"/>
  <c r="C114" i="11" s="1"/>
  <c r="C115" i="11" a="1"/>
  <c r="C115" i="11" s="1"/>
  <c r="C116" i="11" a="1"/>
  <c r="C116" i="11" s="1"/>
  <c r="C117" i="11" a="1"/>
  <c r="C117" i="11" s="1"/>
  <c r="C118" i="11" a="1"/>
  <c r="C118" i="11" s="1"/>
  <c r="C119" i="11" a="1"/>
  <c r="C119" i="11" s="1"/>
  <c r="C120" i="11" a="1"/>
  <c r="C120" i="11" s="1"/>
  <c r="C121" i="11" a="1"/>
  <c r="C121" i="11" s="1"/>
  <c r="C122" i="11" a="1"/>
  <c r="C122" i="11" s="1"/>
  <c r="C123" i="11" a="1"/>
  <c r="C123" i="11" s="1"/>
  <c r="C124" i="11" a="1"/>
  <c r="C124" i="11" s="1"/>
  <c r="C125" i="11" a="1"/>
  <c r="C125" i="11" s="1"/>
  <c r="C126" i="11" a="1"/>
  <c r="C126" i="11" s="1"/>
  <c r="C127" i="11" a="1"/>
  <c r="C127" i="11" s="1"/>
  <c r="C128" i="11" a="1"/>
  <c r="C128" i="11" s="1"/>
  <c r="C129" i="11" a="1"/>
  <c r="C129" i="11" s="1"/>
  <c r="C130" i="11" a="1"/>
  <c r="C130" i="11" s="1"/>
  <c r="C131" i="11" a="1"/>
  <c r="C131" i="11" s="1"/>
  <c r="C132" i="11" a="1"/>
  <c r="C132" i="11" s="1"/>
  <c r="C133" i="11" a="1"/>
  <c r="C133" i="11" s="1"/>
  <c r="C134" i="11" a="1"/>
  <c r="C134" i="11" s="1"/>
  <c r="C135" i="11" a="1"/>
  <c r="C135" i="11" s="1"/>
  <c r="C136" i="11" a="1"/>
  <c r="C136" i="11" s="1"/>
  <c r="C137" i="11" a="1"/>
  <c r="C137" i="11" s="1"/>
  <c r="C138" i="11" a="1"/>
  <c r="C138" i="11" s="1"/>
  <c r="C139" i="11" a="1"/>
  <c r="C139" i="11" s="1"/>
  <c r="C140" i="11" a="1"/>
  <c r="C140" i="11" s="1"/>
  <c r="C141" i="11" a="1"/>
  <c r="C141" i="11" s="1"/>
  <c r="C142" i="11" a="1"/>
  <c r="C142" i="11" s="1"/>
  <c r="C143" i="11" a="1"/>
  <c r="C143" i="11" s="1"/>
  <c r="C144" i="11" a="1"/>
  <c r="C144" i="11" s="1"/>
  <c r="C145" i="11" a="1"/>
  <c r="C145" i="11" s="1"/>
  <c r="C146" i="11" a="1"/>
  <c r="C146" i="11" s="1"/>
  <c r="C147" i="11" a="1"/>
  <c r="C147" i="11" s="1"/>
  <c r="C148" i="11" a="1"/>
  <c r="C148" i="11" s="1"/>
  <c r="C149" i="11" a="1"/>
  <c r="C149" i="11" s="1"/>
  <c r="C150" i="11" a="1"/>
  <c r="C150" i="11" s="1"/>
  <c r="C151" i="11" a="1"/>
  <c r="C151" i="11" s="1"/>
  <c r="C152" i="11" a="1"/>
  <c r="C152" i="11" s="1"/>
  <c r="C153" i="11" a="1"/>
  <c r="C153" i="11" s="1"/>
  <c r="C154" i="11" a="1"/>
  <c r="C154" i="11" s="1"/>
  <c r="C155" i="11" a="1"/>
  <c r="C155" i="11" s="1"/>
  <c r="C156" i="11" a="1"/>
  <c r="C156" i="11" s="1"/>
  <c r="C157" i="11" a="1"/>
  <c r="C157" i="11" s="1"/>
  <c r="C158" i="11" a="1"/>
  <c r="C158" i="11" s="1"/>
  <c r="C159" i="11" a="1"/>
  <c r="C159" i="11" s="1"/>
  <c r="C160" i="11" a="1"/>
  <c r="C160" i="11" s="1"/>
  <c r="C161" i="11" a="1"/>
  <c r="C161" i="11" s="1"/>
  <c r="C162" i="11" a="1"/>
  <c r="C162" i="11" s="1"/>
  <c r="C163" i="11" a="1"/>
  <c r="C163" i="11" s="1"/>
  <c r="C164" i="11" a="1"/>
  <c r="C164" i="11" s="1"/>
  <c r="C165" i="11" a="1"/>
  <c r="C165" i="11" s="1"/>
  <c r="C166" i="11" a="1"/>
  <c r="C166" i="11" s="1"/>
  <c r="C167" i="11" a="1"/>
  <c r="C167" i="11" s="1"/>
  <c r="C168" i="11" a="1"/>
  <c r="C168" i="11" s="1"/>
  <c r="C169" i="11" a="1"/>
  <c r="C169" i="11" s="1"/>
  <c r="C170" i="11" a="1"/>
  <c r="C170" i="11" s="1"/>
  <c r="C171" i="11" a="1"/>
  <c r="C171" i="11" s="1"/>
  <c r="C172" i="11" a="1"/>
  <c r="C172" i="11" s="1"/>
  <c r="C173" i="11" a="1"/>
  <c r="C173" i="11" s="1"/>
  <c r="C174" i="11" a="1"/>
  <c r="C174" i="11" s="1"/>
  <c r="C175" i="11" a="1"/>
  <c r="C175" i="11" s="1"/>
  <c r="C176" i="11" a="1"/>
  <c r="C176" i="11" s="1"/>
  <c r="C177" i="11" a="1"/>
  <c r="C177" i="11" s="1"/>
  <c r="C178" i="11" a="1"/>
  <c r="C178" i="11" s="1"/>
  <c r="C179" i="11" a="1"/>
  <c r="C179" i="11" s="1"/>
  <c r="C180" i="11" a="1"/>
  <c r="C180" i="11" s="1"/>
  <c r="C181" i="11" a="1"/>
  <c r="C181" i="11" s="1"/>
  <c r="C182" i="11" a="1"/>
  <c r="C182" i="11" s="1"/>
  <c r="C183" i="11" a="1"/>
  <c r="C183" i="11" s="1"/>
  <c r="C184" i="11" a="1"/>
  <c r="C184" i="11" s="1"/>
  <c r="C185" i="11" a="1"/>
  <c r="C185" i="11" s="1"/>
  <c r="C186" i="11" a="1"/>
  <c r="C186" i="11" s="1"/>
  <c r="C187" i="11" a="1"/>
  <c r="C187" i="11" s="1"/>
  <c r="C188" i="11" a="1"/>
  <c r="C188" i="11" s="1"/>
  <c r="C189" i="11" a="1"/>
  <c r="C189" i="11" s="1"/>
  <c r="C190" i="11" a="1"/>
  <c r="C190" i="11" s="1"/>
  <c r="C191" i="11" a="1"/>
  <c r="C191" i="11" s="1"/>
  <c r="C192" i="11" a="1"/>
  <c r="C192" i="11" s="1"/>
  <c r="C193" i="11" a="1"/>
  <c r="C193" i="11" s="1"/>
  <c r="C194" i="11" a="1"/>
  <c r="C194" i="11" s="1"/>
  <c r="C195" i="11" a="1"/>
  <c r="C195" i="11" s="1"/>
  <c r="C196" i="11" a="1"/>
  <c r="C196" i="11" s="1"/>
  <c r="C197" i="11" a="1"/>
  <c r="C197" i="11" s="1"/>
  <c r="C198" i="11" a="1"/>
  <c r="C198" i="11" s="1"/>
  <c r="C199" i="11" a="1"/>
  <c r="C199" i="11" s="1"/>
  <c r="C200" i="11" a="1"/>
  <c r="C200" i="11" s="1"/>
  <c r="C201" i="11" a="1"/>
  <c r="C201" i="11" s="1"/>
  <c r="C202" i="11" a="1"/>
  <c r="C202" i="11" s="1"/>
  <c r="C203" i="11" a="1"/>
  <c r="C203" i="11" s="1"/>
  <c r="C204" i="11" a="1"/>
  <c r="C204" i="11" s="1"/>
  <c r="C205" i="11" a="1"/>
  <c r="C205" i="11" s="1"/>
  <c r="C206" i="11" a="1"/>
  <c r="C206" i="11" s="1"/>
  <c r="C207" i="11" a="1"/>
  <c r="C207" i="11" s="1"/>
  <c r="C208" i="11" a="1"/>
  <c r="C208" i="11" s="1"/>
  <c r="C209" i="11" a="1"/>
  <c r="C209" i="11" s="1"/>
  <c r="C210" i="11" a="1"/>
  <c r="C210" i="11" s="1"/>
  <c r="C211" i="11" a="1"/>
  <c r="C211" i="11" s="1"/>
  <c r="C212" i="11" a="1"/>
  <c r="C212" i="11" s="1"/>
  <c r="C213" i="11" a="1"/>
  <c r="C213" i="11" s="1"/>
  <c r="C214" i="11" a="1"/>
  <c r="C214" i="11" s="1"/>
  <c r="C215" i="11" a="1"/>
  <c r="C215" i="11" s="1"/>
  <c r="C216" i="11" a="1"/>
  <c r="C216" i="11" s="1"/>
  <c r="C217" i="11" a="1"/>
  <c r="C217" i="11" s="1"/>
  <c r="C218" i="11" a="1"/>
  <c r="C218" i="11" s="1"/>
  <c r="C219" i="11" a="1"/>
  <c r="C219" i="11" s="1"/>
  <c r="C220" i="11" a="1"/>
  <c r="C220" i="11" s="1"/>
  <c r="C221" i="11" a="1"/>
  <c r="C221" i="11" s="1"/>
  <c r="C222" i="11" a="1"/>
  <c r="C222" i="11" s="1"/>
  <c r="C27" i="11"/>
  <c r="D27" i="11"/>
  <c r="D31" i="10" a="1"/>
  <c r="D31" i="10" s="1"/>
  <c r="D58" i="10"/>
  <c r="D32" i="10" a="1"/>
  <c r="D32" i="10" s="1"/>
  <c r="D33" i="10" a="1"/>
  <c r="D33" i="10" s="1"/>
  <c r="D34" i="10" a="1"/>
  <c r="D34" i="10" s="1"/>
  <c r="D35" i="10" a="1"/>
  <c r="D35" i="10" s="1"/>
  <c r="D36" i="10" a="1"/>
  <c r="D36" i="10" s="1"/>
  <c r="D37" i="10" a="1"/>
  <c r="D37" i="10" s="1"/>
  <c r="D38" i="10" a="1"/>
  <c r="D38" i="10" s="1"/>
  <c r="D39" i="10" a="1"/>
  <c r="D39" i="10" s="1"/>
  <c r="D40" i="10" a="1"/>
  <c r="D40" i="10" s="1"/>
  <c r="D41" i="10" a="1"/>
  <c r="D41" i="10" s="1"/>
  <c r="D42" i="10" a="1"/>
  <c r="D42" i="10" s="1"/>
  <c r="D43" i="10" a="1"/>
  <c r="D43" i="10" s="1"/>
  <c r="D44" i="10" a="1"/>
  <c r="D44" i="10" s="1"/>
  <c r="D45" i="10" a="1"/>
  <c r="D45" i="10" s="1"/>
  <c r="D46" i="10" a="1"/>
  <c r="D46" i="10" s="1"/>
  <c r="D47" i="10" a="1"/>
  <c r="D47" i="10" s="1"/>
  <c r="D48" i="10" a="1"/>
  <c r="D48" i="10" s="1"/>
  <c r="D49" i="10" a="1"/>
  <c r="D49" i="10" s="1"/>
  <c r="D50" i="10" a="1"/>
  <c r="D50" i="10" s="1"/>
  <c r="D51" i="10" a="1"/>
  <c r="D51" i="10" s="1"/>
  <c r="D52" i="10" a="1"/>
  <c r="D52" i="10" s="1"/>
  <c r="D53" i="10" a="1"/>
  <c r="D53" i="10" s="1"/>
  <c r="D54" i="10" a="1"/>
  <c r="D54" i="10" s="1"/>
  <c r="E63" i="10"/>
  <c r="E64" i="10"/>
  <c r="E65" i="10"/>
  <c r="E66" i="10"/>
  <c r="E67" i="10"/>
  <c r="E68" i="10"/>
  <c r="E69" i="10"/>
  <c r="E70" i="10"/>
  <c r="E71" i="10"/>
  <c r="D83" i="10" a="1"/>
  <c r="D83" i="10" s="1"/>
  <c r="D84" i="10" a="1"/>
  <c r="D84" i="10" s="1"/>
  <c r="D85" i="10" a="1"/>
  <c r="D85" i="10" s="1"/>
  <c r="D86" i="10" a="1"/>
  <c r="D86" i="10" s="1"/>
  <c r="D87" i="10" a="1"/>
  <c r="D87" i="10" s="1"/>
  <c r="D88" i="10" a="1"/>
  <c r="D88" i="10" s="1"/>
  <c r="D89" i="10" a="1"/>
  <c r="D89" i="10" s="1"/>
  <c r="D90" i="10" a="1"/>
  <c r="D90" i="10" s="1"/>
  <c r="D91" i="10" a="1"/>
  <c r="D91" i="10" s="1"/>
  <c r="D92" i="10" a="1"/>
  <c r="D92" i="10" s="1"/>
  <c r="D93" i="10" a="1"/>
  <c r="D93" i="10" s="1"/>
  <c r="D94" i="10" a="1"/>
  <c r="D94" i="10" s="1"/>
  <c r="D95" i="10" a="1"/>
  <c r="D95" i="10" s="1"/>
  <c r="D96" i="10" a="1"/>
  <c r="D96" i="10" s="1"/>
  <c r="D97" i="10" a="1"/>
  <c r="D97" i="10" s="1"/>
  <c r="D98" i="10" a="1"/>
  <c r="D98" i="10" s="1"/>
  <c r="D99" i="10" a="1"/>
  <c r="D99" i="10" s="1"/>
  <c r="D100" i="10" a="1"/>
  <c r="D100" i="10" s="1"/>
  <c r="D101" i="10" a="1"/>
  <c r="D101" i="10" s="1"/>
  <c r="D102" i="10" a="1"/>
  <c r="D102" i="10" s="1"/>
  <c r="D103" i="10" a="1"/>
  <c r="D103" i="10" s="1"/>
  <c r="D104" i="10" a="1"/>
  <c r="D104" i="10" s="1"/>
  <c r="D105" i="10" a="1"/>
  <c r="D105" i="10" s="1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23" i="10"/>
  <c r="D24" i="10"/>
  <c r="D25" i="10"/>
  <c r="D26" i="10"/>
  <c r="C760" i="9" a="1"/>
  <c r="C760" i="9" s="1"/>
  <c r="S2" i="3"/>
  <c r="C754" i="9"/>
  <c r="C755" i="9"/>
  <c r="C756" i="9"/>
  <c r="C757" i="9"/>
  <c r="F52" i="9"/>
  <c r="G52" i="9"/>
  <c r="D54" i="9"/>
  <c r="E54" i="9"/>
  <c r="F54" i="9"/>
  <c r="D53" i="9"/>
  <c r="E53" i="9"/>
  <c r="F53" i="9"/>
  <c r="D55" i="9"/>
  <c r="E55" i="9"/>
  <c r="F55" i="9"/>
  <c r="D52" i="9"/>
  <c r="E52" i="9"/>
  <c r="E4" i="9"/>
  <c r="E3" i="9"/>
  <c r="D77" i="8" a="1"/>
  <c r="D77" i="8" s="1"/>
  <c r="F9" i="8" a="1"/>
  <c r="F9" i="8" s="1"/>
  <c r="E9" i="8" a="1"/>
  <c r="E9" i="8" s="1"/>
  <c r="F10" i="11"/>
  <c r="F19" i="11"/>
  <c r="H82" i="10" l="1" a="1"/>
  <c r="H82" i="10" s="1"/>
  <c r="I82" i="10" s="1" a="1"/>
  <c r="J83" i="10"/>
  <c r="J84" i="10"/>
  <c r="J85" i="10"/>
  <c r="J86" i="10"/>
  <c r="J87" i="10"/>
  <c r="J88" i="10"/>
  <c r="J89" i="10"/>
  <c r="J90" i="10"/>
  <c r="J91" i="10"/>
  <c r="J92" i="10"/>
  <c r="J93" i="10"/>
  <c r="J94" i="10"/>
  <c r="J95" i="10"/>
  <c r="J96" i="10"/>
  <c r="J97" i="10"/>
  <c r="J98" i="10"/>
  <c r="J99" i="10"/>
  <c r="J100" i="10"/>
  <c r="J101" i="10"/>
  <c r="J102" i="10"/>
  <c r="J103" i="10"/>
  <c r="J104" i="10"/>
  <c r="J105" i="10"/>
  <c r="J106" i="10"/>
  <c r="J107" i="10"/>
  <c r="J108" i="10"/>
  <c r="J109" i="10"/>
  <c r="J110" i="10"/>
  <c r="J111" i="10"/>
  <c r="J112" i="10"/>
  <c r="J113" i="10"/>
  <c r="J114" i="10"/>
  <c r="J115" i="10"/>
  <c r="J116" i="10"/>
  <c r="J117" i="10"/>
  <c r="J118" i="10"/>
  <c r="J119" i="10"/>
  <c r="J120" i="10"/>
  <c r="J121" i="10"/>
  <c r="J122" i="10"/>
  <c r="J123" i="10"/>
  <c r="J124" i="10"/>
  <c r="J125" i="10"/>
  <c r="J126" i="10"/>
  <c r="J127" i="10"/>
  <c r="J128" i="10"/>
  <c r="J129" i="10"/>
  <c r="J130" i="10"/>
  <c r="J131" i="10"/>
  <c r="I82" i="10"/>
  <c r="J82" i="10" s="1"/>
  <c r="K82" i="10" s="1" a="1"/>
  <c r="K82" i="10" s="1"/>
  <c r="E27" i="1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<sst xmlns="http://schemas.openxmlformats.org/spreadsheetml/2006/main" count="6497" uniqueCount="4500">
  <si>
    <t>STATE</t>
  </si>
  <si>
    <t>Revenue</t>
  </si>
  <si>
    <t>Andhra Pradesh</t>
  </si>
  <si>
    <t>Karnataka</t>
  </si>
  <si>
    <t>Kerala</t>
  </si>
  <si>
    <t>Tamil Nadu</t>
  </si>
  <si>
    <t>Telangana</t>
  </si>
  <si>
    <t>Grand Total</t>
  </si>
  <si>
    <t>PRODUCT_CTG</t>
  </si>
  <si>
    <t>Sum of QUANTITY</t>
  </si>
  <si>
    <t>car</t>
  </si>
  <si>
    <t>Laptop</t>
  </si>
  <si>
    <t>Smartphone</t>
  </si>
  <si>
    <t>TV</t>
  </si>
  <si>
    <t>WATCH</t>
  </si>
  <si>
    <t>ORDERDATE</t>
  </si>
  <si>
    <t>BRAND_NAME</t>
  </si>
  <si>
    <t>PRODUCT_NAME</t>
  </si>
  <si>
    <t>SALEID</t>
  </si>
  <si>
    <t>QUANTITY</t>
  </si>
  <si>
    <t>PRICE_PER_UNIT</t>
  </si>
  <si>
    <t>Invoice Price</t>
  </si>
  <si>
    <t>CITY</t>
  </si>
  <si>
    <t>DAY</t>
  </si>
  <si>
    <t>MONTH</t>
  </si>
  <si>
    <t>YEAR</t>
  </si>
  <si>
    <t>SHIPEDDATE</t>
  </si>
  <si>
    <t>OUTFORDELIVERY</t>
  </si>
  <si>
    <t>DELIVERY</t>
  </si>
  <si>
    <t>CUSTOMERKEY</t>
  </si>
  <si>
    <t>od_dd-d</t>
  </si>
  <si>
    <t xml:space="preserve">Late_Delivery </t>
  </si>
  <si>
    <t>ACER</t>
  </si>
  <si>
    <t>Predator Helios</t>
  </si>
  <si>
    <t>S1001</t>
  </si>
  <si>
    <t>Trivandrum</t>
  </si>
  <si>
    <t>Nothing</t>
  </si>
  <si>
    <t>Nothing Phone 2</t>
  </si>
  <si>
    <t>S1110</t>
  </si>
  <si>
    <t>Bangalore</t>
  </si>
  <si>
    <t>Xiaomi</t>
  </si>
  <si>
    <t>Redmi Note 12</t>
  </si>
  <si>
    <t>S1131</t>
  </si>
  <si>
    <t>Kochi</t>
  </si>
  <si>
    <t>ASUS</t>
  </si>
  <si>
    <t>ROG Zephyrus</t>
  </si>
  <si>
    <t>S1009</t>
  </si>
  <si>
    <t>Coimbatore</t>
  </si>
  <si>
    <t>S1031</t>
  </si>
  <si>
    <t>Vijayawada</t>
  </si>
  <si>
    <t>LENOVO</t>
  </si>
  <si>
    <t>ThinkPad E14</t>
  </si>
  <si>
    <t>S1040</t>
  </si>
  <si>
    <t>Madurai</t>
  </si>
  <si>
    <t>S1090</t>
  </si>
  <si>
    <t>Hyderabad</t>
  </si>
  <si>
    <t>Oppo</t>
  </si>
  <si>
    <t>Oppo Reno 10</t>
  </si>
  <si>
    <t>S1143</t>
  </si>
  <si>
    <t>DELL</t>
  </si>
  <si>
    <t>Inspiron 15</t>
  </si>
  <si>
    <t>S1014</t>
  </si>
  <si>
    <t>Vivobook 15</t>
  </si>
  <si>
    <t>S1037</t>
  </si>
  <si>
    <t>Visakhapatnam</t>
  </si>
  <si>
    <t>HP</t>
  </si>
  <si>
    <t>Pavilion 14</t>
  </si>
  <si>
    <t>S1045</t>
  </si>
  <si>
    <t>S1046</t>
  </si>
  <si>
    <t>S1053</t>
  </si>
  <si>
    <t>S1067</t>
  </si>
  <si>
    <t>S1091</t>
  </si>
  <si>
    <t>Samsung</t>
  </si>
  <si>
    <t>Galaxy S23</t>
  </si>
  <si>
    <t>S1104</t>
  </si>
  <si>
    <t>Chennai</t>
  </si>
  <si>
    <t>S1122</t>
  </si>
  <si>
    <t>OnePlus</t>
  </si>
  <si>
    <t>OnePlus 13</t>
  </si>
  <si>
    <t>S1150</t>
  </si>
  <si>
    <t>OnePlus 11</t>
  </si>
  <si>
    <t>S1152</t>
  </si>
  <si>
    <t>MSI</t>
  </si>
  <si>
    <t>Modern 14</t>
  </si>
  <si>
    <t>S1010</t>
  </si>
  <si>
    <t>GF63 Thin</t>
  </si>
  <si>
    <t>S1021</t>
  </si>
  <si>
    <t>S1056</t>
  </si>
  <si>
    <t>S1061</t>
  </si>
  <si>
    <t>Mysore</t>
  </si>
  <si>
    <t>Aspire 5</t>
  </si>
  <si>
    <t>S1012</t>
  </si>
  <si>
    <t>S1051</t>
  </si>
  <si>
    <t>S1086</t>
  </si>
  <si>
    <t>Omen 16</t>
  </si>
  <si>
    <t>S1011</t>
  </si>
  <si>
    <t>S1098</t>
  </si>
  <si>
    <t>Google</t>
  </si>
  <si>
    <t>Pixel 7</t>
  </si>
  <si>
    <t>S1124</t>
  </si>
  <si>
    <t>XPS 13</t>
  </si>
  <si>
    <t>S1042</t>
  </si>
  <si>
    <t>S1072</t>
  </si>
  <si>
    <t>S1025</t>
  </si>
  <si>
    <t>S1115</t>
  </si>
  <si>
    <t>Realme</t>
  </si>
  <si>
    <t>Realme GT Neo3</t>
  </si>
  <si>
    <t>S1157</t>
  </si>
  <si>
    <t>IdeaPad Slim 5</t>
  </si>
  <si>
    <t>S1066</t>
  </si>
  <si>
    <t>S1093</t>
  </si>
  <si>
    <t>S1127</t>
  </si>
  <si>
    <t>S1060</t>
  </si>
  <si>
    <t>S1068</t>
  </si>
  <si>
    <t>S1084</t>
  </si>
  <si>
    <t>Motorola</t>
  </si>
  <si>
    <t>Moto Edge 40</t>
  </si>
  <si>
    <t>S1103</t>
  </si>
  <si>
    <t>S1123</t>
  </si>
  <si>
    <t>S1132</t>
  </si>
  <si>
    <t>S1142</t>
  </si>
  <si>
    <t>S1006</t>
  </si>
  <si>
    <t>S1007</t>
  </si>
  <si>
    <t>S1008</t>
  </si>
  <si>
    <t>S1074</t>
  </si>
  <si>
    <t>S1076</t>
  </si>
  <si>
    <t>S1092</t>
  </si>
  <si>
    <t>S1097</t>
  </si>
  <si>
    <t>S1106</t>
  </si>
  <si>
    <t>S1118</t>
  </si>
  <si>
    <t>S1052</t>
  </si>
  <si>
    <t>S1062</t>
  </si>
  <si>
    <t>S1073</t>
  </si>
  <si>
    <t>Vivo</t>
  </si>
  <si>
    <t>Vivo V27</t>
  </si>
  <si>
    <t>S1155</t>
  </si>
  <si>
    <t>S1160</t>
  </si>
  <si>
    <t>S1016</t>
  </si>
  <si>
    <t>S1075</t>
  </si>
  <si>
    <t>S1113</t>
  </si>
  <si>
    <t>S1055</t>
  </si>
  <si>
    <t>S1063</t>
  </si>
  <si>
    <t>S1085</t>
  </si>
  <si>
    <t>S1038</t>
  </si>
  <si>
    <t>S1039</t>
  </si>
  <si>
    <t>S1044</t>
  </si>
  <si>
    <t>S1119</t>
  </si>
  <si>
    <t>S1141</t>
  </si>
  <si>
    <t>S1146</t>
  </si>
  <si>
    <t>S1149</t>
  </si>
  <si>
    <t>S1065</t>
  </si>
  <si>
    <t>S1083</t>
  </si>
  <si>
    <t>S1027</t>
  </si>
  <si>
    <t>S1079</t>
  </si>
  <si>
    <t>S1087</t>
  </si>
  <si>
    <t>S1108</t>
  </si>
  <si>
    <t>S1128</t>
  </si>
  <si>
    <t>S1159</t>
  </si>
  <si>
    <t>S1004</t>
  </si>
  <si>
    <t>S1024</t>
  </si>
  <si>
    <t>S1032</t>
  </si>
  <si>
    <t>S1049</t>
  </si>
  <si>
    <t>S1064</t>
  </si>
  <si>
    <t>S1114</t>
  </si>
  <si>
    <t>S1034</t>
  </si>
  <si>
    <t>S1082</t>
  </si>
  <si>
    <t>S1002</t>
  </si>
  <si>
    <t>S1018</t>
  </si>
  <si>
    <t>S1057</t>
  </si>
  <si>
    <t>S1125</t>
  </si>
  <si>
    <t>S1130</t>
  </si>
  <si>
    <t>S1019</t>
  </si>
  <si>
    <t>S1058</t>
  </si>
  <si>
    <t>S1107</t>
  </si>
  <si>
    <t>S1109</t>
  </si>
  <si>
    <t>S1112</t>
  </si>
  <si>
    <t>S1013</t>
  </si>
  <si>
    <t>S1139</t>
  </si>
  <si>
    <t>S1144</t>
  </si>
  <si>
    <t>S1151</t>
  </si>
  <si>
    <t>S1029</t>
  </si>
  <si>
    <t>S1030</t>
  </si>
  <si>
    <t>S1035</t>
  </si>
  <si>
    <t>S1048</t>
  </si>
  <si>
    <t>S1121</t>
  </si>
  <si>
    <t>S1005</t>
  </si>
  <si>
    <t>S1015</t>
  </si>
  <si>
    <t>S1028</t>
  </si>
  <si>
    <t>S1033</t>
  </si>
  <si>
    <t>S1077</t>
  </si>
  <si>
    <t>S1111</t>
  </si>
  <si>
    <t>S1133</t>
  </si>
  <si>
    <t>S1026</t>
  </si>
  <si>
    <t>S1069</t>
  </si>
  <si>
    <t>S1081</t>
  </si>
  <si>
    <t>Apple</t>
  </si>
  <si>
    <t>iPhone 14</t>
  </si>
  <si>
    <t>S1105</t>
  </si>
  <si>
    <t>S1129</t>
  </si>
  <si>
    <t>S1148</t>
  </si>
  <si>
    <t>S1023</t>
  </si>
  <si>
    <t>S1047</t>
  </si>
  <si>
    <t>S1059</t>
  </si>
  <si>
    <t>S1102</t>
  </si>
  <si>
    <t>S1116</t>
  </si>
  <si>
    <t>S1156</t>
  </si>
  <si>
    <t>S1070</t>
  </si>
  <si>
    <t>S1095</t>
  </si>
  <si>
    <t>S1101</t>
  </si>
  <si>
    <t>S1117</t>
  </si>
  <si>
    <t>S1135</t>
  </si>
  <si>
    <t>S1138</t>
  </si>
  <si>
    <t>S1080</t>
  </si>
  <si>
    <t>S1154</t>
  </si>
  <si>
    <t>S1099</t>
  </si>
  <si>
    <t>S1100</t>
  </si>
  <si>
    <t>S1126</t>
  </si>
  <si>
    <t>S1134</t>
  </si>
  <si>
    <t>S1147</t>
  </si>
  <si>
    <t>S1158</t>
  </si>
  <si>
    <t>S1017</t>
  </si>
  <si>
    <t>S1036</t>
  </si>
  <si>
    <t>S1088</t>
  </si>
  <si>
    <t>S1094</t>
  </si>
  <si>
    <t>S1145</t>
  </si>
  <si>
    <t>S1153</t>
  </si>
  <si>
    <t>S1022</t>
  </si>
  <si>
    <t>S1041</t>
  </si>
  <si>
    <t>S1054</t>
  </si>
  <si>
    <t>S1078</t>
  </si>
  <si>
    <t>S1096</t>
  </si>
  <si>
    <t>S1137</t>
  </si>
  <si>
    <t>S1136</t>
  </si>
  <si>
    <t>S1140</t>
  </si>
  <si>
    <t>S1003</t>
  </si>
  <si>
    <t>S1043</t>
  </si>
  <si>
    <t>S1089</t>
  </si>
  <si>
    <t>S1120</t>
  </si>
  <si>
    <t>S1020</t>
  </si>
  <si>
    <t>S1050</t>
  </si>
  <si>
    <t>S1071</t>
  </si>
  <si>
    <t>Realme GT Neo 3</t>
  </si>
  <si>
    <t>BRANDKEY</t>
  </si>
  <si>
    <t>PRODUCTKEY</t>
  </si>
  <si>
    <t>STATEKEY</t>
  </si>
  <si>
    <t>CITYKEY</t>
  </si>
  <si>
    <t>ORDERDATEKEY</t>
  </si>
  <si>
    <t>SHIPPEDKEY</t>
  </si>
  <si>
    <t>OUTFORDELIVERYKEY</t>
  </si>
  <si>
    <t>DELIVEYDATEKEY</t>
  </si>
  <si>
    <t>11092019</t>
  </si>
  <si>
    <t>15092019</t>
  </si>
  <si>
    <t>16092019</t>
  </si>
  <si>
    <t>20092019</t>
  </si>
  <si>
    <t>18052017</t>
  </si>
  <si>
    <t>20052017</t>
  </si>
  <si>
    <t>23052017</t>
  </si>
  <si>
    <t>25052017</t>
  </si>
  <si>
    <t>11112015</t>
  </si>
  <si>
    <t>13112015</t>
  </si>
  <si>
    <t>16112015</t>
  </si>
  <si>
    <t>18112015</t>
  </si>
  <si>
    <t>05032018</t>
  </si>
  <si>
    <t>09032018</t>
  </si>
  <si>
    <t>10032018</t>
  </si>
  <si>
    <t>14032018</t>
  </si>
  <si>
    <t>30042020</t>
  </si>
  <si>
    <t>04052020</t>
  </si>
  <si>
    <t>06052020</t>
  </si>
  <si>
    <t>09052020</t>
  </si>
  <si>
    <t>06122019</t>
  </si>
  <si>
    <t>09122019</t>
  </si>
  <si>
    <t>11122019</t>
  </si>
  <si>
    <t>15122019</t>
  </si>
  <si>
    <t>23042015</t>
  </si>
  <si>
    <t>27042015</t>
  </si>
  <si>
    <t>29042015</t>
  </si>
  <si>
    <t>30042015</t>
  </si>
  <si>
    <t>08072020</t>
  </si>
  <si>
    <t>11072020</t>
  </si>
  <si>
    <t>12072020</t>
  </si>
  <si>
    <t>15072020</t>
  </si>
  <si>
    <t>23052015</t>
  </si>
  <si>
    <t>26052015</t>
  </si>
  <si>
    <t>27052015</t>
  </si>
  <si>
    <t>28052015</t>
  </si>
  <si>
    <t>15082021</t>
  </si>
  <si>
    <t>16082021</t>
  </si>
  <si>
    <t>18082021</t>
  </si>
  <si>
    <t>22082021</t>
  </si>
  <si>
    <t>18072024</t>
  </si>
  <si>
    <t>21072024</t>
  </si>
  <si>
    <t>25072024</t>
  </si>
  <si>
    <t>29072024</t>
  </si>
  <si>
    <t>13052020</t>
  </si>
  <si>
    <t>16052020</t>
  </si>
  <si>
    <t>18052020</t>
  </si>
  <si>
    <t>19052020</t>
  </si>
  <si>
    <t>27072020</t>
  </si>
  <si>
    <t>29072020</t>
  </si>
  <si>
    <t>31072020</t>
  </si>
  <si>
    <t>01082020</t>
  </si>
  <si>
    <t>28082023</t>
  </si>
  <si>
    <t>01092023</t>
  </si>
  <si>
    <t>02092023</t>
  </si>
  <si>
    <t>05092023</t>
  </si>
  <si>
    <t>29082019</t>
  </si>
  <si>
    <t>30082019</t>
  </si>
  <si>
    <t>03092019</t>
  </si>
  <si>
    <t>05092019</t>
  </si>
  <si>
    <t>10062021</t>
  </si>
  <si>
    <t>14062021</t>
  </si>
  <si>
    <t>16062021</t>
  </si>
  <si>
    <t>19062021</t>
  </si>
  <si>
    <t>09012024</t>
  </si>
  <si>
    <t>12012024</t>
  </si>
  <si>
    <t>15012024</t>
  </si>
  <si>
    <t>17012024</t>
  </si>
  <si>
    <t>29112016</t>
  </si>
  <si>
    <t>02122016</t>
  </si>
  <si>
    <t>04122016</t>
  </si>
  <si>
    <t>05122016</t>
  </si>
  <si>
    <t>01062020</t>
  </si>
  <si>
    <t>04062020</t>
  </si>
  <si>
    <t>07062020</t>
  </si>
  <si>
    <t>09062020</t>
  </si>
  <si>
    <t>21072016</t>
  </si>
  <si>
    <t>24072016</t>
  </si>
  <si>
    <t>26072016</t>
  </si>
  <si>
    <t>30072016</t>
  </si>
  <si>
    <t>28012015</t>
  </si>
  <si>
    <t>30012015</t>
  </si>
  <si>
    <t>02022015</t>
  </si>
  <si>
    <t>06022015</t>
  </si>
  <si>
    <t>10052020</t>
  </si>
  <si>
    <t>17052020</t>
  </si>
  <si>
    <t>21052020</t>
  </si>
  <si>
    <t>02012024</t>
  </si>
  <si>
    <t>05012024</t>
  </si>
  <si>
    <t>08012024</t>
  </si>
  <si>
    <t>11012024</t>
  </si>
  <si>
    <t>29062025</t>
  </si>
  <si>
    <t>02072025</t>
  </si>
  <si>
    <t>05072025</t>
  </si>
  <si>
    <t>08072025</t>
  </si>
  <si>
    <t>19112025</t>
  </si>
  <si>
    <t>20112025</t>
  </si>
  <si>
    <t>23112025</t>
  </si>
  <si>
    <t>24112025</t>
  </si>
  <si>
    <t>17052019</t>
  </si>
  <si>
    <t>21052019</t>
  </si>
  <si>
    <t>24052019</t>
  </si>
  <si>
    <t>27052019</t>
  </si>
  <si>
    <t>10122019</t>
  </si>
  <si>
    <t>14122019</t>
  </si>
  <si>
    <t>16122019</t>
  </si>
  <si>
    <t>17122019</t>
  </si>
  <si>
    <t>28102017</t>
  </si>
  <si>
    <t>30102017</t>
  </si>
  <si>
    <t>01112017</t>
  </si>
  <si>
    <t>05112017</t>
  </si>
  <si>
    <t>30032022</t>
  </si>
  <si>
    <t>02042022</t>
  </si>
  <si>
    <t>03042022</t>
  </si>
  <si>
    <t>07042022</t>
  </si>
  <si>
    <t>02022018</t>
  </si>
  <si>
    <t>05022018</t>
  </si>
  <si>
    <t>07022018</t>
  </si>
  <si>
    <t>08022018</t>
  </si>
  <si>
    <t>19102023</t>
  </si>
  <si>
    <t>21102023</t>
  </si>
  <si>
    <t>22102023</t>
  </si>
  <si>
    <t>25102023</t>
  </si>
  <si>
    <t>01102021</t>
  </si>
  <si>
    <t>02102021</t>
  </si>
  <si>
    <t>06102021</t>
  </si>
  <si>
    <t>07102021</t>
  </si>
  <si>
    <t>17092025</t>
  </si>
  <si>
    <t>18092025</t>
  </si>
  <si>
    <t>19092025</t>
  </si>
  <si>
    <t>20092025</t>
  </si>
  <si>
    <t>25012023</t>
  </si>
  <si>
    <t>29012023</t>
  </si>
  <si>
    <t>02022023</t>
  </si>
  <si>
    <t>05022023</t>
  </si>
  <si>
    <t>01032024</t>
  </si>
  <si>
    <t>04032024</t>
  </si>
  <si>
    <t>05032024</t>
  </si>
  <si>
    <t>09032024</t>
  </si>
  <si>
    <t>23022018</t>
  </si>
  <si>
    <t>26022018</t>
  </si>
  <si>
    <t>01032018</t>
  </si>
  <si>
    <t>03032018</t>
  </si>
  <si>
    <t>12092019</t>
  </si>
  <si>
    <t>13092019</t>
  </si>
  <si>
    <t>14092019</t>
  </si>
  <si>
    <t>18092019</t>
  </si>
  <si>
    <t>02102020</t>
  </si>
  <si>
    <t>06102020</t>
  </si>
  <si>
    <t>08102020</t>
  </si>
  <si>
    <t>11102020</t>
  </si>
  <si>
    <t>08082020</t>
  </si>
  <si>
    <t>11082020</t>
  </si>
  <si>
    <t>14082020</t>
  </si>
  <si>
    <t>15082020</t>
  </si>
  <si>
    <t>04072019</t>
  </si>
  <si>
    <t>05072019</t>
  </si>
  <si>
    <t>07072019</t>
  </si>
  <si>
    <t>09072019</t>
  </si>
  <si>
    <t>13032017</t>
  </si>
  <si>
    <t>15032017</t>
  </si>
  <si>
    <t>17032017</t>
  </si>
  <si>
    <t>21032017</t>
  </si>
  <si>
    <t>23112020</t>
  </si>
  <si>
    <t>27112020</t>
  </si>
  <si>
    <t>30112020</t>
  </si>
  <si>
    <t>03122020</t>
  </si>
  <si>
    <t>06062019</t>
  </si>
  <si>
    <t>10062019</t>
  </si>
  <si>
    <t>13062019</t>
  </si>
  <si>
    <t>14062019</t>
  </si>
  <si>
    <t>12122022</t>
  </si>
  <si>
    <t>13122022</t>
  </si>
  <si>
    <t>15122022</t>
  </si>
  <si>
    <t>18122022</t>
  </si>
  <si>
    <t>25122018</t>
  </si>
  <si>
    <t>27122018</t>
  </si>
  <si>
    <t>30122018</t>
  </si>
  <si>
    <t>03012019</t>
  </si>
  <si>
    <t>26012023</t>
  </si>
  <si>
    <t>31012023</t>
  </si>
  <si>
    <t>07112020</t>
  </si>
  <si>
    <t>09112020</t>
  </si>
  <si>
    <t>10112020</t>
  </si>
  <si>
    <t>12112020</t>
  </si>
  <si>
    <t>28032020</t>
  </si>
  <si>
    <t>30032020</t>
  </si>
  <si>
    <t>03042020</t>
  </si>
  <si>
    <t>06042020</t>
  </si>
  <si>
    <t>23122017</t>
  </si>
  <si>
    <t>27122017</t>
  </si>
  <si>
    <t>28122017</t>
  </si>
  <si>
    <t>29122017</t>
  </si>
  <si>
    <t>02052021</t>
  </si>
  <si>
    <t>05052021</t>
  </si>
  <si>
    <t>09052021</t>
  </si>
  <si>
    <t>11052021</t>
  </si>
  <si>
    <t>16022015</t>
  </si>
  <si>
    <t>18022015</t>
  </si>
  <si>
    <t>22022015</t>
  </si>
  <si>
    <t>24022015</t>
  </si>
  <si>
    <t>30072021</t>
  </si>
  <si>
    <t>02082021</t>
  </si>
  <si>
    <t>05082021</t>
  </si>
  <si>
    <t>09082021</t>
  </si>
  <si>
    <t>12052023</t>
  </si>
  <si>
    <t>16052023</t>
  </si>
  <si>
    <t>20052023</t>
  </si>
  <si>
    <t>23052023</t>
  </si>
  <si>
    <t>15012018</t>
  </si>
  <si>
    <t>17012018</t>
  </si>
  <si>
    <t>19012018</t>
  </si>
  <si>
    <t>20012018</t>
  </si>
  <si>
    <t>01122023</t>
  </si>
  <si>
    <t>04122023</t>
  </si>
  <si>
    <t>08122023</t>
  </si>
  <si>
    <t>10122023</t>
  </si>
  <si>
    <t>04082021</t>
  </si>
  <si>
    <t>06082021</t>
  </si>
  <si>
    <t>07082021</t>
  </si>
  <si>
    <t>01082018</t>
  </si>
  <si>
    <t>05082018</t>
  </si>
  <si>
    <t>06082018</t>
  </si>
  <si>
    <t>10082018</t>
  </si>
  <si>
    <t>21112019</t>
  </si>
  <si>
    <t>24112019</t>
  </si>
  <si>
    <t>25112019</t>
  </si>
  <si>
    <t>29112019</t>
  </si>
  <si>
    <t>30012021</t>
  </si>
  <si>
    <t>01022021</t>
  </si>
  <si>
    <t>03022021</t>
  </si>
  <si>
    <t>07022021</t>
  </si>
  <si>
    <t>20032023</t>
  </si>
  <si>
    <t>23032023</t>
  </si>
  <si>
    <t>26032023</t>
  </si>
  <si>
    <t>28032023</t>
  </si>
  <si>
    <t>23082019</t>
  </si>
  <si>
    <t>26082019</t>
  </si>
  <si>
    <t>01092019</t>
  </si>
  <si>
    <t>14052020</t>
  </si>
  <si>
    <t>22052020</t>
  </si>
  <si>
    <t>08072023</t>
  </si>
  <si>
    <t>12072023</t>
  </si>
  <si>
    <t>14072023</t>
  </si>
  <si>
    <t>17072023</t>
  </si>
  <si>
    <t>19022020</t>
  </si>
  <si>
    <t>20022020</t>
  </si>
  <si>
    <t>22022020</t>
  </si>
  <si>
    <t>25022020</t>
  </si>
  <si>
    <t>30122015</t>
  </si>
  <si>
    <t>31122015</t>
  </si>
  <si>
    <t>03012016</t>
  </si>
  <si>
    <t>04012016</t>
  </si>
  <si>
    <t>21092019</t>
  </si>
  <si>
    <t>25092019</t>
  </si>
  <si>
    <t>28092019</t>
  </si>
  <si>
    <t>02102019</t>
  </si>
  <si>
    <t>11052019</t>
  </si>
  <si>
    <t>12052019</t>
  </si>
  <si>
    <t>16052019</t>
  </si>
  <si>
    <t>19052019</t>
  </si>
  <si>
    <t>04112022</t>
  </si>
  <si>
    <t>07112022</t>
  </si>
  <si>
    <t>10112022</t>
  </si>
  <si>
    <t>14112022</t>
  </si>
  <si>
    <t>20072017</t>
  </si>
  <si>
    <t>22072017</t>
  </si>
  <si>
    <t>24072017</t>
  </si>
  <si>
    <t>25072017</t>
  </si>
  <si>
    <t>06062024</t>
  </si>
  <si>
    <t>08062024</t>
  </si>
  <si>
    <t>11062024</t>
  </si>
  <si>
    <t>15062024</t>
  </si>
  <si>
    <t>07052021</t>
  </si>
  <si>
    <t>08052021</t>
  </si>
  <si>
    <t>10052021</t>
  </si>
  <si>
    <t>17072022</t>
  </si>
  <si>
    <t>21072022</t>
  </si>
  <si>
    <t>24072022</t>
  </si>
  <si>
    <t>28072022</t>
  </si>
  <si>
    <t>04082020</t>
  </si>
  <si>
    <t>05082020</t>
  </si>
  <si>
    <t>09102021</t>
  </si>
  <si>
    <t>10102021</t>
  </si>
  <si>
    <t>14102021</t>
  </si>
  <si>
    <t>16102021</t>
  </si>
  <si>
    <t>09122017</t>
  </si>
  <si>
    <t>13122017</t>
  </si>
  <si>
    <t>17122017</t>
  </si>
  <si>
    <t>21122017</t>
  </si>
  <si>
    <t>10042017</t>
  </si>
  <si>
    <t>13042017</t>
  </si>
  <si>
    <t>16042017</t>
  </si>
  <si>
    <t>19042017</t>
  </si>
  <si>
    <t>17012020</t>
  </si>
  <si>
    <t>21012020</t>
  </si>
  <si>
    <t>23012020</t>
  </si>
  <si>
    <t>24012020</t>
  </si>
  <si>
    <t>29112015</t>
  </si>
  <si>
    <t>30112015</t>
  </si>
  <si>
    <t>02122015</t>
  </si>
  <si>
    <t>05122015</t>
  </si>
  <si>
    <t>08092020</t>
  </si>
  <si>
    <t>11092020</t>
  </si>
  <si>
    <t>12092020</t>
  </si>
  <si>
    <t>16092020</t>
  </si>
  <si>
    <t>27082025</t>
  </si>
  <si>
    <t>28082025</t>
  </si>
  <si>
    <t>30082025</t>
  </si>
  <si>
    <t>02092025</t>
  </si>
  <si>
    <t>22032023</t>
  </si>
  <si>
    <t>25032023</t>
  </si>
  <si>
    <t>27032023</t>
  </si>
  <si>
    <t>30032023</t>
  </si>
  <si>
    <t>26112015</t>
  </si>
  <si>
    <t>27112015</t>
  </si>
  <si>
    <t>28112015</t>
  </si>
  <si>
    <t>21122023</t>
  </si>
  <si>
    <t>24122023</t>
  </si>
  <si>
    <t>25122023</t>
  </si>
  <si>
    <t>29122023</t>
  </si>
  <si>
    <t>24032025</t>
  </si>
  <si>
    <t>26032025</t>
  </si>
  <si>
    <t>29032025</t>
  </si>
  <si>
    <t>01042025</t>
  </si>
  <si>
    <t>15102022</t>
  </si>
  <si>
    <t>18102022</t>
  </si>
  <si>
    <t>20102022</t>
  </si>
  <si>
    <t>21102022</t>
  </si>
  <si>
    <t>06022021</t>
  </si>
  <si>
    <t>08022021</t>
  </si>
  <si>
    <t>10022021</t>
  </si>
  <si>
    <t>20022017</t>
  </si>
  <si>
    <t>21022017</t>
  </si>
  <si>
    <t>24022017</t>
  </si>
  <si>
    <t>27022017</t>
  </si>
  <si>
    <t>04082017</t>
  </si>
  <si>
    <t>06082017</t>
  </si>
  <si>
    <t>10082017</t>
  </si>
  <si>
    <t>12082017</t>
  </si>
  <si>
    <t>25012025</t>
  </si>
  <si>
    <t>26012025</t>
  </si>
  <si>
    <t>29012025</t>
  </si>
  <si>
    <t>31012025</t>
  </si>
  <si>
    <t>19022018</t>
  </si>
  <si>
    <t>24022018</t>
  </si>
  <si>
    <t>28022018</t>
  </si>
  <si>
    <t>23092025</t>
  </si>
  <si>
    <t>26092025</t>
  </si>
  <si>
    <t>11112021</t>
  </si>
  <si>
    <t>15112021</t>
  </si>
  <si>
    <t>16112021</t>
  </si>
  <si>
    <t>19112021</t>
  </si>
  <si>
    <t>25122016</t>
  </si>
  <si>
    <t>27122016</t>
  </si>
  <si>
    <t>28122016</t>
  </si>
  <si>
    <t>29122016</t>
  </si>
  <si>
    <t>22122024</t>
  </si>
  <si>
    <t>24122024</t>
  </si>
  <si>
    <t>27122024</t>
  </si>
  <si>
    <t>31122024</t>
  </si>
  <si>
    <t>12022022</t>
  </si>
  <si>
    <t>16022022</t>
  </si>
  <si>
    <t>20022022</t>
  </si>
  <si>
    <t>24022022</t>
  </si>
  <si>
    <t>02072019</t>
  </si>
  <si>
    <t>03072019</t>
  </si>
  <si>
    <t>11052022</t>
  </si>
  <si>
    <t>14052022</t>
  </si>
  <si>
    <t>16052022</t>
  </si>
  <si>
    <t>19052022</t>
  </si>
  <si>
    <t>02042025</t>
  </si>
  <si>
    <t>06042025</t>
  </si>
  <si>
    <t>08042025</t>
  </si>
  <si>
    <t>10042025</t>
  </si>
  <si>
    <t>17032018</t>
  </si>
  <si>
    <t>21032018</t>
  </si>
  <si>
    <t>25032018</t>
  </si>
  <si>
    <t>27032018</t>
  </si>
  <si>
    <t>03062018</t>
  </si>
  <si>
    <t>07062018</t>
  </si>
  <si>
    <t>10062018</t>
  </si>
  <si>
    <t>14062018</t>
  </si>
  <si>
    <t>22012023</t>
  </si>
  <si>
    <t>30012023</t>
  </si>
  <si>
    <t>23062015</t>
  </si>
  <si>
    <t>26062015</t>
  </si>
  <si>
    <t>27062015</t>
  </si>
  <si>
    <t>28062015</t>
  </si>
  <si>
    <t>08012016</t>
  </si>
  <si>
    <t>11012016</t>
  </si>
  <si>
    <t>12012016</t>
  </si>
  <si>
    <t>16012016</t>
  </si>
  <si>
    <t>22032017</t>
  </si>
  <si>
    <t>26032017</t>
  </si>
  <si>
    <t>30032017</t>
  </si>
  <si>
    <t>31032017</t>
  </si>
  <si>
    <t>06092020</t>
  </si>
  <si>
    <t>05102017</t>
  </si>
  <si>
    <t>09102017</t>
  </si>
  <si>
    <t>10102017</t>
  </si>
  <si>
    <t>14102017</t>
  </si>
  <si>
    <t>28122024</t>
  </si>
  <si>
    <t>03012025</t>
  </si>
  <si>
    <t>27072016</t>
  </si>
  <si>
    <t>29072016</t>
  </si>
  <si>
    <t>24022024</t>
  </si>
  <si>
    <t>26022024</t>
  </si>
  <si>
    <t>29022024</t>
  </si>
  <si>
    <t>04042021</t>
  </si>
  <si>
    <t>07042021</t>
  </si>
  <si>
    <t>11042021</t>
  </si>
  <si>
    <t>14042021</t>
  </si>
  <si>
    <t>15042017</t>
  </si>
  <si>
    <t>18042017</t>
  </si>
  <si>
    <t>16042022</t>
  </si>
  <si>
    <t>18042022</t>
  </si>
  <si>
    <t>21042022</t>
  </si>
  <si>
    <t>24042022</t>
  </si>
  <si>
    <t>03082024</t>
  </si>
  <si>
    <t>05082024</t>
  </si>
  <si>
    <t>07082024</t>
  </si>
  <si>
    <t>11082024</t>
  </si>
  <si>
    <t>29042025</t>
  </si>
  <si>
    <t>03052025</t>
  </si>
  <si>
    <t>05052025</t>
  </si>
  <si>
    <t>06052025</t>
  </si>
  <si>
    <t>17052023</t>
  </si>
  <si>
    <t>30012025</t>
  </si>
  <si>
    <t>04022025</t>
  </si>
  <si>
    <t>14112024</t>
  </si>
  <si>
    <t>17112024</t>
  </si>
  <si>
    <t>20112024</t>
  </si>
  <si>
    <t>22112024</t>
  </si>
  <si>
    <t>14052023</t>
  </si>
  <si>
    <t>18052023</t>
  </si>
  <si>
    <t>19052023</t>
  </si>
  <si>
    <t>26112023</t>
  </si>
  <si>
    <t>30112023</t>
  </si>
  <si>
    <t>06122023</t>
  </si>
  <si>
    <t>12072025</t>
  </si>
  <si>
    <t>14072025</t>
  </si>
  <si>
    <t>17072025</t>
  </si>
  <si>
    <t>21072025</t>
  </si>
  <si>
    <t>20072023</t>
  </si>
  <si>
    <t>24072023</t>
  </si>
  <si>
    <t>26072023</t>
  </si>
  <si>
    <t>30072023</t>
  </si>
  <si>
    <t>30112019</t>
  </si>
  <si>
    <t>01122019</t>
  </si>
  <si>
    <t>02122019</t>
  </si>
  <si>
    <t>06072021</t>
  </si>
  <si>
    <t>08072021</t>
  </si>
  <si>
    <t>09072021</t>
  </si>
  <si>
    <t>13072021</t>
  </si>
  <si>
    <t>07072018</t>
  </si>
  <si>
    <t>08072018</t>
  </si>
  <si>
    <t>11072018</t>
  </si>
  <si>
    <t>14072018</t>
  </si>
  <si>
    <t>30052022</t>
  </si>
  <si>
    <t>31052022</t>
  </si>
  <si>
    <t>02062022</t>
  </si>
  <si>
    <t>06062022</t>
  </si>
  <si>
    <t>26102017</t>
  </si>
  <si>
    <t>04112017</t>
  </si>
  <si>
    <t>17042018</t>
  </si>
  <si>
    <t>18042018</t>
  </si>
  <si>
    <t>19042018</t>
  </si>
  <si>
    <t>23042018</t>
  </si>
  <si>
    <t>07042020</t>
  </si>
  <si>
    <t>09042020</t>
  </si>
  <si>
    <t>12042020</t>
  </si>
  <si>
    <t>16042020</t>
  </si>
  <si>
    <t>13112024</t>
  </si>
  <si>
    <t>18112024</t>
  </si>
  <si>
    <t>21112024</t>
  </si>
  <si>
    <t>06042018</t>
  </si>
  <si>
    <t>08042018</t>
  </si>
  <si>
    <t>11042018</t>
  </si>
  <si>
    <t>12042018</t>
  </si>
  <si>
    <t>03122025</t>
  </si>
  <si>
    <t>05122025</t>
  </si>
  <si>
    <t>08122025</t>
  </si>
  <si>
    <t>09122025</t>
  </si>
  <si>
    <t>26052023</t>
  </si>
  <si>
    <t>28052023</t>
  </si>
  <si>
    <t>30052023</t>
  </si>
  <si>
    <t>01062023</t>
  </si>
  <si>
    <t>14122022</t>
  </si>
  <si>
    <t>19122022</t>
  </si>
  <si>
    <t>30052015</t>
  </si>
  <si>
    <t>31052015</t>
  </si>
  <si>
    <t>04062015</t>
  </si>
  <si>
    <t>07062015</t>
  </si>
  <si>
    <t>19092019</t>
  </si>
  <si>
    <t>23092019</t>
  </si>
  <si>
    <t>23102017</t>
  </si>
  <si>
    <t>24102017</t>
  </si>
  <si>
    <t>29102017</t>
  </si>
  <si>
    <t>12022020</t>
  </si>
  <si>
    <t>13022020</t>
  </si>
  <si>
    <t>15022020</t>
  </si>
  <si>
    <t>09022024</t>
  </si>
  <si>
    <t>10022024</t>
  </si>
  <si>
    <t>12022024</t>
  </si>
  <si>
    <t>15022024</t>
  </si>
  <si>
    <t>18102017</t>
  </si>
  <si>
    <t>20102017</t>
  </si>
  <si>
    <t>25102017</t>
  </si>
  <si>
    <t>27032024</t>
  </si>
  <si>
    <t>31032024</t>
  </si>
  <si>
    <t>01042024</t>
  </si>
  <si>
    <t>05042024</t>
  </si>
  <si>
    <t>20082019</t>
  </si>
  <si>
    <t>22082019</t>
  </si>
  <si>
    <t>24082019</t>
  </si>
  <si>
    <t>27082019</t>
  </si>
  <si>
    <t>12042023</t>
  </si>
  <si>
    <t>13042023</t>
  </si>
  <si>
    <t>16042023</t>
  </si>
  <si>
    <t>20042023</t>
  </si>
  <si>
    <t>07092016</t>
  </si>
  <si>
    <t>10092016</t>
  </si>
  <si>
    <t>14092016</t>
  </si>
  <si>
    <t>16092016</t>
  </si>
  <si>
    <t>02062024</t>
  </si>
  <si>
    <t>09062024</t>
  </si>
  <si>
    <t>12062024</t>
  </si>
  <si>
    <t>01062024</t>
  </si>
  <si>
    <t>04062024</t>
  </si>
  <si>
    <t>27022019</t>
  </si>
  <si>
    <t>28022019</t>
  </si>
  <si>
    <t>01032019</t>
  </si>
  <si>
    <t>02032019</t>
  </si>
  <si>
    <t>16072025</t>
  </si>
  <si>
    <t>18072025</t>
  </si>
  <si>
    <t>20072025</t>
  </si>
  <si>
    <t>23072025</t>
  </si>
  <si>
    <t>10062020</t>
  </si>
  <si>
    <t>14062020</t>
  </si>
  <si>
    <t>18062020</t>
  </si>
  <si>
    <t>22062020</t>
  </si>
  <si>
    <t>15042019</t>
  </si>
  <si>
    <t>18042019</t>
  </si>
  <si>
    <t>22042019</t>
  </si>
  <si>
    <t>24042019</t>
  </si>
  <si>
    <t>14092024</t>
  </si>
  <si>
    <t>17092024</t>
  </si>
  <si>
    <t>18092024</t>
  </si>
  <si>
    <t>19092024</t>
  </si>
  <si>
    <t>21012017</t>
  </si>
  <si>
    <t>25012017</t>
  </si>
  <si>
    <t>28012017</t>
  </si>
  <si>
    <t>29012017</t>
  </si>
  <si>
    <t>21042025</t>
  </si>
  <si>
    <t>23042025</t>
  </si>
  <si>
    <t>27042025</t>
  </si>
  <si>
    <t>06022019</t>
  </si>
  <si>
    <t>08022019</t>
  </si>
  <si>
    <t>11022019</t>
  </si>
  <si>
    <t>13022019</t>
  </si>
  <si>
    <t>30112024</t>
  </si>
  <si>
    <t>01122024</t>
  </si>
  <si>
    <t>02122024</t>
  </si>
  <si>
    <t>05122024</t>
  </si>
  <si>
    <t>15032025</t>
  </si>
  <si>
    <t>19032025</t>
  </si>
  <si>
    <t>22032025</t>
  </si>
  <si>
    <t>25032025</t>
  </si>
  <si>
    <t>12072024</t>
  </si>
  <si>
    <t>14072024</t>
  </si>
  <si>
    <t>22072024</t>
  </si>
  <si>
    <t>19062022</t>
  </si>
  <si>
    <t>21062022</t>
  </si>
  <si>
    <t>24062022</t>
  </si>
  <si>
    <t>27062022</t>
  </si>
  <si>
    <t>24062025</t>
  </si>
  <si>
    <t>26062025</t>
  </si>
  <si>
    <t>28062025</t>
  </si>
  <si>
    <t>30062025</t>
  </si>
  <si>
    <t>CATG_ID</t>
  </si>
  <si>
    <t>CATG_NAME</t>
  </si>
  <si>
    <t>EMPID</t>
  </si>
  <si>
    <t>FIRSTNAME</t>
  </si>
  <si>
    <t>LASTNAME</t>
  </si>
  <si>
    <t>GENDER</t>
  </si>
  <si>
    <t>DATEOFBIRTH</t>
  </si>
  <si>
    <t>PRANEETH</t>
  </si>
  <si>
    <t>B</t>
  </si>
  <si>
    <t>Male</t>
  </si>
  <si>
    <t>PARIMI</t>
  </si>
  <si>
    <t>SHIVA</t>
  </si>
  <si>
    <t>BHANU</t>
  </si>
  <si>
    <t>T</t>
  </si>
  <si>
    <t>GANESH</t>
  </si>
  <si>
    <t>Female</t>
  </si>
  <si>
    <t>Vinay</t>
  </si>
  <si>
    <t>Shukla</t>
  </si>
  <si>
    <t>HEMANTH</t>
  </si>
  <si>
    <t>C</t>
  </si>
  <si>
    <t>TEJASHWAR</t>
  </si>
  <si>
    <t>M</t>
  </si>
  <si>
    <t>YASHWANTH</t>
  </si>
  <si>
    <t>CH</t>
  </si>
  <si>
    <t>MALE</t>
  </si>
  <si>
    <t>KIRAN</t>
  </si>
  <si>
    <t>SUBRAT</t>
  </si>
  <si>
    <t>K</t>
  </si>
  <si>
    <t>VIJAY</t>
  </si>
  <si>
    <t>Verma</t>
  </si>
  <si>
    <t>VINEELA</t>
  </si>
  <si>
    <t>Sinha</t>
  </si>
  <si>
    <t>FEMALE</t>
  </si>
  <si>
    <t>KUSHALI</t>
  </si>
  <si>
    <t>Rathi</t>
  </si>
  <si>
    <t>PREETHIKA</t>
  </si>
  <si>
    <t>SUHAS</t>
  </si>
  <si>
    <t>A</t>
  </si>
  <si>
    <t xml:space="preserve">BHARATH </t>
  </si>
  <si>
    <t>BUSHAN</t>
  </si>
  <si>
    <t>NIKHIL</t>
  </si>
  <si>
    <t>Shetty</t>
  </si>
  <si>
    <t>SHYAM</t>
  </si>
  <si>
    <t>Sharma</t>
  </si>
  <si>
    <t>SHILPA</t>
  </si>
  <si>
    <t>D</t>
  </si>
  <si>
    <t>VARDHAN</t>
  </si>
  <si>
    <t>Reddy</t>
  </si>
  <si>
    <t>GOWTHAM</t>
  </si>
  <si>
    <t>Rao</t>
  </si>
  <si>
    <t>S</t>
  </si>
  <si>
    <t>PIYUSH</t>
  </si>
  <si>
    <t>Date</t>
  </si>
  <si>
    <t>DATEKEY</t>
  </si>
  <si>
    <t>01012015</t>
  </si>
  <si>
    <t>02012015</t>
  </si>
  <si>
    <t>03012015</t>
  </si>
  <si>
    <t>04012015</t>
  </si>
  <si>
    <t>05012015</t>
  </si>
  <si>
    <t>06012015</t>
  </si>
  <si>
    <t>07012015</t>
  </si>
  <si>
    <t>08012015</t>
  </si>
  <si>
    <t>09012015</t>
  </si>
  <si>
    <t>10012015</t>
  </si>
  <si>
    <t>11012015</t>
  </si>
  <si>
    <t>12012015</t>
  </si>
  <si>
    <t>13012015</t>
  </si>
  <si>
    <t>14012015</t>
  </si>
  <si>
    <t>15012015</t>
  </si>
  <si>
    <t>16012015</t>
  </si>
  <si>
    <t>17012015</t>
  </si>
  <si>
    <t>18012015</t>
  </si>
  <si>
    <t>19012015</t>
  </si>
  <si>
    <t>20012015</t>
  </si>
  <si>
    <t>21012015</t>
  </si>
  <si>
    <t>22012015</t>
  </si>
  <si>
    <t>23012015</t>
  </si>
  <si>
    <t>24012015</t>
  </si>
  <si>
    <t>25012015</t>
  </si>
  <si>
    <t>26012015</t>
  </si>
  <si>
    <t>27012015</t>
  </si>
  <si>
    <t>29012015</t>
  </si>
  <si>
    <t>31012015</t>
  </si>
  <si>
    <t>01022015</t>
  </si>
  <si>
    <t>03022015</t>
  </si>
  <si>
    <t>04022015</t>
  </si>
  <si>
    <t>05022015</t>
  </si>
  <si>
    <t>07022015</t>
  </si>
  <si>
    <t>08022015</t>
  </si>
  <si>
    <t>09022015</t>
  </si>
  <si>
    <t>10022015</t>
  </si>
  <si>
    <t>11022015</t>
  </si>
  <si>
    <t>12022015</t>
  </si>
  <si>
    <t>13022015</t>
  </si>
  <si>
    <t>14022015</t>
  </si>
  <si>
    <t>15022015</t>
  </si>
  <si>
    <t>17022015</t>
  </si>
  <si>
    <t>19022015</t>
  </si>
  <si>
    <t>20022015</t>
  </si>
  <si>
    <t>21022015</t>
  </si>
  <si>
    <t>23022015</t>
  </si>
  <si>
    <t>25022015</t>
  </si>
  <si>
    <t>26022015</t>
  </si>
  <si>
    <t>27022015</t>
  </si>
  <si>
    <t>28022015</t>
  </si>
  <si>
    <t>01032015</t>
  </si>
  <si>
    <t>02032015</t>
  </si>
  <si>
    <t>03032015</t>
  </si>
  <si>
    <t>04032015</t>
  </si>
  <si>
    <t>05032015</t>
  </si>
  <si>
    <t>06032015</t>
  </si>
  <si>
    <t>07032015</t>
  </si>
  <si>
    <t>08032015</t>
  </si>
  <si>
    <t>09032015</t>
  </si>
  <si>
    <t>10032015</t>
  </si>
  <si>
    <t>11032015</t>
  </si>
  <si>
    <t>12032015</t>
  </si>
  <si>
    <t>13032015</t>
  </si>
  <si>
    <t>14032015</t>
  </si>
  <si>
    <t>15032015</t>
  </si>
  <si>
    <t>16032015</t>
  </si>
  <si>
    <t>17032015</t>
  </si>
  <si>
    <t>18032015</t>
  </si>
  <si>
    <t>19032015</t>
  </si>
  <si>
    <t>20032015</t>
  </si>
  <si>
    <t>21032015</t>
  </si>
  <si>
    <t>22032015</t>
  </si>
  <si>
    <t>23032015</t>
  </si>
  <si>
    <t>24032015</t>
  </si>
  <si>
    <t>25032015</t>
  </si>
  <si>
    <t>26032015</t>
  </si>
  <si>
    <t>27032015</t>
  </si>
  <si>
    <t>28032015</t>
  </si>
  <si>
    <t>29032015</t>
  </si>
  <si>
    <t>30032015</t>
  </si>
  <si>
    <t>31032015</t>
  </si>
  <si>
    <t>01042015</t>
  </si>
  <si>
    <t>02042015</t>
  </si>
  <si>
    <t>03042015</t>
  </si>
  <si>
    <t>04042015</t>
  </si>
  <si>
    <t>05042015</t>
  </si>
  <si>
    <t>06042015</t>
  </si>
  <si>
    <t>07042015</t>
  </si>
  <si>
    <t>08042015</t>
  </si>
  <si>
    <t>09042015</t>
  </si>
  <si>
    <t>10042015</t>
  </si>
  <si>
    <t>11042015</t>
  </si>
  <si>
    <t>12042015</t>
  </si>
  <si>
    <t>13042015</t>
  </si>
  <si>
    <t>14042015</t>
  </si>
  <si>
    <t>15042015</t>
  </si>
  <si>
    <t>16042015</t>
  </si>
  <si>
    <t>17042015</t>
  </si>
  <si>
    <t>18042015</t>
  </si>
  <si>
    <t>19042015</t>
  </si>
  <si>
    <t>20042015</t>
  </si>
  <si>
    <t>21042015</t>
  </si>
  <si>
    <t>22042015</t>
  </si>
  <si>
    <t>24042015</t>
  </si>
  <si>
    <t>25042015</t>
  </si>
  <si>
    <t>26042015</t>
  </si>
  <si>
    <t>28042015</t>
  </si>
  <si>
    <t>01052015</t>
  </si>
  <si>
    <t>02052015</t>
  </si>
  <si>
    <t>03052015</t>
  </si>
  <si>
    <t>04052015</t>
  </si>
  <si>
    <t>05052015</t>
  </si>
  <si>
    <t>06052015</t>
  </si>
  <si>
    <t>07052015</t>
  </si>
  <si>
    <t>08052015</t>
  </si>
  <si>
    <t>09052015</t>
  </si>
  <si>
    <t>10052015</t>
  </si>
  <si>
    <t>11052015</t>
  </si>
  <si>
    <t>12052015</t>
  </si>
  <si>
    <t>13052015</t>
  </si>
  <si>
    <t>14052015</t>
  </si>
  <si>
    <t>15052015</t>
  </si>
  <si>
    <t>16052015</t>
  </si>
  <si>
    <t>17052015</t>
  </si>
  <si>
    <t>18052015</t>
  </si>
  <si>
    <t>19052015</t>
  </si>
  <si>
    <t>20052015</t>
  </si>
  <si>
    <t>21052015</t>
  </si>
  <si>
    <t>22052015</t>
  </si>
  <si>
    <t>24052015</t>
  </si>
  <si>
    <t>25052015</t>
  </si>
  <si>
    <t>29052015</t>
  </si>
  <si>
    <t>01062015</t>
  </si>
  <si>
    <t>02062015</t>
  </si>
  <si>
    <t>03062015</t>
  </si>
  <si>
    <t>05062015</t>
  </si>
  <si>
    <t>06062015</t>
  </si>
  <si>
    <t>08062015</t>
  </si>
  <si>
    <t>09062015</t>
  </si>
  <si>
    <t>10062015</t>
  </si>
  <si>
    <t>11062015</t>
  </si>
  <si>
    <t>12062015</t>
  </si>
  <si>
    <t>13062015</t>
  </si>
  <si>
    <t>14062015</t>
  </si>
  <si>
    <t>15062015</t>
  </si>
  <si>
    <t>16062015</t>
  </si>
  <si>
    <t>17062015</t>
  </si>
  <si>
    <t>18062015</t>
  </si>
  <si>
    <t>19062015</t>
  </si>
  <si>
    <t>20062015</t>
  </si>
  <si>
    <t>21062015</t>
  </si>
  <si>
    <t>22062015</t>
  </si>
  <si>
    <t>24062015</t>
  </si>
  <si>
    <t>25062015</t>
  </si>
  <si>
    <t>29062015</t>
  </si>
  <si>
    <t>30062015</t>
  </si>
  <si>
    <t>01072015</t>
  </si>
  <si>
    <t>02072015</t>
  </si>
  <si>
    <t>03072015</t>
  </si>
  <si>
    <t>04072015</t>
  </si>
  <si>
    <t>05072015</t>
  </si>
  <si>
    <t>06072015</t>
  </si>
  <si>
    <t>07072015</t>
  </si>
  <si>
    <t>08072015</t>
  </si>
  <si>
    <t>09072015</t>
  </si>
  <si>
    <t>10072015</t>
  </si>
  <si>
    <t>11072015</t>
  </si>
  <si>
    <t>12072015</t>
  </si>
  <si>
    <t>13072015</t>
  </si>
  <si>
    <t>14072015</t>
  </si>
  <si>
    <t>15072015</t>
  </si>
  <si>
    <t>16072015</t>
  </si>
  <si>
    <t>17072015</t>
  </si>
  <si>
    <t>18072015</t>
  </si>
  <si>
    <t>19072015</t>
  </si>
  <si>
    <t>20072015</t>
  </si>
  <si>
    <t>21072015</t>
  </si>
  <si>
    <t>22072015</t>
  </si>
  <si>
    <t>23072015</t>
  </si>
  <si>
    <t>24072015</t>
  </si>
  <si>
    <t>25072015</t>
  </si>
  <si>
    <t>26072015</t>
  </si>
  <si>
    <t>27072015</t>
  </si>
  <si>
    <t>28072015</t>
  </si>
  <si>
    <t>29072015</t>
  </si>
  <si>
    <t>30072015</t>
  </si>
  <si>
    <t>31072015</t>
  </si>
  <si>
    <t>01082015</t>
  </si>
  <si>
    <t>02082015</t>
  </si>
  <si>
    <t>03082015</t>
  </si>
  <si>
    <t>04082015</t>
  </si>
  <si>
    <t>05082015</t>
  </si>
  <si>
    <t>06082015</t>
  </si>
  <si>
    <t>07082015</t>
  </si>
  <si>
    <t>08082015</t>
  </si>
  <si>
    <t>09082015</t>
  </si>
  <si>
    <t>10082015</t>
  </si>
  <si>
    <t>11082015</t>
  </si>
  <si>
    <t>12082015</t>
  </si>
  <si>
    <t>13082015</t>
  </si>
  <si>
    <t>14082015</t>
  </si>
  <si>
    <t>15082015</t>
  </si>
  <si>
    <t>16082015</t>
  </si>
  <si>
    <t>17082015</t>
  </si>
  <si>
    <t>18082015</t>
  </si>
  <si>
    <t>19082015</t>
  </si>
  <si>
    <t>20082015</t>
  </si>
  <si>
    <t>21082015</t>
  </si>
  <si>
    <t>22082015</t>
  </si>
  <si>
    <t>23082015</t>
  </si>
  <si>
    <t>24082015</t>
  </si>
  <si>
    <t>25082015</t>
  </si>
  <si>
    <t>26082015</t>
  </si>
  <si>
    <t>27082015</t>
  </si>
  <si>
    <t>28082015</t>
  </si>
  <si>
    <t>29082015</t>
  </si>
  <si>
    <t>30082015</t>
  </si>
  <si>
    <t>31082015</t>
  </si>
  <si>
    <t>01092015</t>
  </si>
  <si>
    <t>02092015</t>
  </si>
  <si>
    <t>03092015</t>
  </si>
  <si>
    <t>04092015</t>
  </si>
  <si>
    <t>05092015</t>
  </si>
  <si>
    <t>06092015</t>
  </si>
  <si>
    <t>07092015</t>
  </si>
  <si>
    <t>08092015</t>
  </si>
  <si>
    <t>09092015</t>
  </si>
  <si>
    <t>10092015</t>
  </si>
  <si>
    <t>11092015</t>
  </si>
  <si>
    <t>12092015</t>
  </si>
  <si>
    <t>13092015</t>
  </si>
  <si>
    <t>14092015</t>
  </si>
  <si>
    <t>15092015</t>
  </si>
  <si>
    <t>16092015</t>
  </si>
  <si>
    <t>17092015</t>
  </si>
  <si>
    <t>18092015</t>
  </si>
  <si>
    <t>19092015</t>
  </si>
  <si>
    <t>20092015</t>
  </si>
  <si>
    <t>21092015</t>
  </si>
  <si>
    <t>22092015</t>
  </si>
  <si>
    <t>23092015</t>
  </si>
  <si>
    <t>24092015</t>
  </si>
  <si>
    <t>25092015</t>
  </si>
  <si>
    <t>26092015</t>
  </si>
  <si>
    <t>27092015</t>
  </si>
  <si>
    <t>28092015</t>
  </si>
  <si>
    <t>29092015</t>
  </si>
  <si>
    <t>30092015</t>
  </si>
  <si>
    <t>01102015</t>
  </si>
  <si>
    <t>02102015</t>
  </si>
  <si>
    <t>03102015</t>
  </si>
  <si>
    <t>04102015</t>
  </si>
  <si>
    <t>05102015</t>
  </si>
  <si>
    <t>06102015</t>
  </si>
  <si>
    <t>07102015</t>
  </si>
  <si>
    <t>08102015</t>
  </si>
  <si>
    <t>09102015</t>
  </si>
  <si>
    <t>10102015</t>
  </si>
  <si>
    <t>11102015</t>
  </si>
  <si>
    <t>12102015</t>
  </si>
  <si>
    <t>13102015</t>
  </si>
  <si>
    <t>14102015</t>
  </si>
  <si>
    <t>15102015</t>
  </si>
  <si>
    <t>16102015</t>
  </si>
  <si>
    <t>17102015</t>
  </si>
  <si>
    <t>18102015</t>
  </si>
  <si>
    <t>19102015</t>
  </si>
  <si>
    <t>20102015</t>
  </si>
  <si>
    <t>21102015</t>
  </si>
  <si>
    <t>22102015</t>
  </si>
  <si>
    <t>23102015</t>
  </si>
  <si>
    <t>24102015</t>
  </si>
  <si>
    <t>25102015</t>
  </si>
  <si>
    <t>26102015</t>
  </si>
  <si>
    <t>27102015</t>
  </si>
  <si>
    <t>28102015</t>
  </si>
  <si>
    <t>29102015</t>
  </si>
  <si>
    <t>30102015</t>
  </si>
  <si>
    <t>31102015</t>
  </si>
  <si>
    <t>01112015</t>
  </si>
  <si>
    <t>02112015</t>
  </si>
  <si>
    <t>03112015</t>
  </si>
  <si>
    <t>04112015</t>
  </si>
  <si>
    <t>05112015</t>
  </si>
  <si>
    <t>06112015</t>
  </si>
  <si>
    <t>07112015</t>
  </si>
  <si>
    <t>08112015</t>
  </si>
  <si>
    <t>09112015</t>
  </si>
  <si>
    <t>10112015</t>
  </si>
  <si>
    <t>12112015</t>
  </si>
  <si>
    <t>14112015</t>
  </si>
  <si>
    <t>15112015</t>
  </si>
  <si>
    <t>17112015</t>
  </si>
  <si>
    <t>19112015</t>
  </si>
  <si>
    <t>20112015</t>
  </si>
  <si>
    <t>21112015</t>
  </si>
  <si>
    <t>22112015</t>
  </si>
  <si>
    <t>23112015</t>
  </si>
  <si>
    <t>24112015</t>
  </si>
  <si>
    <t>25112015</t>
  </si>
  <si>
    <t>01122015</t>
  </si>
  <si>
    <t>03122015</t>
  </si>
  <si>
    <t>04122015</t>
  </si>
  <si>
    <t>06122015</t>
  </si>
  <si>
    <t>07122015</t>
  </si>
  <si>
    <t>08122015</t>
  </si>
  <si>
    <t>09122015</t>
  </si>
  <si>
    <t>10122015</t>
  </si>
  <si>
    <t>11122015</t>
  </si>
  <si>
    <t>12122015</t>
  </si>
  <si>
    <t>13122015</t>
  </si>
  <si>
    <t>14122015</t>
  </si>
  <si>
    <t>15122015</t>
  </si>
  <si>
    <t>16122015</t>
  </si>
  <si>
    <t>17122015</t>
  </si>
  <si>
    <t>18122015</t>
  </si>
  <si>
    <t>19122015</t>
  </si>
  <si>
    <t>20122015</t>
  </si>
  <si>
    <t>21122015</t>
  </si>
  <si>
    <t>22122015</t>
  </si>
  <si>
    <t>23122015</t>
  </si>
  <si>
    <t>24122015</t>
  </si>
  <si>
    <t>25122015</t>
  </si>
  <si>
    <t>26122015</t>
  </si>
  <si>
    <t>27122015</t>
  </si>
  <si>
    <t>28122015</t>
  </si>
  <si>
    <t>29122015</t>
  </si>
  <si>
    <t>01012016</t>
  </si>
  <si>
    <t>02012016</t>
  </si>
  <si>
    <t>05012016</t>
  </si>
  <si>
    <t>06012016</t>
  </si>
  <si>
    <t>07012016</t>
  </si>
  <si>
    <t>09012016</t>
  </si>
  <si>
    <t>10012016</t>
  </si>
  <si>
    <t>13012016</t>
  </si>
  <si>
    <t>14012016</t>
  </si>
  <si>
    <t>15012016</t>
  </si>
  <si>
    <t>17012016</t>
  </si>
  <si>
    <t>18012016</t>
  </si>
  <si>
    <t>19012016</t>
  </si>
  <si>
    <t>20012016</t>
  </si>
  <si>
    <t>21012016</t>
  </si>
  <si>
    <t>22012016</t>
  </si>
  <si>
    <t>23012016</t>
  </si>
  <si>
    <t>24012016</t>
  </si>
  <si>
    <t>25012016</t>
  </si>
  <si>
    <t>26012016</t>
  </si>
  <si>
    <t>27012016</t>
  </si>
  <si>
    <t>28012016</t>
  </si>
  <si>
    <t>29012016</t>
  </si>
  <si>
    <t>30012016</t>
  </si>
  <si>
    <t>31012016</t>
  </si>
  <si>
    <t>01022016</t>
  </si>
  <si>
    <t>02022016</t>
  </si>
  <si>
    <t>03022016</t>
  </si>
  <si>
    <t>04022016</t>
  </si>
  <si>
    <t>05022016</t>
  </si>
  <si>
    <t>06022016</t>
  </si>
  <si>
    <t>07022016</t>
  </si>
  <si>
    <t>08022016</t>
  </si>
  <si>
    <t>09022016</t>
  </si>
  <si>
    <t>10022016</t>
  </si>
  <si>
    <t>11022016</t>
  </si>
  <si>
    <t>12022016</t>
  </si>
  <si>
    <t>13022016</t>
  </si>
  <si>
    <t>14022016</t>
  </si>
  <si>
    <t>15022016</t>
  </si>
  <si>
    <t>16022016</t>
  </si>
  <si>
    <t>17022016</t>
  </si>
  <si>
    <t>18022016</t>
  </si>
  <si>
    <t>19022016</t>
  </si>
  <si>
    <t>20022016</t>
  </si>
  <si>
    <t>21022016</t>
  </si>
  <si>
    <t>22022016</t>
  </si>
  <si>
    <t>23022016</t>
  </si>
  <si>
    <t>24022016</t>
  </si>
  <si>
    <t>25022016</t>
  </si>
  <si>
    <t>26022016</t>
  </si>
  <si>
    <t>27022016</t>
  </si>
  <si>
    <t>28022016</t>
  </si>
  <si>
    <t>29022016</t>
  </si>
  <si>
    <t>01032016</t>
  </si>
  <si>
    <t>02032016</t>
  </si>
  <si>
    <t>03032016</t>
  </si>
  <si>
    <t>04032016</t>
  </si>
  <si>
    <t>05032016</t>
  </si>
  <si>
    <t>06032016</t>
  </si>
  <si>
    <t>07032016</t>
  </si>
  <si>
    <t>08032016</t>
  </si>
  <si>
    <t>09032016</t>
  </si>
  <si>
    <t>10032016</t>
  </si>
  <si>
    <t>11032016</t>
  </si>
  <si>
    <t>12032016</t>
  </si>
  <si>
    <t>13032016</t>
  </si>
  <si>
    <t>14032016</t>
  </si>
  <si>
    <t>15032016</t>
  </si>
  <si>
    <t>16032016</t>
  </si>
  <si>
    <t>17032016</t>
  </si>
  <si>
    <t>18032016</t>
  </si>
  <si>
    <t>19032016</t>
  </si>
  <si>
    <t>20032016</t>
  </si>
  <si>
    <t>21032016</t>
  </si>
  <si>
    <t>22032016</t>
  </si>
  <si>
    <t>23032016</t>
  </si>
  <si>
    <t>24032016</t>
  </si>
  <si>
    <t>25032016</t>
  </si>
  <si>
    <t>26032016</t>
  </si>
  <si>
    <t>27032016</t>
  </si>
  <si>
    <t>28032016</t>
  </si>
  <si>
    <t>29032016</t>
  </si>
  <si>
    <t>30032016</t>
  </si>
  <si>
    <t>31032016</t>
  </si>
  <si>
    <t>01042016</t>
  </si>
  <si>
    <t>02042016</t>
  </si>
  <si>
    <t>03042016</t>
  </si>
  <si>
    <t>04042016</t>
  </si>
  <si>
    <t>05042016</t>
  </si>
  <si>
    <t>06042016</t>
  </si>
  <si>
    <t>07042016</t>
  </si>
  <si>
    <t>08042016</t>
  </si>
  <si>
    <t>09042016</t>
  </si>
  <si>
    <t>10042016</t>
  </si>
  <si>
    <t>11042016</t>
  </si>
  <si>
    <t>12042016</t>
  </si>
  <si>
    <t>13042016</t>
  </si>
  <si>
    <t>14042016</t>
  </si>
  <si>
    <t>15042016</t>
  </si>
  <si>
    <t>16042016</t>
  </si>
  <si>
    <t>17042016</t>
  </si>
  <si>
    <t>18042016</t>
  </si>
  <si>
    <t>19042016</t>
  </si>
  <si>
    <t>20042016</t>
  </si>
  <si>
    <t>21042016</t>
  </si>
  <si>
    <t>22042016</t>
  </si>
  <si>
    <t>23042016</t>
  </si>
  <si>
    <t>24042016</t>
  </si>
  <si>
    <t>25042016</t>
  </si>
  <si>
    <t>26042016</t>
  </si>
  <si>
    <t>27042016</t>
  </si>
  <si>
    <t>28042016</t>
  </si>
  <si>
    <t>29042016</t>
  </si>
  <si>
    <t>30042016</t>
  </si>
  <si>
    <t>01052016</t>
  </si>
  <si>
    <t>02052016</t>
  </si>
  <si>
    <t>03052016</t>
  </si>
  <si>
    <t>04052016</t>
  </si>
  <si>
    <t>05052016</t>
  </si>
  <si>
    <t>06052016</t>
  </si>
  <si>
    <t>07052016</t>
  </si>
  <si>
    <t>08052016</t>
  </si>
  <si>
    <t>09052016</t>
  </si>
  <si>
    <t>10052016</t>
  </si>
  <si>
    <t>11052016</t>
  </si>
  <si>
    <t>12052016</t>
  </si>
  <si>
    <t>13052016</t>
  </si>
  <si>
    <t>14052016</t>
  </si>
  <si>
    <t>15052016</t>
  </si>
  <si>
    <t>16052016</t>
  </si>
  <si>
    <t>17052016</t>
  </si>
  <si>
    <t>18052016</t>
  </si>
  <si>
    <t>19052016</t>
  </si>
  <si>
    <t>20052016</t>
  </si>
  <si>
    <t>21052016</t>
  </si>
  <si>
    <t>22052016</t>
  </si>
  <si>
    <t>23052016</t>
  </si>
  <si>
    <t>24052016</t>
  </si>
  <si>
    <t>25052016</t>
  </si>
  <si>
    <t>26052016</t>
  </si>
  <si>
    <t>27052016</t>
  </si>
  <si>
    <t>28052016</t>
  </si>
  <si>
    <t>29052016</t>
  </si>
  <si>
    <t>30052016</t>
  </si>
  <si>
    <t>31052016</t>
  </si>
  <si>
    <t>01062016</t>
  </si>
  <si>
    <t>02062016</t>
  </si>
  <si>
    <t>03062016</t>
  </si>
  <si>
    <t>04062016</t>
  </si>
  <si>
    <t>05062016</t>
  </si>
  <si>
    <t>06062016</t>
  </si>
  <si>
    <t>07062016</t>
  </si>
  <si>
    <t>08062016</t>
  </si>
  <si>
    <t>09062016</t>
  </si>
  <si>
    <t>10062016</t>
  </si>
  <si>
    <t>11062016</t>
  </si>
  <si>
    <t>12062016</t>
  </si>
  <si>
    <t>13062016</t>
  </si>
  <si>
    <t>14062016</t>
  </si>
  <si>
    <t>15062016</t>
  </si>
  <si>
    <t>16062016</t>
  </si>
  <si>
    <t>17062016</t>
  </si>
  <si>
    <t>18062016</t>
  </si>
  <si>
    <t>19062016</t>
  </si>
  <si>
    <t>20062016</t>
  </si>
  <si>
    <t>21062016</t>
  </si>
  <si>
    <t>22062016</t>
  </si>
  <si>
    <t>23062016</t>
  </si>
  <si>
    <t>24062016</t>
  </si>
  <si>
    <t>25062016</t>
  </si>
  <si>
    <t>26062016</t>
  </si>
  <si>
    <t>27062016</t>
  </si>
  <si>
    <t>28062016</t>
  </si>
  <si>
    <t>29062016</t>
  </si>
  <si>
    <t>30062016</t>
  </si>
  <si>
    <t>01072016</t>
  </si>
  <si>
    <t>02072016</t>
  </si>
  <si>
    <t>03072016</t>
  </si>
  <si>
    <t>04072016</t>
  </si>
  <si>
    <t>05072016</t>
  </si>
  <si>
    <t>06072016</t>
  </si>
  <si>
    <t>07072016</t>
  </si>
  <si>
    <t>08072016</t>
  </si>
  <si>
    <t>09072016</t>
  </si>
  <si>
    <t>10072016</t>
  </si>
  <si>
    <t>11072016</t>
  </si>
  <si>
    <t>12072016</t>
  </si>
  <si>
    <t>13072016</t>
  </si>
  <si>
    <t>14072016</t>
  </si>
  <si>
    <t>15072016</t>
  </si>
  <si>
    <t>16072016</t>
  </si>
  <si>
    <t>17072016</t>
  </si>
  <si>
    <t>18072016</t>
  </si>
  <si>
    <t>19072016</t>
  </si>
  <si>
    <t>20072016</t>
  </si>
  <si>
    <t>22072016</t>
  </si>
  <si>
    <t>23072016</t>
  </si>
  <si>
    <t>25072016</t>
  </si>
  <si>
    <t>28072016</t>
  </si>
  <si>
    <t>31072016</t>
  </si>
  <si>
    <t>01082016</t>
  </si>
  <si>
    <t>02082016</t>
  </si>
  <si>
    <t>03082016</t>
  </si>
  <si>
    <t>04082016</t>
  </si>
  <si>
    <t>05082016</t>
  </si>
  <si>
    <t>06082016</t>
  </si>
  <si>
    <t>07082016</t>
  </si>
  <si>
    <t>08082016</t>
  </si>
  <si>
    <t>09082016</t>
  </si>
  <si>
    <t>10082016</t>
  </si>
  <si>
    <t>11082016</t>
  </si>
  <si>
    <t>12082016</t>
  </si>
  <si>
    <t>13082016</t>
  </si>
  <si>
    <t>14082016</t>
  </si>
  <si>
    <t>15082016</t>
  </si>
  <si>
    <t>16082016</t>
  </si>
  <si>
    <t>17082016</t>
  </si>
  <si>
    <t>18082016</t>
  </si>
  <si>
    <t>19082016</t>
  </si>
  <si>
    <t>20082016</t>
  </si>
  <si>
    <t>21082016</t>
  </si>
  <si>
    <t>22082016</t>
  </si>
  <si>
    <t>23082016</t>
  </si>
  <si>
    <t>24082016</t>
  </si>
  <si>
    <t>25082016</t>
  </si>
  <si>
    <t>26082016</t>
  </si>
  <si>
    <t>27082016</t>
  </si>
  <si>
    <t>28082016</t>
  </si>
  <si>
    <t>29082016</t>
  </si>
  <si>
    <t>30082016</t>
  </si>
  <si>
    <t>31082016</t>
  </si>
  <si>
    <t>01092016</t>
  </si>
  <si>
    <t>02092016</t>
  </si>
  <si>
    <t>03092016</t>
  </si>
  <si>
    <t>04092016</t>
  </si>
  <si>
    <t>05092016</t>
  </si>
  <si>
    <t>06092016</t>
  </si>
  <si>
    <t>08092016</t>
  </si>
  <si>
    <t>09092016</t>
  </si>
  <si>
    <t>11092016</t>
  </si>
  <si>
    <t>12092016</t>
  </si>
  <si>
    <t>13092016</t>
  </si>
  <si>
    <t>15092016</t>
  </si>
  <si>
    <t>17092016</t>
  </si>
  <si>
    <t>18092016</t>
  </si>
  <si>
    <t>19092016</t>
  </si>
  <si>
    <t>20092016</t>
  </si>
  <si>
    <t>21092016</t>
  </si>
  <si>
    <t>22092016</t>
  </si>
  <si>
    <t>23092016</t>
  </si>
  <si>
    <t>24092016</t>
  </si>
  <si>
    <t>25092016</t>
  </si>
  <si>
    <t>26092016</t>
  </si>
  <si>
    <t>27092016</t>
  </si>
  <si>
    <t>28092016</t>
  </si>
  <si>
    <t>29092016</t>
  </si>
  <si>
    <t>30092016</t>
  </si>
  <si>
    <t>01102016</t>
  </si>
  <si>
    <t>02102016</t>
  </si>
  <si>
    <t>03102016</t>
  </si>
  <si>
    <t>04102016</t>
  </si>
  <si>
    <t>05102016</t>
  </si>
  <si>
    <t>06102016</t>
  </si>
  <si>
    <t>07102016</t>
  </si>
  <si>
    <t>08102016</t>
  </si>
  <si>
    <t>09102016</t>
  </si>
  <si>
    <t>10102016</t>
  </si>
  <si>
    <t>11102016</t>
  </si>
  <si>
    <t>12102016</t>
  </si>
  <si>
    <t>13102016</t>
  </si>
  <si>
    <t>14102016</t>
  </si>
  <si>
    <t>15102016</t>
  </si>
  <si>
    <t>16102016</t>
  </si>
  <si>
    <t>17102016</t>
  </si>
  <si>
    <t>18102016</t>
  </si>
  <si>
    <t>19102016</t>
  </si>
  <si>
    <t>20102016</t>
  </si>
  <si>
    <t>21102016</t>
  </si>
  <si>
    <t>22102016</t>
  </si>
  <si>
    <t>23102016</t>
  </si>
  <si>
    <t>24102016</t>
  </si>
  <si>
    <t>25102016</t>
  </si>
  <si>
    <t>26102016</t>
  </si>
  <si>
    <t>27102016</t>
  </si>
  <si>
    <t>28102016</t>
  </si>
  <si>
    <t>29102016</t>
  </si>
  <si>
    <t>30102016</t>
  </si>
  <si>
    <t>31102016</t>
  </si>
  <si>
    <t>01112016</t>
  </si>
  <si>
    <t>02112016</t>
  </si>
  <si>
    <t>03112016</t>
  </si>
  <si>
    <t>04112016</t>
  </si>
  <si>
    <t>05112016</t>
  </si>
  <si>
    <t>06112016</t>
  </si>
  <si>
    <t>07112016</t>
  </si>
  <si>
    <t>08112016</t>
  </si>
  <si>
    <t>09112016</t>
  </si>
  <si>
    <t>10112016</t>
  </si>
  <si>
    <t>11112016</t>
  </si>
  <si>
    <t>12112016</t>
  </si>
  <si>
    <t>13112016</t>
  </si>
  <si>
    <t>14112016</t>
  </si>
  <si>
    <t>15112016</t>
  </si>
  <si>
    <t>16112016</t>
  </si>
  <si>
    <t>17112016</t>
  </si>
  <si>
    <t>18112016</t>
  </si>
  <si>
    <t>19112016</t>
  </si>
  <si>
    <t>20112016</t>
  </si>
  <si>
    <t>21112016</t>
  </si>
  <si>
    <t>22112016</t>
  </si>
  <si>
    <t>23112016</t>
  </si>
  <si>
    <t>24112016</t>
  </si>
  <si>
    <t>25112016</t>
  </si>
  <si>
    <t>26112016</t>
  </si>
  <si>
    <t>27112016</t>
  </si>
  <si>
    <t>28112016</t>
  </si>
  <si>
    <t>30112016</t>
  </si>
  <si>
    <t>01122016</t>
  </si>
  <si>
    <t>03122016</t>
  </si>
  <si>
    <t>06122016</t>
  </si>
  <si>
    <t>07122016</t>
  </si>
  <si>
    <t>08122016</t>
  </si>
  <si>
    <t>09122016</t>
  </si>
  <si>
    <t>10122016</t>
  </si>
  <si>
    <t>11122016</t>
  </si>
  <si>
    <t>12122016</t>
  </si>
  <si>
    <t>13122016</t>
  </si>
  <si>
    <t>14122016</t>
  </si>
  <si>
    <t>15122016</t>
  </si>
  <si>
    <t>16122016</t>
  </si>
  <si>
    <t>17122016</t>
  </si>
  <si>
    <t>18122016</t>
  </si>
  <si>
    <t>19122016</t>
  </si>
  <si>
    <t>20122016</t>
  </si>
  <si>
    <t>21122016</t>
  </si>
  <si>
    <t>22122016</t>
  </si>
  <si>
    <t>23122016</t>
  </si>
  <si>
    <t>24122016</t>
  </si>
  <si>
    <t>26122016</t>
  </si>
  <si>
    <t>30122016</t>
  </si>
  <si>
    <t>31122016</t>
  </si>
  <si>
    <t>01012017</t>
  </si>
  <si>
    <t>02012017</t>
  </si>
  <si>
    <t>03012017</t>
  </si>
  <si>
    <t>04012017</t>
  </si>
  <si>
    <t>05012017</t>
  </si>
  <si>
    <t>06012017</t>
  </si>
  <si>
    <t>07012017</t>
  </si>
  <si>
    <t>08012017</t>
  </si>
  <si>
    <t>09012017</t>
  </si>
  <si>
    <t>10012017</t>
  </si>
  <si>
    <t>11012017</t>
  </si>
  <si>
    <t>12012017</t>
  </si>
  <si>
    <t>13012017</t>
  </si>
  <si>
    <t>14012017</t>
  </si>
  <si>
    <t>15012017</t>
  </si>
  <si>
    <t>16012017</t>
  </si>
  <si>
    <t>17012017</t>
  </si>
  <si>
    <t>18012017</t>
  </si>
  <si>
    <t>19012017</t>
  </si>
  <si>
    <t>20012017</t>
  </si>
  <si>
    <t>22012017</t>
  </si>
  <si>
    <t>23012017</t>
  </si>
  <si>
    <t>24012017</t>
  </si>
  <si>
    <t>26012017</t>
  </si>
  <si>
    <t>27012017</t>
  </si>
  <si>
    <t>30012017</t>
  </si>
  <si>
    <t>31012017</t>
  </si>
  <si>
    <t>01022017</t>
  </si>
  <si>
    <t>02022017</t>
  </si>
  <si>
    <t>03022017</t>
  </si>
  <si>
    <t>04022017</t>
  </si>
  <si>
    <t>05022017</t>
  </si>
  <si>
    <t>06022017</t>
  </si>
  <si>
    <t>07022017</t>
  </si>
  <si>
    <t>08022017</t>
  </si>
  <si>
    <t>09022017</t>
  </si>
  <si>
    <t>10022017</t>
  </si>
  <si>
    <t>11022017</t>
  </si>
  <si>
    <t>12022017</t>
  </si>
  <si>
    <t>13022017</t>
  </si>
  <si>
    <t>14022017</t>
  </si>
  <si>
    <t>15022017</t>
  </si>
  <si>
    <t>16022017</t>
  </si>
  <si>
    <t>17022017</t>
  </si>
  <si>
    <t>18022017</t>
  </si>
  <si>
    <t>19022017</t>
  </si>
  <si>
    <t>22022017</t>
  </si>
  <si>
    <t>23022017</t>
  </si>
  <si>
    <t>25022017</t>
  </si>
  <si>
    <t>26022017</t>
  </si>
  <si>
    <t>28022017</t>
  </si>
  <si>
    <t>01032017</t>
  </si>
  <si>
    <t>02032017</t>
  </si>
  <si>
    <t>03032017</t>
  </si>
  <si>
    <t>04032017</t>
  </si>
  <si>
    <t>05032017</t>
  </si>
  <si>
    <t>06032017</t>
  </si>
  <si>
    <t>07032017</t>
  </si>
  <si>
    <t>08032017</t>
  </si>
  <si>
    <t>09032017</t>
  </si>
  <si>
    <t>10032017</t>
  </si>
  <si>
    <t>11032017</t>
  </si>
  <si>
    <t>12032017</t>
  </si>
  <si>
    <t>14032017</t>
  </si>
  <si>
    <t>16032017</t>
  </si>
  <si>
    <t>18032017</t>
  </si>
  <si>
    <t>19032017</t>
  </si>
  <si>
    <t>20032017</t>
  </si>
  <si>
    <t>23032017</t>
  </si>
  <si>
    <t>24032017</t>
  </si>
  <si>
    <t>25032017</t>
  </si>
  <si>
    <t>27032017</t>
  </si>
  <si>
    <t>28032017</t>
  </si>
  <si>
    <t>29032017</t>
  </si>
  <si>
    <t>01042017</t>
  </si>
  <si>
    <t>02042017</t>
  </si>
  <si>
    <t>03042017</t>
  </si>
  <si>
    <t>04042017</t>
  </si>
  <si>
    <t>05042017</t>
  </si>
  <si>
    <t>06042017</t>
  </si>
  <si>
    <t>07042017</t>
  </si>
  <si>
    <t>08042017</t>
  </si>
  <si>
    <t>09042017</t>
  </si>
  <si>
    <t>11042017</t>
  </si>
  <si>
    <t>12042017</t>
  </si>
  <si>
    <t>14042017</t>
  </si>
  <si>
    <t>17042017</t>
  </si>
  <si>
    <t>20042017</t>
  </si>
  <si>
    <t>21042017</t>
  </si>
  <si>
    <t>22042017</t>
  </si>
  <si>
    <t>23042017</t>
  </si>
  <si>
    <t>24042017</t>
  </si>
  <si>
    <t>25042017</t>
  </si>
  <si>
    <t>26042017</t>
  </si>
  <si>
    <t>27042017</t>
  </si>
  <si>
    <t>28042017</t>
  </si>
  <si>
    <t>29042017</t>
  </si>
  <si>
    <t>30042017</t>
  </si>
  <si>
    <t>01052017</t>
  </si>
  <si>
    <t>02052017</t>
  </si>
  <si>
    <t>03052017</t>
  </si>
  <si>
    <t>04052017</t>
  </si>
  <si>
    <t>05052017</t>
  </si>
  <si>
    <t>06052017</t>
  </si>
  <si>
    <t>07052017</t>
  </si>
  <si>
    <t>08052017</t>
  </si>
  <si>
    <t>09052017</t>
  </si>
  <si>
    <t>10052017</t>
  </si>
  <si>
    <t>11052017</t>
  </si>
  <si>
    <t>12052017</t>
  </si>
  <si>
    <t>13052017</t>
  </si>
  <si>
    <t>14052017</t>
  </si>
  <si>
    <t>15052017</t>
  </si>
  <si>
    <t>16052017</t>
  </si>
  <si>
    <t>17052017</t>
  </si>
  <si>
    <t>19052017</t>
  </si>
  <si>
    <t>21052017</t>
  </si>
  <si>
    <t>22052017</t>
  </si>
  <si>
    <t>24052017</t>
  </si>
  <si>
    <t>26052017</t>
  </si>
  <si>
    <t>27052017</t>
  </si>
  <si>
    <t>28052017</t>
  </si>
  <si>
    <t>29052017</t>
  </si>
  <si>
    <t>30052017</t>
  </si>
  <si>
    <t>31052017</t>
  </si>
  <si>
    <t>01062017</t>
  </si>
  <si>
    <t>02062017</t>
  </si>
  <si>
    <t>03062017</t>
  </si>
  <si>
    <t>04062017</t>
  </si>
  <si>
    <t>05062017</t>
  </si>
  <si>
    <t>06062017</t>
  </si>
  <si>
    <t>07062017</t>
  </si>
  <si>
    <t>08062017</t>
  </si>
  <si>
    <t>09062017</t>
  </si>
  <si>
    <t>10062017</t>
  </si>
  <si>
    <t>11062017</t>
  </si>
  <si>
    <t>12062017</t>
  </si>
  <si>
    <t>13062017</t>
  </si>
  <si>
    <t>14062017</t>
  </si>
  <si>
    <t>15062017</t>
  </si>
  <si>
    <t>16062017</t>
  </si>
  <si>
    <t>17062017</t>
  </si>
  <si>
    <t>18062017</t>
  </si>
  <si>
    <t>19062017</t>
  </si>
  <si>
    <t>20062017</t>
  </si>
  <si>
    <t>21062017</t>
  </si>
  <si>
    <t>22062017</t>
  </si>
  <si>
    <t>23062017</t>
  </si>
  <si>
    <t>24062017</t>
  </si>
  <si>
    <t>25062017</t>
  </si>
  <si>
    <t>26062017</t>
  </si>
  <si>
    <t>27062017</t>
  </si>
  <si>
    <t>28062017</t>
  </si>
  <si>
    <t>29062017</t>
  </si>
  <si>
    <t>30062017</t>
  </si>
  <si>
    <t>01072017</t>
  </si>
  <si>
    <t>02072017</t>
  </si>
  <si>
    <t>03072017</t>
  </si>
  <si>
    <t>04072017</t>
  </si>
  <si>
    <t>05072017</t>
  </si>
  <si>
    <t>06072017</t>
  </si>
  <si>
    <t>07072017</t>
  </si>
  <si>
    <t>08072017</t>
  </si>
  <si>
    <t>09072017</t>
  </si>
  <si>
    <t>10072017</t>
  </si>
  <si>
    <t>11072017</t>
  </si>
  <si>
    <t>12072017</t>
  </si>
  <si>
    <t>13072017</t>
  </si>
  <si>
    <t>14072017</t>
  </si>
  <si>
    <t>15072017</t>
  </si>
  <si>
    <t>16072017</t>
  </si>
  <si>
    <t>17072017</t>
  </si>
  <si>
    <t>18072017</t>
  </si>
  <si>
    <t>19072017</t>
  </si>
  <si>
    <t>21072017</t>
  </si>
  <si>
    <t>23072017</t>
  </si>
  <si>
    <t>26072017</t>
  </si>
  <si>
    <t>27072017</t>
  </si>
  <si>
    <t>28072017</t>
  </si>
  <si>
    <t>29072017</t>
  </si>
  <si>
    <t>30072017</t>
  </si>
  <si>
    <t>31072017</t>
  </si>
  <si>
    <t>01082017</t>
  </si>
  <si>
    <t>02082017</t>
  </si>
  <si>
    <t>03082017</t>
  </si>
  <si>
    <t>05082017</t>
  </si>
  <si>
    <t>07082017</t>
  </si>
  <si>
    <t>08082017</t>
  </si>
  <si>
    <t>09082017</t>
  </si>
  <si>
    <t>11082017</t>
  </si>
  <si>
    <t>13082017</t>
  </si>
  <si>
    <t>14082017</t>
  </si>
  <si>
    <t>15082017</t>
  </si>
  <si>
    <t>16082017</t>
  </si>
  <si>
    <t>17082017</t>
  </si>
  <si>
    <t>18082017</t>
  </si>
  <si>
    <t>19082017</t>
  </si>
  <si>
    <t>20082017</t>
  </si>
  <si>
    <t>21082017</t>
  </si>
  <si>
    <t>22082017</t>
  </si>
  <si>
    <t>23082017</t>
  </si>
  <si>
    <t>24082017</t>
  </si>
  <si>
    <t>25082017</t>
  </si>
  <si>
    <t>26082017</t>
  </si>
  <si>
    <t>27082017</t>
  </si>
  <si>
    <t>28082017</t>
  </si>
  <si>
    <t>29082017</t>
  </si>
  <si>
    <t>30082017</t>
  </si>
  <si>
    <t>31082017</t>
  </si>
  <si>
    <t>01092017</t>
  </si>
  <si>
    <t>02092017</t>
  </si>
  <si>
    <t>03092017</t>
  </si>
  <si>
    <t>04092017</t>
  </si>
  <si>
    <t>05092017</t>
  </si>
  <si>
    <t>06092017</t>
  </si>
  <si>
    <t>07092017</t>
  </si>
  <si>
    <t>08092017</t>
  </si>
  <si>
    <t>09092017</t>
  </si>
  <si>
    <t>10092017</t>
  </si>
  <si>
    <t>11092017</t>
  </si>
  <si>
    <t>12092017</t>
  </si>
  <si>
    <t>13092017</t>
  </si>
  <si>
    <t>14092017</t>
  </si>
  <si>
    <t>15092017</t>
  </si>
  <si>
    <t>16092017</t>
  </si>
  <si>
    <t>17092017</t>
  </si>
  <si>
    <t>18092017</t>
  </si>
  <si>
    <t>19092017</t>
  </si>
  <si>
    <t>20092017</t>
  </si>
  <si>
    <t>21092017</t>
  </si>
  <si>
    <t>22092017</t>
  </si>
  <si>
    <t>23092017</t>
  </si>
  <si>
    <t>24092017</t>
  </si>
  <si>
    <t>25092017</t>
  </si>
  <si>
    <t>26092017</t>
  </si>
  <si>
    <t>27092017</t>
  </si>
  <si>
    <t>28092017</t>
  </si>
  <si>
    <t>29092017</t>
  </si>
  <si>
    <t>30092017</t>
  </si>
  <si>
    <t>01102017</t>
  </si>
  <si>
    <t>02102017</t>
  </si>
  <si>
    <t>03102017</t>
  </si>
  <si>
    <t>04102017</t>
  </si>
  <si>
    <t>06102017</t>
  </si>
  <si>
    <t>07102017</t>
  </si>
  <si>
    <t>08102017</t>
  </si>
  <si>
    <t>11102017</t>
  </si>
  <si>
    <t>12102017</t>
  </si>
  <si>
    <t>13102017</t>
  </si>
  <si>
    <t>15102017</t>
  </si>
  <si>
    <t>16102017</t>
  </si>
  <si>
    <t>17102017</t>
  </si>
  <si>
    <t>19102017</t>
  </si>
  <si>
    <t>21102017</t>
  </si>
  <si>
    <t>22102017</t>
  </si>
  <si>
    <t>27102017</t>
  </si>
  <si>
    <t>31102017</t>
  </si>
  <si>
    <t>02112017</t>
  </si>
  <si>
    <t>03112017</t>
  </si>
  <si>
    <t>06112017</t>
  </si>
  <si>
    <t>07112017</t>
  </si>
  <si>
    <t>08112017</t>
  </si>
  <si>
    <t>09112017</t>
  </si>
  <si>
    <t>10112017</t>
  </si>
  <si>
    <t>11112017</t>
  </si>
  <si>
    <t>12112017</t>
  </si>
  <si>
    <t>13112017</t>
  </si>
  <si>
    <t>14112017</t>
  </si>
  <si>
    <t>15112017</t>
  </si>
  <si>
    <t>16112017</t>
  </si>
  <si>
    <t>17112017</t>
  </si>
  <si>
    <t>18112017</t>
  </si>
  <si>
    <t>19112017</t>
  </si>
  <si>
    <t>20112017</t>
  </si>
  <si>
    <t>21112017</t>
  </si>
  <si>
    <t>22112017</t>
  </si>
  <si>
    <t>23112017</t>
  </si>
  <si>
    <t>24112017</t>
  </si>
  <si>
    <t>25112017</t>
  </si>
  <si>
    <t>26112017</t>
  </si>
  <si>
    <t>27112017</t>
  </si>
  <si>
    <t>28112017</t>
  </si>
  <si>
    <t>29112017</t>
  </si>
  <si>
    <t>30112017</t>
  </si>
  <si>
    <t>01122017</t>
  </si>
  <si>
    <t>02122017</t>
  </si>
  <si>
    <t>03122017</t>
  </si>
  <si>
    <t>04122017</t>
  </si>
  <si>
    <t>05122017</t>
  </si>
  <si>
    <t>06122017</t>
  </si>
  <si>
    <t>07122017</t>
  </si>
  <si>
    <t>08122017</t>
  </si>
  <si>
    <t>10122017</t>
  </si>
  <si>
    <t>11122017</t>
  </si>
  <si>
    <t>12122017</t>
  </si>
  <si>
    <t>14122017</t>
  </si>
  <si>
    <t>15122017</t>
  </si>
  <si>
    <t>16122017</t>
  </si>
  <si>
    <t>18122017</t>
  </si>
  <si>
    <t>19122017</t>
  </si>
  <si>
    <t>20122017</t>
  </si>
  <si>
    <t>22122017</t>
  </si>
  <si>
    <t>24122017</t>
  </si>
  <si>
    <t>25122017</t>
  </si>
  <si>
    <t>26122017</t>
  </si>
  <si>
    <t>30122017</t>
  </si>
  <si>
    <t>31122017</t>
  </si>
  <si>
    <t>01012018</t>
  </si>
  <si>
    <t>02012018</t>
  </si>
  <si>
    <t>03012018</t>
  </si>
  <si>
    <t>04012018</t>
  </si>
  <si>
    <t>05012018</t>
  </si>
  <si>
    <t>06012018</t>
  </si>
  <si>
    <t>07012018</t>
  </si>
  <si>
    <t>08012018</t>
  </si>
  <si>
    <t>09012018</t>
  </si>
  <si>
    <t>10012018</t>
  </si>
  <si>
    <t>11012018</t>
  </si>
  <si>
    <t>12012018</t>
  </si>
  <si>
    <t>13012018</t>
  </si>
  <si>
    <t>14012018</t>
  </si>
  <si>
    <t>16012018</t>
  </si>
  <si>
    <t>18012018</t>
  </si>
  <si>
    <t>21012018</t>
  </si>
  <si>
    <t>22012018</t>
  </si>
  <si>
    <t>23012018</t>
  </si>
  <si>
    <t>24012018</t>
  </si>
  <si>
    <t>25012018</t>
  </si>
  <si>
    <t>26012018</t>
  </si>
  <si>
    <t>27012018</t>
  </si>
  <si>
    <t>28012018</t>
  </si>
  <si>
    <t>29012018</t>
  </si>
  <si>
    <t>30012018</t>
  </si>
  <si>
    <t>31012018</t>
  </si>
  <si>
    <t>01022018</t>
  </si>
  <si>
    <t>03022018</t>
  </si>
  <si>
    <t>04022018</t>
  </si>
  <si>
    <t>06022018</t>
  </si>
  <si>
    <t>09022018</t>
  </si>
  <si>
    <t>10022018</t>
  </si>
  <si>
    <t>11022018</t>
  </si>
  <si>
    <t>12022018</t>
  </si>
  <si>
    <t>13022018</t>
  </si>
  <si>
    <t>14022018</t>
  </si>
  <si>
    <t>15022018</t>
  </si>
  <si>
    <t>16022018</t>
  </si>
  <si>
    <t>17022018</t>
  </si>
  <si>
    <t>18022018</t>
  </si>
  <si>
    <t>20022018</t>
  </si>
  <si>
    <t>21022018</t>
  </si>
  <si>
    <t>22022018</t>
  </si>
  <si>
    <t>25022018</t>
  </si>
  <si>
    <t>27022018</t>
  </si>
  <si>
    <t>02032018</t>
  </si>
  <si>
    <t>04032018</t>
  </si>
  <si>
    <t>06032018</t>
  </si>
  <si>
    <t>07032018</t>
  </si>
  <si>
    <t>08032018</t>
  </si>
  <si>
    <t>11032018</t>
  </si>
  <si>
    <t>12032018</t>
  </si>
  <si>
    <t>13032018</t>
  </si>
  <si>
    <t>15032018</t>
  </si>
  <si>
    <t>16032018</t>
  </si>
  <si>
    <t>18032018</t>
  </si>
  <si>
    <t>19032018</t>
  </si>
  <si>
    <t>20032018</t>
  </si>
  <si>
    <t>22032018</t>
  </si>
  <si>
    <t>23032018</t>
  </si>
  <si>
    <t>24032018</t>
  </si>
  <si>
    <t>26032018</t>
  </si>
  <si>
    <t>28032018</t>
  </si>
  <si>
    <t>29032018</t>
  </si>
  <si>
    <t>30032018</t>
  </si>
  <si>
    <t>31032018</t>
  </si>
  <si>
    <t>01042018</t>
  </si>
  <si>
    <t>02042018</t>
  </si>
  <si>
    <t>03042018</t>
  </si>
  <si>
    <t>04042018</t>
  </si>
  <si>
    <t>05042018</t>
  </si>
  <si>
    <t>07042018</t>
  </si>
  <si>
    <t>09042018</t>
  </si>
  <si>
    <t>10042018</t>
  </si>
  <si>
    <t>13042018</t>
  </si>
  <si>
    <t>14042018</t>
  </si>
  <si>
    <t>15042018</t>
  </si>
  <si>
    <t>16042018</t>
  </si>
  <si>
    <t>20042018</t>
  </si>
  <si>
    <t>21042018</t>
  </si>
  <si>
    <t>22042018</t>
  </si>
  <si>
    <t>24042018</t>
  </si>
  <si>
    <t>25042018</t>
  </si>
  <si>
    <t>26042018</t>
  </si>
  <si>
    <t>27042018</t>
  </si>
  <si>
    <t>28042018</t>
  </si>
  <si>
    <t>29042018</t>
  </si>
  <si>
    <t>30042018</t>
  </si>
  <si>
    <t>01052018</t>
  </si>
  <si>
    <t>02052018</t>
  </si>
  <si>
    <t>03052018</t>
  </si>
  <si>
    <t>04052018</t>
  </si>
  <si>
    <t>05052018</t>
  </si>
  <si>
    <t>06052018</t>
  </si>
  <si>
    <t>07052018</t>
  </si>
  <si>
    <t>08052018</t>
  </si>
  <si>
    <t>09052018</t>
  </si>
  <si>
    <t>10052018</t>
  </si>
  <si>
    <t>11052018</t>
  </si>
  <si>
    <t>12052018</t>
  </si>
  <si>
    <t>13052018</t>
  </si>
  <si>
    <t>14052018</t>
  </si>
  <si>
    <t>15052018</t>
  </si>
  <si>
    <t>16052018</t>
  </si>
  <si>
    <t>17052018</t>
  </si>
  <si>
    <t>18052018</t>
  </si>
  <si>
    <t>19052018</t>
  </si>
  <si>
    <t>20052018</t>
  </si>
  <si>
    <t>21052018</t>
  </si>
  <si>
    <t>22052018</t>
  </si>
  <si>
    <t>23052018</t>
  </si>
  <si>
    <t>24052018</t>
  </si>
  <si>
    <t>25052018</t>
  </si>
  <si>
    <t>26052018</t>
  </si>
  <si>
    <t>27052018</t>
  </si>
  <si>
    <t>28052018</t>
  </si>
  <si>
    <t>29052018</t>
  </si>
  <si>
    <t>30052018</t>
  </si>
  <si>
    <t>31052018</t>
  </si>
  <si>
    <t>01062018</t>
  </si>
  <si>
    <t>02062018</t>
  </si>
  <si>
    <t>04062018</t>
  </si>
  <si>
    <t>05062018</t>
  </si>
  <si>
    <t>06062018</t>
  </si>
  <si>
    <t>08062018</t>
  </si>
  <si>
    <t>09062018</t>
  </si>
  <si>
    <t>11062018</t>
  </si>
  <si>
    <t>12062018</t>
  </si>
  <si>
    <t>13062018</t>
  </si>
  <si>
    <t>15062018</t>
  </si>
  <si>
    <t>16062018</t>
  </si>
  <si>
    <t>17062018</t>
  </si>
  <si>
    <t>18062018</t>
  </si>
  <si>
    <t>19062018</t>
  </si>
  <si>
    <t>20062018</t>
  </si>
  <si>
    <t>21062018</t>
  </si>
  <si>
    <t>22062018</t>
  </si>
  <si>
    <t>23062018</t>
  </si>
  <si>
    <t>24062018</t>
  </si>
  <si>
    <t>25062018</t>
  </si>
  <si>
    <t>26062018</t>
  </si>
  <si>
    <t>27062018</t>
  </si>
  <si>
    <t>28062018</t>
  </si>
  <si>
    <t>29062018</t>
  </si>
  <si>
    <t>30062018</t>
  </si>
  <si>
    <t>01072018</t>
  </si>
  <si>
    <t>02072018</t>
  </si>
  <si>
    <t>03072018</t>
  </si>
  <si>
    <t>04072018</t>
  </si>
  <si>
    <t>05072018</t>
  </si>
  <si>
    <t>06072018</t>
  </si>
  <si>
    <t>09072018</t>
  </si>
  <si>
    <t>10072018</t>
  </si>
  <si>
    <t>12072018</t>
  </si>
  <si>
    <t>13072018</t>
  </si>
  <si>
    <t>15072018</t>
  </si>
  <si>
    <t>16072018</t>
  </si>
  <si>
    <t>17072018</t>
  </si>
  <si>
    <t>18072018</t>
  </si>
  <si>
    <t>19072018</t>
  </si>
  <si>
    <t>20072018</t>
  </si>
  <si>
    <t>21072018</t>
  </si>
  <si>
    <t>22072018</t>
  </si>
  <si>
    <t>23072018</t>
  </si>
  <si>
    <t>24072018</t>
  </si>
  <si>
    <t>25072018</t>
  </si>
  <si>
    <t>26072018</t>
  </si>
  <si>
    <t>27072018</t>
  </si>
  <si>
    <t>28072018</t>
  </si>
  <si>
    <t>29072018</t>
  </si>
  <si>
    <t>30072018</t>
  </si>
  <si>
    <t>31072018</t>
  </si>
  <si>
    <t>02082018</t>
  </si>
  <si>
    <t>03082018</t>
  </si>
  <si>
    <t>04082018</t>
  </si>
  <si>
    <t>07082018</t>
  </si>
  <si>
    <t>08082018</t>
  </si>
  <si>
    <t>09082018</t>
  </si>
  <si>
    <t>11082018</t>
  </si>
  <si>
    <t>12082018</t>
  </si>
  <si>
    <t>13082018</t>
  </si>
  <si>
    <t>14082018</t>
  </si>
  <si>
    <t>15082018</t>
  </si>
  <si>
    <t>16082018</t>
  </si>
  <si>
    <t>17082018</t>
  </si>
  <si>
    <t>18082018</t>
  </si>
  <si>
    <t>19082018</t>
  </si>
  <si>
    <t>20082018</t>
  </si>
  <si>
    <t>21082018</t>
  </si>
  <si>
    <t>22082018</t>
  </si>
  <si>
    <t>23082018</t>
  </si>
  <si>
    <t>24082018</t>
  </si>
  <si>
    <t>25082018</t>
  </si>
  <si>
    <t>26082018</t>
  </si>
  <si>
    <t>27082018</t>
  </si>
  <si>
    <t>28082018</t>
  </si>
  <si>
    <t>29082018</t>
  </si>
  <si>
    <t>30082018</t>
  </si>
  <si>
    <t>31082018</t>
  </si>
  <si>
    <t>01092018</t>
  </si>
  <si>
    <t>02092018</t>
  </si>
  <si>
    <t>03092018</t>
  </si>
  <si>
    <t>04092018</t>
  </si>
  <si>
    <t>05092018</t>
  </si>
  <si>
    <t>06092018</t>
  </si>
  <si>
    <t>07092018</t>
  </si>
  <si>
    <t>08092018</t>
  </si>
  <si>
    <t>09092018</t>
  </si>
  <si>
    <t>10092018</t>
  </si>
  <si>
    <t>11092018</t>
  </si>
  <si>
    <t>12092018</t>
  </si>
  <si>
    <t>13092018</t>
  </si>
  <si>
    <t>14092018</t>
  </si>
  <si>
    <t>15092018</t>
  </si>
  <si>
    <t>16092018</t>
  </si>
  <si>
    <t>17092018</t>
  </si>
  <si>
    <t>18092018</t>
  </si>
  <si>
    <t>19092018</t>
  </si>
  <si>
    <t>20092018</t>
  </si>
  <si>
    <t>21092018</t>
  </si>
  <si>
    <t>22092018</t>
  </si>
  <si>
    <t>23092018</t>
  </si>
  <si>
    <t>24092018</t>
  </si>
  <si>
    <t>25092018</t>
  </si>
  <si>
    <t>26092018</t>
  </si>
  <si>
    <t>27092018</t>
  </si>
  <si>
    <t>28092018</t>
  </si>
  <si>
    <t>29092018</t>
  </si>
  <si>
    <t>30092018</t>
  </si>
  <si>
    <t>01102018</t>
  </si>
  <si>
    <t>02102018</t>
  </si>
  <si>
    <t>03102018</t>
  </si>
  <si>
    <t>04102018</t>
  </si>
  <si>
    <t>05102018</t>
  </si>
  <si>
    <t>06102018</t>
  </si>
  <si>
    <t>07102018</t>
  </si>
  <si>
    <t>08102018</t>
  </si>
  <si>
    <t>09102018</t>
  </si>
  <si>
    <t>10102018</t>
  </si>
  <si>
    <t>11102018</t>
  </si>
  <si>
    <t>12102018</t>
  </si>
  <si>
    <t>13102018</t>
  </si>
  <si>
    <t>14102018</t>
  </si>
  <si>
    <t>15102018</t>
  </si>
  <si>
    <t>16102018</t>
  </si>
  <si>
    <t>17102018</t>
  </si>
  <si>
    <t>18102018</t>
  </si>
  <si>
    <t>19102018</t>
  </si>
  <si>
    <t>20102018</t>
  </si>
  <si>
    <t>21102018</t>
  </si>
  <si>
    <t>22102018</t>
  </si>
  <si>
    <t>23102018</t>
  </si>
  <si>
    <t>24102018</t>
  </si>
  <si>
    <t>25102018</t>
  </si>
  <si>
    <t>26102018</t>
  </si>
  <si>
    <t>27102018</t>
  </si>
  <si>
    <t>28102018</t>
  </si>
  <si>
    <t>29102018</t>
  </si>
  <si>
    <t>30102018</t>
  </si>
  <si>
    <t>31102018</t>
  </si>
  <si>
    <t>01112018</t>
  </si>
  <si>
    <t>02112018</t>
  </si>
  <si>
    <t>03112018</t>
  </si>
  <si>
    <t>04112018</t>
  </si>
  <si>
    <t>05112018</t>
  </si>
  <si>
    <t>06112018</t>
  </si>
  <si>
    <t>07112018</t>
  </si>
  <si>
    <t>08112018</t>
  </si>
  <si>
    <t>09112018</t>
  </si>
  <si>
    <t>10112018</t>
  </si>
  <si>
    <t>11112018</t>
  </si>
  <si>
    <t>12112018</t>
  </si>
  <si>
    <t>13112018</t>
  </si>
  <si>
    <t>14112018</t>
  </si>
  <si>
    <t>15112018</t>
  </si>
  <si>
    <t>16112018</t>
  </si>
  <si>
    <t>17112018</t>
  </si>
  <si>
    <t>18112018</t>
  </si>
  <si>
    <t>19112018</t>
  </si>
  <si>
    <t>20112018</t>
  </si>
  <si>
    <t>21112018</t>
  </si>
  <si>
    <t>22112018</t>
  </si>
  <si>
    <t>23112018</t>
  </si>
  <si>
    <t>24112018</t>
  </si>
  <si>
    <t>25112018</t>
  </si>
  <si>
    <t>26112018</t>
  </si>
  <si>
    <t>27112018</t>
  </si>
  <si>
    <t>28112018</t>
  </si>
  <si>
    <t>29112018</t>
  </si>
  <si>
    <t>30112018</t>
  </si>
  <si>
    <t>01122018</t>
  </si>
  <si>
    <t>02122018</t>
  </si>
  <si>
    <t>03122018</t>
  </si>
  <si>
    <t>04122018</t>
  </si>
  <si>
    <t>05122018</t>
  </si>
  <si>
    <t>06122018</t>
  </si>
  <si>
    <t>07122018</t>
  </si>
  <si>
    <t>08122018</t>
  </si>
  <si>
    <t>09122018</t>
  </si>
  <si>
    <t>10122018</t>
  </si>
  <si>
    <t>11122018</t>
  </si>
  <si>
    <t>12122018</t>
  </si>
  <si>
    <t>13122018</t>
  </si>
  <si>
    <t>14122018</t>
  </si>
  <si>
    <t>15122018</t>
  </si>
  <si>
    <t>16122018</t>
  </si>
  <si>
    <t>17122018</t>
  </si>
  <si>
    <t>18122018</t>
  </si>
  <si>
    <t>19122018</t>
  </si>
  <si>
    <t>20122018</t>
  </si>
  <si>
    <t>21122018</t>
  </si>
  <si>
    <t>22122018</t>
  </si>
  <si>
    <t>23122018</t>
  </si>
  <si>
    <t>24122018</t>
  </si>
  <si>
    <t>26122018</t>
  </si>
  <si>
    <t>28122018</t>
  </si>
  <si>
    <t>29122018</t>
  </si>
  <si>
    <t>31122018</t>
  </si>
  <si>
    <t>01012019</t>
  </si>
  <si>
    <t>02012019</t>
  </si>
  <si>
    <t>04012019</t>
  </si>
  <si>
    <t>05012019</t>
  </si>
  <si>
    <t>06012019</t>
  </si>
  <si>
    <t>07012019</t>
  </si>
  <si>
    <t>08012019</t>
  </si>
  <si>
    <t>09012019</t>
  </si>
  <si>
    <t>10012019</t>
  </si>
  <si>
    <t>11012019</t>
  </si>
  <si>
    <t>12012019</t>
  </si>
  <si>
    <t>13012019</t>
  </si>
  <si>
    <t>14012019</t>
  </si>
  <si>
    <t>15012019</t>
  </si>
  <si>
    <t>16012019</t>
  </si>
  <si>
    <t>17012019</t>
  </si>
  <si>
    <t>18012019</t>
  </si>
  <si>
    <t>19012019</t>
  </si>
  <si>
    <t>20012019</t>
  </si>
  <si>
    <t>21012019</t>
  </si>
  <si>
    <t>22012019</t>
  </si>
  <si>
    <t>23012019</t>
  </si>
  <si>
    <t>24012019</t>
  </si>
  <si>
    <t>25012019</t>
  </si>
  <si>
    <t>26012019</t>
  </si>
  <si>
    <t>27012019</t>
  </si>
  <si>
    <t>28012019</t>
  </si>
  <si>
    <t>29012019</t>
  </si>
  <si>
    <t>30012019</t>
  </si>
  <si>
    <t>31012019</t>
  </si>
  <si>
    <t>01022019</t>
  </si>
  <si>
    <t>02022019</t>
  </si>
  <si>
    <t>03022019</t>
  </si>
  <si>
    <t>04022019</t>
  </si>
  <si>
    <t>05022019</t>
  </si>
  <si>
    <t>07022019</t>
  </si>
  <si>
    <t>09022019</t>
  </si>
  <si>
    <t>10022019</t>
  </si>
  <si>
    <t>12022019</t>
  </si>
  <si>
    <t>14022019</t>
  </si>
  <si>
    <t>15022019</t>
  </si>
  <si>
    <t>16022019</t>
  </si>
  <si>
    <t>17022019</t>
  </si>
  <si>
    <t>18022019</t>
  </si>
  <si>
    <t>19022019</t>
  </si>
  <si>
    <t>20022019</t>
  </si>
  <si>
    <t>21022019</t>
  </si>
  <si>
    <t>22022019</t>
  </si>
  <si>
    <t>23022019</t>
  </si>
  <si>
    <t>24022019</t>
  </si>
  <si>
    <t>25022019</t>
  </si>
  <si>
    <t>26022019</t>
  </si>
  <si>
    <t>03032019</t>
  </si>
  <si>
    <t>04032019</t>
  </si>
  <si>
    <t>05032019</t>
  </si>
  <si>
    <t>06032019</t>
  </si>
  <si>
    <t>07032019</t>
  </si>
  <si>
    <t>08032019</t>
  </si>
  <si>
    <t>09032019</t>
  </si>
  <si>
    <t>10032019</t>
  </si>
  <si>
    <t>11032019</t>
  </si>
  <si>
    <t>12032019</t>
  </si>
  <si>
    <t>13032019</t>
  </si>
  <si>
    <t>14032019</t>
  </si>
  <si>
    <t>15032019</t>
  </si>
  <si>
    <t>16032019</t>
  </si>
  <si>
    <t>17032019</t>
  </si>
  <si>
    <t>18032019</t>
  </si>
  <si>
    <t>19032019</t>
  </si>
  <si>
    <t>20032019</t>
  </si>
  <si>
    <t>21032019</t>
  </si>
  <si>
    <t>22032019</t>
  </si>
  <si>
    <t>23032019</t>
  </si>
  <si>
    <t>24032019</t>
  </si>
  <si>
    <t>25032019</t>
  </si>
  <si>
    <t>26032019</t>
  </si>
  <si>
    <t>27032019</t>
  </si>
  <si>
    <t>28032019</t>
  </si>
  <si>
    <t>29032019</t>
  </si>
  <si>
    <t>30032019</t>
  </si>
  <si>
    <t>31032019</t>
  </si>
  <si>
    <t>01042019</t>
  </si>
  <si>
    <t>02042019</t>
  </si>
  <si>
    <t>03042019</t>
  </si>
  <si>
    <t>04042019</t>
  </si>
  <si>
    <t>05042019</t>
  </si>
  <si>
    <t>06042019</t>
  </si>
  <si>
    <t>07042019</t>
  </si>
  <si>
    <t>08042019</t>
  </si>
  <si>
    <t>09042019</t>
  </si>
  <si>
    <t>10042019</t>
  </si>
  <si>
    <t>11042019</t>
  </si>
  <si>
    <t>12042019</t>
  </si>
  <si>
    <t>13042019</t>
  </si>
  <si>
    <t>14042019</t>
  </si>
  <si>
    <t>16042019</t>
  </si>
  <si>
    <t>17042019</t>
  </si>
  <si>
    <t>19042019</t>
  </si>
  <si>
    <t>20042019</t>
  </si>
  <si>
    <t>21042019</t>
  </si>
  <si>
    <t>23042019</t>
  </si>
  <si>
    <t>25042019</t>
  </si>
  <si>
    <t>26042019</t>
  </si>
  <si>
    <t>27042019</t>
  </si>
  <si>
    <t>28042019</t>
  </si>
  <si>
    <t>29042019</t>
  </si>
  <si>
    <t>30042019</t>
  </si>
  <si>
    <t>01052019</t>
  </si>
  <si>
    <t>02052019</t>
  </si>
  <si>
    <t>03052019</t>
  </si>
  <si>
    <t>04052019</t>
  </si>
  <si>
    <t>05052019</t>
  </si>
  <si>
    <t>06052019</t>
  </si>
  <si>
    <t>07052019</t>
  </si>
  <si>
    <t>08052019</t>
  </si>
  <si>
    <t>09052019</t>
  </si>
  <si>
    <t>10052019</t>
  </si>
  <si>
    <t>13052019</t>
  </si>
  <si>
    <t>14052019</t>
  </si>
  <si>
    <t>15052019</t>
  </si>
  <si>
    <t>18052019</t>
  </si>
  <si>
    <t>20052019</t>
  </si>
  <si>
    <t>22052019</t>
  </si>
  <si>
    <t>23052019</t>
  </si>
  <si>
    <t>25052019</t>
  </si>
  <si>
    <t>26052019</t>
  </si>
  <si>
    <t>28052019</t>
  </si>
  <si>
    <t>29052019</t>
  </si>
  <si>
    <t>30052019</t>
  </si>
  <si>
    <t>31052019</t>
  </si>
  <si>
    <t>01062019</t>
  </si>
  <si>
    <t>02062019</t>
  </si>
  <si>
    <t>03062019</t>
  </si>
  <si>
    <t>04062019</t>
  </si>
  <si>
    <t>05062019</t>
  </si>
  <si>
    <t>07062019</t>
  </si>
  <si>
    <t>08062019</t>
  </si>
  <si>
    <t>09062019</t>
  </si>
  <si>
    <t>11062019</t>
  </si>
  <si>
    <t>12062019</t>
  </si>
  <si>
    <t>15062019</t>
  </si>
  <si>
    <t>16062019</t>
  </si>
  <si>
    <t>17062019</t>
  </si>
  <si>
    <t>18062019</t>
  </si>
  <si>
    <t>19062019</t>
  </si>
  <si>
    <t>20062019</t>
  </si>
  <si>
    <t>21062019</t>
  </si>
  <si>
    <t>22062019</t>
  </si>
  <si>
    <t>23062019</t>
  </si>
  <si>
    <t>24062019</t>
  </si>
  <si>
    <t>25062019</t>
  </si>
  <si>
    <t>26062019</t>
  </si>
  <si>
    <t>27062019</t>
  </si>
  <si>
    <t>28062019</t>
  </si>
  <si>
    <t>29062019</t>
  </si>
  <si>
    <t>30062019</t>
  </si>
  <si>
    <t>01072019</t>
  </si>
  <si>
    <t>06072019</t>
  </si>
  <si>
    <t>08072019</t>
  </si>
  <si>
    <t>10072019</t>
  </si>
  <si>
    <t>11072019</t>
  </si>
  <si>
    <t>12072019</t>
  </si>
  <si>
    <t>13072019</t>
  </si>
  <si>
    <t>14072019</t>
  </si>
  <si>
    <t>15072019</t>
  </si>
  <si>
    <t>16072019</t>
  </si>
  <si>
    <t>17072019</t>
  </si>
  <si>
    <t>18072019</t>
  </si>
  <si>
    <t>19072019</t>
  </si>
  <si>
    <t>20072019</t>
  </si>
  <si>
    <t>21072019</t>
  </si>
  <si>
    <t>22072019</t>
  </si>
  <si>
    <t>23072019</t>
  </si>
  <si>
    <t>24072019</t>
  </si>
  <si>
    <t>25072019</t>
  </si>
  <si>
    <t>26072019</t>
  </si>
  <si>
    <t>27072019</t>
  </si>
  <si>
    <t>28072019</t>
  </si>
  <si>
    <t>29072019</t>
  </si>
  <si>
    <t>30072019</t>
  </si>
  <si>
    <t>31072019</t>
  </si>
  <si>
    <t>01082019</t>
  </si>
  <si>
    <t>02082019</t>
  </si>
  <si>
    <t>03082019</t>
  </si>
  <si>
    <t>04082019</t>
  </si>
  <si>
    <t>05082019</t>
  </si>
  <si>
    <t>06082019</t>
  </si>
  <si>
    <t>07082019</t>
  </si>
  <si>
    <t>08082019</t>
  </si>
  <si>
    <t>09082019</t>
  </si>
  <si>
    <t>10082019</t>
  </si>
  <si>
    <t>11082019</t>
  </si>
  <si>
    <t>12082019</t>
  </si>
  <si>
    <t>13082019</t>
  </si>
  <si>
    <t>14082019</t>
  </si>
  <si>
    <t>15082019</t>
  </si>
  <si>
    <t>16082019</t>
  </si>
  <si>
    <t>17082019</t>
  </si>
  <si>
    <t>18082019</t>
  </si>
  <si>
    <t>19082019</t>
  </si>
  <si>
    <t>21082019</t>
  </si>
  <si>
    <t>25082019</t>
  </si>
  <si>
    <t>28082019</t>
  </si>
  <si>
    <t>31082019</t>
  </si>
  <si>
    <t>02092019</t>
  </si>
  <si>
    <t>04092019</t>
  </si>
  <si>
    <t>06092019</t>
  </si>
  <si>
    <t>07092019</t>
  </si>
  <si>
    <t>08092019</t>
  </si>
  <si>
    <t>09092019</t>
  </si>
  <si>
    <t>10092019</t>
  </si>
  <si>
    <t>17092019</t>
  </si>
  <si>
    <t>22092019</t>
  </si>
  <si>
    <t>24092019</t>
  </si>
  <si>
    <t>26092019</t>
  </si>
  <si>
    <t>27092019</t>
  </si>
  <si>
    <t>29092019</t>
  </si>
  <si>
    <t>30092019</t>
  </si>
  <si>
    <t>01102019</t>
  </si>
  <si>
    <t>03102019</t>
  </si>
  <si>
    <t>04102019</t>
  </si>
  <si>
    <t>05102019</t>
  </si>
  <si>
    <t>06102019</t>
  </si>
  <si>
    <t>07102019</t>
  </si>
  <si>
    <t>08102019</t>
  </si>
  <si>
    <t>09102019</t>
  </si>
  <si>
    <t>10102019</t>
  </si>
  <si>
    <t>11102019</t>
  </si>
  <si>
    <t>12102019</t>
  </si>
  <si>
    <t>13102019</t>
  </si>
  <si>
    <t>14102019</t>
  </si>
  <si>
    <t>15102019</t>
  </si>
  <si>
    <t>16102019</t>
  </si>
  <si>
    <t>17102019</t>
  </si>
  <si>
    <t>18102019</t>
  </si>
  <si>
    <t>19102019</t>
  </si>
  <si>
    <t>20102019</t>
  </si>
  <si>
    <t>21102019</t>
  </si>
  <si>
    <t>22102019</t>
  </si>
  <si>
    <t>23102019</t>
  </si>
  <si>
    <t>24102019</t>
  </si>
  <si>
    <t>25102019</t>
  </si>
  <si>
    <t>26102019</t>
  </si>
  <si>
    <t>27102019</t>
  </si>
  <si>
    <t>28102019</t>
  </si>
  <si>
    <t>29102019</t>
  </si>
  <si>
    <t>30102019</t>
  </si>
  <si>
    <t>31102019</t>
  </si>
  <si>
    <t>01112019</t>
  </si>
  <si>
    <t>02112019</t>
  </si>
  <si>
    <t>03112019</t>
  </si>
  <si>
    <t>04112019</t>
  </si>
  <si>
    <t>05112019</t>
  </si>
  <si>
    <t>06112019</t>
  </si>
  <si>
    <t>07112019</t>
  </si>
  <si>
    <t>08112019</t>
  </si>
  <si>
    <t>09112019</t>
  </si>
  <si>
    <t>10112019</t>
  </si>
  <si>
    <t>11112019</t>
  </si>
  <si>
    <t>12112019</t>
  </si>
  <si>
    <t>13112019</t>
  </si>
  <si>
    <t>14112019</t>
  </si>
  <si>
    <t>15112019</t>
  </si>
  <si>
    <t>16112019</t>
  </si>
  <si>
    <t>17112019</t>
  </si>
  <si>
    <t>18112019</t>
  </si>
  <si>
    <t>19112019</t>
  </si>
  <si>
    <t>20112019</t>
  </si>
  <si>
    <t>22112019</t>
  </si>
  <si>
    <t>23112019</t>
  </si>
  <si>
    <t>26112019</t>
  </si>
  <si>
    <t>27112019</t>
  </si>
  <si>
    <t>28112019</t>
  </si>
  <si>
    <t>03122019</t>
  </si>
  <si>
    <t>04122019</t>
  </si>
  <si>
    <t>05122019</t>
  </si>
  <si>
    <t>07122019</t>
  </si>
  <si>
    <t>08122019</t>
  </si>
  <si>
    <t>12122019</t>
  </si>
  <si>
    <t>13122019</t>
  </si>
  <si>
    <t>18122019</t>
  </si>
  <si>
    <t>19122019</t>
  </si>
  <si>
    <t>20122019</t>
  </si>
  <si>
    <t>21122019</t>
  </si>
  <si>
    <t>22122019</t>
  </si>
  <si>
    <t>23122019</t>
  </si>
  <si>
    <t>24122019</t>
  </si>
  <si>
    <t>25122019</t>
  </si>
  <si>
    <t>26122019</t>
  </si>
  <si>
    <t>27122019</t>
  </si>
  <si>
    <t>28122019</t>
  </si>
  <si>
    <t>29122019</t>
  </si>
  <si>
    <t>30122019</t>
  </si>
  <si>
    <t>31122019</t>
  </si>
  <si>
    <t>01012020</t>
  </si>
  <si>
    <t>02012020</t>
  </si>
  <si>
    <t>03012020</t>
  </si>
  <si>
    <t>04012020</t>
  </si>
  <si>
    <t>05012020</t>
  </si>
  <si>
    <t>06012020</t>
  </si>
  <si>
    <t>07012020</t>
  </si>
  <si>
    <t>08012020</t>
  </si>
  <si>
    <t>09012020</t>
  </si>
  <si>
    <t>10012020</t>
  </si>
  <si>
    <t>11012020</t>
  </si>
  <si>
    <t>12012020</t>
  </si>
  <si>
    <t>13012020</t>
  </si>
  <si>
    <t>14012020</t>
  </si>
  <si>
    <t>15012020</t>
  </si>
  <si>
    <t>16012020</t>
  </si>
  <si>
    <t>18012020</t>
  </si>
  <si>
    <t>19012020</t>
  </si>
  <si>
    <t>20012020</t>
  </si>
  <si>
    <t>22012020</t>
  </si>
  <si>
    <t>25012020</t>
  </si>
  <si>
    <t>26012020</t>
  </si>
  <si>
    <t>27012020</t>
  </si>
  <si>
    <t>28012020</t>
  </si>
  <si>
    <t>29012020</t>
  </si>
  <si>
    <t>30012020</t>
  </si>
  <si>
    <t>31012020</t>
  </si>
  <si>
    <t>01022020</t>
  </si>
  <si>
    <t>02022020</t>
  </si>
  <si>
    <t>03022020</t>
  </si>
  <si>
    <t>04022020</t>
  </si>
  <si>
    <t>05022020</t>
  </si>
  <si>
    <t>06022020</t>
  </si>
  <si>
    <t>07022020</t>
  </si>
  <si>
    <t>08022020</t>
  </si>
  <si>
    <t>09022020</t>
  </si>
  <si>
    <t>10022020</t>
  </si>
  <si>
    <t>11022020</t>
  </si>
  <si>
    <t>14022020</t>
  </si>
  <si>
    <t>16022020</t>
  </si>
  <si>
    <t>17022020</t>
  </si>
  <si>
    <t>18022020</t>
  </si>
  <si>
    <t>21022020</t>
  </si>
  <si>
    <t>23022020</t>
  </si>
  <si>
    <t>24022020</t>
  </si>
  <si>
    <t>26022020</t>
  </si>
  <si>
    <t>27022020</t>
  </si>
  <si>
    <t>28022020</t>
  </si>
  <si>
    <t>29022020</t>
  </si>
  <si>
    <t>01032020</t>
  </si>
  <si>
    <t>02032020</t>
  </si>
  <si>
    <t>03032020</t>
  </si>
  <si>
    <t>04032020</t>
  </si>
  <si>
    <t>05032020</t>
  </si>
  <si>
    <t>06032020</t>
  </si>
  <si>
    <t>07032020</t>
  </si>
  <si>
    <t>08032020</t>
  </si>
  <si>
    <t>09032020</t>
  </si>
  <si>
    <t>10032020</t>
  </si>
  <si>
    <t>11032020</t>
  </si>
  <si>
    <t>12032020</t>
  </si>
  <si>
    <t>13032020</t>
  </si>
  <si>
    <t>14032020</t>
  </si>
  <si>
    <t>15032020</t>
  </si>
  <si>
    <t>16032020</t>
  </si>
  <si>
    <t>17032020</t>
  </si>
  <si>
    <t>18032020</t>
  </si>
  <si>
    <t>19032020</t>
  </si>
  <si>
    <t>20032020</t>
  </si>
  <si>
    <t>21032020</t>
  </si>
  <si>
    <t>22032020</t>
  </si>
  <si>
    <t>23032020</t>
  </si>
  <si>
    <t>24032020</t>
  </si>
  <si>
    <t>25032020</t>
  </si>
  <si>
    <t>26032020</t>
  </si>
  <si>
    <t>27032020</t>
  </si>
  <si>
    <t>29032020</t>
  </si>
  <si>
    <t>31032020</t>
  </si>
  <si>
    <t>01042020</t>
  </si>
  <si>
    <t>02042020</t>
  </si>
  <si>
    <t>04042020</t>
  </si>
  <si>
    <t>05042020</t>
  </si>
  <si>
    <t>08042020</t>
  </si>
  <si>
    <t>10042020</t>
  </si>
  <si>
    <t>11042020</t>
  </si>
  <si>
    <t>13042020</t>
  </si>
  <si>
    <t>14042020</t>
  </si>
  <si>
    <t>15042020</t>
  </si>
  <si>
    <t>17042020</t>
  </si>
  <si>
    <t>18042020</t>
  </si>
  <si>
    <t>19042020</t>
  </si>
  <si>
    <t>20042020</t>
  </si>
  <si>
    <t>21042020</t>
  </si>
  <si>
    <t>22042020</t>
  </si>
  <si>
    <t>23042020</t>
  </si>
  <si>
    <t>24042020</t>
  </si>
  <si>
    <t>25042020</t>
  </si>
  <si>
    <t>26042020</t>
  </si>
  <si>
    <t>27042020</t>
  </si>
  <si>
    <t>28042020</t>
  </si>
  <si>
    <t>29042020</t>
  </si>
  <si>
    <t>01052020</t>
  </si>
  <si>
    <t>02052020</t>
  </si>
  <si>
    <t>03052020</t>
  </si>
  <si>
    <t>05052020</t>
  </si>
  <si>
    <t>07052020</t>
  </si>
  <si>
    <t>08052020</t>
  </si>
  <si>
    <t>11052020</t>
  </si>
  <si>
    <t>12052020</t>
  </si>
  <si>
    <t>15052020</t>
  </si>
  <si>
    <t>20052020</t>
  </si>
  <si>
    <t>23052020</t>
  </si>
  <si>
    <t>24052020</t>
  </si>
  <si>
    <t>25052020</t>
  </si>
  <si>
    <t>26052020</t>
  </si>
  <si>
    <t>27052020</t>
  </si>
  <si>
    <t>28052020</t>
  </si>
  <si>
    <t>29052020</t>
  </si>
  <si>
    <t>30052020</t>
  </si>
  <si>
    <t>31052020</t>
  </si>
  <si>
    <t>02062020</t>
  </si>
  <si>
    <t>03062020</t>
  </si>
  <si>
    <t>05062020</t>
  </si>
  <si>
    <t>06062020</t>
  </si>
  <si>
    <t>08062020</t>
  </si>
  <si>
    <t>11062020</t>
  </si>
  <si>
    <t>12062020</t>
  </si>
  <si>
    <t>13062020</t>
  </si>
  <si>
    <t>15062020</t>
  </si>
  <si>
    <t>16062020</t>
  </si>
  <si>
    <t>17062020</t>
  </si>
  <si>
    <t>19062020</t>
  </si>
  <si>
    <t>20062020</t>
  </si>
  <si>
    <t>21062020</t>
  </si>
  <si>
    <t>23062020</t>
  </si>
  <si>
    <t>24062020</t>
  </si>
  <si>
    <t>25062020</t>
  </si>
  <si>
    <t>26062020</t>
  </si>
  <si>
    <t>27062020</t>
  </si>
  <si>
    <t>28062020</t>
  </si>
  <si>
    <t>29062020</t>
  </si>
  <si>
    <t>30062020</t>
  </si>
  <si>
    <t>01072020</t>
  </si>
  <si>
    <t>02072020</t>
  </si>
  <si>
    <t>03072020</t>
  </si>
  <si>
    <t>04072020</t>
  </si>
  <si>
    <t>05072020</t>
  </si>
  <si>
    <t>06072020</t>
  </si>
  <si>
    <t>07072020</t>
  </si>
  <si>
    <t>09072020</t>
  </si>
  <si>
    <t>10072020</t>
  </si>
  <si>
    <t>13072020</t>
  </si>
  <si>
    <t>14072020</t>
  </si>
  <si>
    <t>16072020</t>
  </si>
  <si>
    <t>17072020</t>
  </si>
  <si>
    <t>18072020</t>
  </si>
  <si>
    <t>19072020</t>
  </si>
  <si>
    <t>20072020</t>
  </si>
  <si>
    <t>21072020</t>
  </si>
  <si>
    <t>22072020</t>
  </si>
  <si>
    <t>23072020</t>
  </si>
  <si>
    <t>24072020</t>
  </si>
  <si>
    <t>25072020</t>
  </si>
  <si>
    <t>26072020</t>
  </si>
  <si>
    <t>28072020</t>
  </si>
  <si>
    <t>30072020</t>
  </si>
  <si>
    <t>02082020</t>
  </si>
  <si>
    <t>03082020</t>
  </si>
  <si>
    <t>06082020</t>
  </si>
  <si>
    <t>07082020</t>
  </si>
  <si>
    <t>09082020</t>
  </si>
  <si>
    <t>10082020</t>
  </si>
  <si>
    <t>12082020</t>
  </si>
  <si>
    <t>13082020</t>
  </si>
  <si>
    <t>16082020</t>
  </si>
  <si>
    <t>17082020</t>
  </si>
  <si>
    <t>18082020</t>
  </si>
  <si>
    <t>19082020</t>
  </si>
  <si>
    <t>20082020</t>
  </si>
  <si>
    <t>21082020</t>
  </si>
  <si>
    <t>22082020</t>
  </si>
  <si>
    <t>23082020</t>
  </si>
  <si>
    <t>24082020</t>
  </si>
  <si>
    <t>25082020</t>
  </si>
  <si>
    <t>26082020</t>
  </si>
  <si>
    <t>27082020</t>
  </si>
  <si>
    <t>28082020</t>
  </si>
  <si>
    <t>29082020</t>
  </si>
  <si>
    <t>30082020</t>
  </si>
  <si>
    <t>31082020</t>
  </si>
  <si>
    <t>01092020</t>
  </si>
  <si>
    <t>02092020</t>
  </si>
  <si>
    <t>03092020</t>
  </si>
  <si>
    <t>04092020</t>
  </si>
  <si>
    <t>05092020</t>
  </si>
  <si>
    <t>07092020</t>
  </si>
  <si>
    <t>09092020</t>
  </si>
  <si>
    <t>10092020</t>
  </si>
  <si>
    <t>13092020</t>
  </si>
  <si>
    <t>14092020</t>
  </si>
  <si>
    <t>15092020</t>
  </si>
  <si>
    <t>17092020</t>
  </si>
  <si>
    <t>18092020</t>
  </si>
  <si>
    <t>19092020</t>
  </si>
  <si>
    <t>20092020</t>
  </si>
  <si>
    <t>21092020</t>
  </si>
  <si>
    <t>22092020</t>
  </si>
  <si>
    <t>23092020</t>
  </si>
  <si>
    <t>24092020</t>
  </si>
  <si>
    <t>25092020</t>
  </si>
  <si>
    <t>26092020</t>
  </si>
  <si>
    <t>27092020</t>
  </si>
  <si>
    <t>28092020</t>
  </si>
  <si>
    <t>29092020</t>
  </si>
  <si>
    <t>30092020</t>
  </si>
  <si>
    <t>01102020</t>
  </si>
  <si>
    <t>03102020</t>
  </si>
  <si>
    <t>04102020</t>
  </si>
  <si>
    <t>05102020</t>
  </si>
  <si>
    <t>07102020</t>
  </si>
  <si>
    <t>09102020</t>
  </si>
  <si>
    <t>10102020</t>
  </si>
  <si>
    <t>12102020</t>
  </si>
  <si>
    <t>13102020</t>
  </si>
  <si>
    <t>14102020</t>
  </si>
  <si>
    <t>15102020</t>
  </si>
  <si>
    <t>16102020</t>
  </si>
  <si>
    <t>17102020</t>
  </si>
  <si>
    <t>18102020</t>
  </si>
  <si>
    <t>19102020</t>
  </si>
  <si>
    <t>20102020</t>
  </si>
  <si>
    <t>21102020</t>
  </si>
  <si>
    <t>22102020</t>
  </si>
  <si>
    <t>23102020</t>
  </si>
  <si>
    <t>24102020</t>
  </si>
  <si>
    <t>25102020</t>
  </si>
  <si>
    <t>26102020</t>
  </si>
  <si>
    <t>27102020</t>
  </si>
  <si>
    <t>28102020</t>
  </si>
  <si>
    <t>29102020</t>
  </si>
  <si>
    <t>30102020</t>
  </si>
  <si>
    <t>31102020</t>
  </si>
  <si>
    <t>01112020</t>
  </si>
  <si>
    <t>02112020</t>
  </si>
  <si>
    <t>03112020</t>
  </si>
  <si>
    <t>04112020</t>
  </si>
  <si>
    <t>05112020</t>
  </si>
  <si>
    <t>06112020</t>
  </si>
  <si>
    <t>08112020</t>
  </si>
  <si>
    <t>11112020</t>
  </si>
  <si>
    <t>13112020</t>
  </si>
  <si>
    <t>14112020</t>
  </si>
  <si>
    <t>15112020</t>
  </si>
  <si>
    <t>16112020</t>
  </si>
  <si>
    <t>17112020</t>
  </si>
  <si>
    <t>18112020</t>
  </si>
  <si>
    <t>19112020</t>
  </si>
  <si>
    <t>20112020</t>
  </si>
  <si>
    <t>21112020</t>
  </si>
  <si>
    <t>22112020</t>
  </si>
  <si>
    <t>24112020</t>
  </si>
  <si>
    <t>25112020</t>
  </si>
  <si>
    <t>26112020</t>
  </si>
  <si>
    <t>28112020</t>
  </si>
  <si>
    <t>29112020</t>
  </si>
  <si>
    <t>01122020</t>
  </si>
  <si>
    <t>02122020</t>
  </si>
  <si>
    <t>04122020</t>
  </si>
  <si>
    <t>05122020</t>
  </si>
  <si>
    <t>06122020</t>
  </si>
  <si>
    <t>07122020</t>
  </si>
  <si>
    <t>08122020</t>
  </si>
  <si>
    <t>09122020</t>
  </si>
  <si>
    <t>10122020</t>
  </si>
  <si>
    <t>11122020</t>
  </si>
  <si>
    <t>12122020</t>
  </si>
  <si>
    <t>13122020</t>
  </si>
  <si>
    <t>14122020</t>
  </si>
  <si>
    <t>15122020</t>
  </si>
  <si>
    <t>16122020</t>
  </si>
  <si>
    <t>17122020</t>
  </si>
  <si>
    <t>18122020</t>
  </si>
  <si>
    <t>19122020</t>
  </si>
  <si>
    <t>20122020</t>
  </si>
  <si>
    <t>21122020</t>
  </si>
  <si>
    <t>22122020</t>
  </si>
  <si>
    <t>23122020</t>
  </si>
  <si>
    <t>24122020</t>
  </si>
  <si>
    <t>25122020</t>
  </si>
  <si>
    <t>26122020</t>
  </si>
  <si>
    <t>27122020</t>
  </si>
  <si>
    <t>28122020</t>
  </si>
  <si>
    <t>29122020</t>
  </si>
  <si>
    <t>30122020</t>
  </si>
  <si>
    <t>31122020</t>
  </si>
  <si>
    <t>01012021</t>
  </si>
  <si>
    <t>02012021</t>
  </si>
  <si>
    <t>03012021</t>
  </si>
  <si>
    <t>04012021</t>
  </si>
  <si>
    <t>05012021</t>
  </si>
  <si>
    <t>06012021</t>
  </si>
  <si>
    <t>07012021</t>
  </si>
  <si>
    <t>08012021</t>
  </si>
  <si>
    <t>09012021</t>
  </si>
  <si>
    <t>10012021</t>
  </si>
  <si>
    <t>11012021</t>
  </si>
  <si>
    <t>12012021</t>
  </si>
  <si>
    <t>13012021</t>
  </si>
  <si>
    <t>14012021</t>
  </si>
  <si>
    <t>15012021</t>
  </si>
  <si>
    <t>16012021</t>
  </si>
  <si>
    <t>17012021</t>
  </si>
  <si>
    <t>18012021</t>
  </si>
  <si>
    <t>19012021</t>
  </si>
  <si>
    <t>20012021</t>
  </si>
  <si>
    <t>21012021</t>
  </si>
  <si>
    <t>22012021</t>
  </si>
  <si>
    <t>23012021</t>
  </si>
  <si>
    <t>24012021</t>
  </si>
  <si>
    <t>25012021</t>
  </si>
  <si>
    <t>26012021</t>
  </si>
  <si>
    <t>27012021</t>
  </si>
  <si>
    <t>28012021</t>
  </si>
  <si>
    <t>29012021</t>
  </si>
  <si>
    <t>31012021</t>
  </si>
  <si>
    <t>02022021</t>
  </si>
  <si>
    <t>04022021</t>
  </si>
  <si>
    <t>05022021</t>
  </si>
  <si>
    <t>09022021</t>
  </si>
  <si>
    <t>11022021</t>
  </si>
  <si>
    <t>12022021</t>
  </si>
  <si>
    <t>13022021</t>
  </si>
  <si>
    <t>14022021</t>
  </si>
  <si>
    <t>15022021</t>
  </si>
  <si>
    <t>16022021</t>
  </si>
  <si>
    <t>17022021</t>
  </si>
  <si>
    <t>18022021</t>
  </si>
  <si>
    <t>19022021</t>
  </si>
  <si>
    <t>20022021</t>
  </si>
  <si>
    <t>21022021</t>
  </si>
  <si>
    <t>22022021</t>
  </si>
  <si>
    <t>23022021</t>
  </si>
  <si>
    <t>24022021</t>
  </si>
  <si>
    <t>25022021</t>
  </si>
  <si>
    <t>26022021</t>
  </si>
  <si>
    <t>27022021</t>
  </si>
  <si>
    <t>28022021</t>
  </si>
  <si>
    <t>01032021</t>
  </si>
  <si>
    <t>02032021</t>
  </si>
  <si>
    <t>03032021</t>
  </si>
  <si>
    <t>04032021</t>
  </si>
  <si>
    <t>05032021</t>
  </si>
  <si>
    <t>06032021</t>
  </si>
  <si>
    <t>07032021</t>
  </si>
  <si>
    <t>08032021</t>
  </si>
  <si>
    <t>09032021</t>
  </si>
  <si>
    <t>10032021</t>
  </si>
  <si>
    <t>11032021</t>
  </si>
  <si>
    <t>12032021</t>
  </si>
  <si>
    <t>13032021</t>
  </si>
  <si>
    <t>14032021</t>
  </si>
  <si>
    <t>15032021</t>
  </si>
  <si>
    <t>16032021</t>
  </si>
  <si>
    <t>17032021</t>
  </si>
  <si>
    <t>18032021</t>
  </si>
  <si>
    <t>19032021</t>
  </si>
  <si>
    <t>20032021</t>
  </si>
  <si>
    <t>21032021</t>
  </si>
  <si>
    <t>22032021</t>
  </si>
  <si>
    <t>23032021</t>
  </si>
  <si>
    <t>24032021</t>
  </si>
  <si>
    <t>25032021</t>
  </si>
  <si>
    <t>26032021</t>
  </si>
  <si>
    <t>27032021</t>
  </si>
  <si>
    <t>28032021</t>
  </si>
  <si>
    <t>29032021</t>
  </si>
  <si>
    <t>30032021</t>
  </si>
  <si>
    <t>31032021</t>
  </si>
  <si>
    <t>01042021</t>
  </si>
  <si>
    <t>02042021</t>
  </si>
  <si>
    <t>03042021</t>
  </si>
  <si>
    <t>05042021</t>
  </si>
  <si>
    <t>06042021</t>
  </si>
  <si>
    <t>08042021</t>
  </si>
  <si>
    <t>09042021</t>
  </si>
  <si>
    <t>10042021</t>
  </si>
  <si>
    <t>12042021</t>
  </si>
  <si>
    <t>13042021</t>
  </si>
  <si>
    <t>15042021</t>
  </si>
  <si>
    <t>16042021</t>
  </si>
  <si>
    <t>17042021</t>
  </si>
  <si>
    <t>18042021</t>
  </si>
  <si>
    <t>19042021</t>
  </si>
  <si>
    <t>20042021</t>
  </si>
  <si>
    <t>21042021</t>
  </si>
  <si>
    <t>22042021</t>
  </si>
  <si>
    <t>23042021</t>
  </si>
  <si>
    <t>24042021</t>
  </si>
  <si>
    <t>25042021</t>
  </si>
  <si>
    <t>26042021</t>
  </si>
  <si>
    <t>27042021</t>
  </si>
  <si>
    <t>28042021</t>
  </si>
  <si>
    <t>29042021</t>
  </si>
  <si>
    <t>30042021</t>
  </si>
  <si>
    <t>01052021</t>
  </si>
  <si>
    <t>03052021</t>
  </si>
  <si>
    <t>04052021</t>
  </si>
  <si>
    <t>06052021</t>
  </si>
  <si>
    <t>12052021</t>
  </si>
  <si>
    <t>13052021</t>
  </si>
  <si>
    <t>14052021</t>
  </si>
  <si>
    <t>15052021</t>
  </si>
  <si>
    <t>16052021</t>
  </si>
  <si>
    <t>17052021</t>
  </si>
  <si>
    <t>18052021</t>
  </si>
  <si>
    <t>19052021</t>
  </si>
  <si>
    <t>20052021</t>
  </si>
  <si>
    <t>21052021</t>
  </si>
  <si>
    <t>22052021</t>
  </si>
  <si>
    <t>23052021</t>
  </si>
  <si>
    <t>24052021</t>
  </si>
  <si>
    <t>25052021</t>
  </si>
  <si>
    <t>26052021</t>
  </si>
  <si>
    <t>27052021</t>
  </si>
  <si>
    <t>28052021</t>
  </si>
  <si>
    <t>29052021</t>
  </si>
  <si>
    <t>30052021</t>
  </si>
  <si>
    <t>31052021</t>
  </si>
  <si>
    <t>01062021</t>
  </si>
  <si>
    <t>02062021</t>
  </si>
  <si>
    <t>03062021</t>
  </si>
  <si>
    <t>04062021</t>
  </si>
  <si>
    <t>05062021</t>
  </si>
  <si>
    <t>06062021</t>
  </si>
  <si>
    <t>07062021</t>
  </si>
  <si>
    <t>08062021</t>
  </si>
  <si>
    <t>09062021</t>
  </si>
  <si>
    <t>11062021</t>
  </si>
  <si>
    <t>12062021</t>
  </si>
  <si>
    <t>13062021</t>
  </si>
  <si>
    <t>15062021</t>
  </si>
  <si>
    <t>17062021</t>
  </si>
  <si>
    <t>18062021</t>
  </si>
  <si>
    <t>20062021</t>
  </si>
  <si>
    <t>21062021</t>
  </si>
  <si>
    <t>22062021</t>
  </si>
  <si>
    <t>23062021</t>
  </si>
  <si>
    <t>24062021</t>
  </si>
  <si>
    <t>25062021</t>
  </si>
  <si>
    <t>26062021</t>
  </si>
  <si>
    <t>27062021</t>
  </si>
  <si>
    <t>28062021</t>
  </si>
  <si>
    <t>29062021</t>
  </si>
  <si>
    <t>30062021</t>
  </si>
  <si>
    <t>01072021</t>
  </si>
  <si>
    <t>02072021</t>
  </si>
  <si>
    <t>03072021</t>
  </si>
  <si>
    <t>04072021</t>
  </si>
  <si>
    <t>05072021</t>
  </si>
  <si>
    <t>07072021</t>
  </si>
  <si>
    <t>10072021</t>
  </si>
  <si>
    <t>11072021</t>
  </si>
  <si>
    <t>12072021</t>
  </si>
  <si>
    <t>14072021</t>
  </si>
  <si>
    <t>15072021</t>
  </si>
  <si>
    <t>16072021</t>
  </si>
  <si>
    <t>17072021</t>
  </si>
  <si>
    <t>18072021</t>
  </si>
  <si>
    <t>19072021</t>
  </si>
  <si>
    <t>20072021</t>
  </si>
  <si>
    <t>21072021</t>
  </si>
  <si>
    <t>22072021</t>
  </si>
  <si>
    <t>23072021</t>
  </si>
  <si>
    <t>24072021</t>
  </si>
  <si>
    <t>25072021</t>
  </si>
  <si>
    <t>26072021</t>
  </si>
  <si>
    <t>27072021</t>
  </si>
  <si>
    <t>28072021</t>
  </si>
  <si>
    <t>29072021</t>
  </si>
  <si>
    <t>31072021</t>
  </si>
  <si>
    <t>01082021</t>
  </si>
  <si>
    <t>03082021</t>
  </si>
  <si>
    <t>08082021</t>
  </si>
  <si>
    <t>10082021</t>
  </si>
  <si>
    <t>11082021</t>
  </si>
  <si>
    <t>12082021</t>
  </si>
  <si>
    <t>13082021</t>
  </si>
  <si>
    <t>14082021</t>
  </si>
  <si>
    <t>17082021</t>
  </si>
  <si>
    <t>19082021</t>
  </si>
  <si>
    <t>20082021</t>
  </si>
  <si>
    <t>21082021</t>
  </si>
  <si>
    <t>23082021</t>
  </si>
  <si>
    <t>24082021</t>
  </si>
  <si>
    <t>25082021</t>
  </si>
  <si>
    <t>26082021</t>
  </si>
  <si>
    <t>27082021</t>
  </si>
  <si>
    <t>28082021</t>
  </si>
  <si>
    <t>29082021</t>
  </si>
  <si>
    <t>30082021</t>
  </si>
  <si>
    <t>31082021</t>
  </si>
  <si>
    <t>01092021</t>
  </si>
  <si>
    <t>02092021</t>
  </si>
  <si>
    <t>03092021</t>
  </si>
  <si>
    <t>04092021</t>
  </si>
  <si>
    <t>05092021</t>
  </si>
  <si>
    <t>06092021</t>
  </si>
  <si>
    <t>07092021</t>
  </si>
  <si>
    <t>08092021</t>
  </si>
  <si>
    <t>09092021</t>
  </si>
  <si>
    <t>10092021</t>
  </si>
  <si>
    <t>11092021</t>
  </si>
  <si>
    <t>12092021</t>
  </si>
  <si>
    <t>13092021</t>
  </si>
  <si>
    <t>14092021</t>
  </si>
  <si>
    <t>15092021</t>
  </si>
  <si>
    <t>16092021</t>
  </si>
  <si>
    <t>17092021</t>
  </si>
  <si>
    <t>18092021</t>
  </si>
  <si>
    <t>19092021</t>
  </si>
  <si>
    <t>20092021</t>
  </si>
  <si>
    <t>21092021</t>
  </si>
  <si>
    <t>22092021</t>
  </si>
  <si>
    <t>23092021</t>
  </si>
  <si>
    <t>24092021</t>
  </si>
  <si>
    <t>25092021</t>
  </si>
  <si>
    <t>26092021</t>
  </si>
  <si>
    <t>27092021</t>
  </si>
  <si>
    <t>28092021</t>
  </si>
  <si>
    <t>29092021</t>
  </si>
  <si>
    <t>30092021</t>
  </si>
  <si>
    <t>03102021</t>
  </si>
  <si>
    <t>04102021</t>
  </si>
  <si>
    <t>05102021</t>
  </si>
  <si>
    <t>08102021</t>
  </si>
  <si>
    <t>11102021</t>
  </si>
  <si>
    <t>12102021</t>
  </si>
  <si>
    <t>13102021</t>
  </si>
  <si>
    <t>15102021</t>
  </si>
  <si>
    <t>17102021</t>
  </si>
  <si>
    <t>18102021</t>
  </si>
  <si>
    <t>19102021</t>
  </si>
  <si>
    <t>20102021</t>
  </si>
  <si>
    <t>21102021</t>
  </si>
  <si>
    <t>22102021</t>
  </si>
  <si>
    <t>23102021</t>
  </si>
  <si>
    <t>24102021</t>
  </si>
  <si>
    <t>25102021</t>
  </si>
  <si>
    <t>26102021</t>
  </si>
  <si>
    <t>27102021</t>
  </si>
  <si>
    <t>28102021</t>
  </si>
  <si>
    <t>29102021</t>
  </si>
  <si>
    <t>30102021</t>
  </si>
  <si>
    <t>31102021</t>
  </si>
  <si>
    <t>01112021</t>
  </si>
  <si>
    <t>02112021</t>
  </si>
  <si>
    <t>03112021</t>
  </si>
  <si>
    <t>04112021</t>
  </si>
  <si>
    <t>05112021</t>
  </si>
  <si>
    <t>06112021</t>
  </si>
  <si>
    <t>07112021</t>
  </si>
  <si>
    <t>08112021</t>
  </si>
  <si>
    <t>09112021</t>
  </si>
  <si>
    <t>10112021</t>
  </si>
  <si>
    <t>12112021</t>
  </si>
  <si>
    <t>13112021</t>
  </si>
  <si>
    <t>14112021</t>
  </si>
  <si>
    <t>17112021</t>
  </si>
  <si>
    <t>18112021</t>
  </si>
  <si>
    <t>20112021</t>
  </si>
  <si>
    <t>21112021</t>
  </si>
  <si>
    <t>22112021</t>
  </si>
  <si>
    <t>23112021</t>
  </si>
  <si>
    <t>24112021</t>
  </si>
  <si>
    <t>25112021</t>
  </si>
  <si>
    <t>26112021</t>
  </si>
  <si>
    <t>27112021</t>
  </si>
  <si>
    <t>28112021</t>
  </si>
  <si>
    <t>29112021</t>
  </si>
  <si>
    <t>30112021</t>
  </si>
  <si>
    <t>01122021</t>
  </si>
  <si>
    <t>02122021</t>
  </si>
  <si>
    <t>03122021</t>
  </si>
  <si>
    <t>04122021</t>
  </si>
  <si>
    <t>05122021</t>
  </si>
  <si>
    <t>06122021</t>
  </si>
  <si>
    <t>07122021</t>
  </si>
  <si>
    <t>08122021</t>
  </si>
  <si>
    <t>09122021</t>
  </si>
  <si>
    <t>10122021</t>
  </si>
  <si>
    <t>11122021</t>
  </si>
  <si>
    <t>12122021</t>
  </si>
  <si>
    <t>13122021</t>
  </si>
  <si>
    <t>14122021</t>
  </si>
  <si>
    <t>15122021</t>
  </si>
  <si>
    <t>16122021</t>
  </si>
  <si>
    <t>17122021</t>
  </si>
  <si>
    <t>18122021</t>
  </si>
  <si>
    <t>19122021</t>
  </si>
  <si>
    <t>20122021</t>
  </si>
  <si>
    <t>21122021</t>
  </si>
  <si>
    <t>22122021</t>
  </si>
  <si>
    <t>23122021</t>
  </si>
  <si>
    <t>24122021</t>
  </si>
  <si>
    <t>25122021</t>
  </si>
  <si>
    <t>26122021</t>
  </si>
  <si>
    <t>27122021</t>
  </si>
  <si>
    <t>28122021</t>
  </si>
  <si>
    <t>29122021</t>
  </si>
  <si>
    <t>30122021</t>
  </si>
  <si>
    <t>31122021</t>
  </si>
  <si>
    <t>01012022</t>
  </si>
  <si>
    <t>02012022</t>
  </si>
  <si>
    <t>03012022</t>
  </si>
  <si>
    <t>04012022</t>
  </si>
  <si>
    <t>05012022</t>
  </si>
  <si>
    <t>06012022</t>
  </si>
  <si>
    <t>07012022</t>
  </si>
  <si>
    <t>08012022</t>
  </si>
  <si>
    <t>09012022</t>
  </si>
  <si>
    <t>10012022</t>
  </si>
  <si>
    <t>11012022</t>
  </si>
  <si>
    <t>12012022</t>
  </si>
  <si>
    <t>13012022</t>
  </si>
  <si>
    <t>14012022</t>
  </si>
  <si>
    <t>15012022</t>
  </si>
  <si>
    <t>16012022</t>
  </si>
  <si>
    <t>17012022</t>
  </si>
  <si>
    <t>18012022</t>
  </si>
  <si>
    <t>19012022</t>
  </si>
  <si>
    <t>20012022</t>
  </si>
  <si>
    <t>21012022</t>
  </si>
  <si>
    <t>22012022</t>
  </si>
  <si>
    <t>23012022</t>
  </si>
  <si>
    <t>24012022</t>
  </si>
  <si>
    <t>25012022</t>
  </si>
  <si>
    <t>26012022</t>
  </si>
  <si>
    <t>27012022</t>
  </si>
  <si>
    <t>28012022</t>
  </si>
  <si>
    <t>29012022</t>
  </si>
  <si>
    <t>30012022</t>
  </si>
  <si>
    <t>31012022</t>
  </si>
  <si>
    <t>01022022</t>
  </si>
  <si>
    <t>02022022</t>
  </si>
  <si>
    <t>03022022</t>
  </si>
  <si>
    <t>04022022</t>
  </si>
  <si>
    <t>05022022</t>
  </si>
  <si>
    <t>06022022</t>
  </si>
  <si>
    <t>07022022</t>
  </si>
  <si>
    <t>08022022</t>
  </si>
  <si>
    <t>09022022</t>
  </si>
  <si>
    <t>10022022</t>
  </si>
  <si>
    <t>11022022</t>
  </si>
  <si>
    <t>13022022</t>
  </si>
  <si>
    <t>14022022</t>
  </si>
  <si>
    <t>15022022</t>
  </si>
  <si>
    <t>17022022</t>
  </si>
  <si>
    <t>18022022</t>
  </si>
  <si>
    <t>19022022</t>
  </si>
  <si>
    <t>21022022</t>
  </si>
  <si>
    <t>22022022</t>
  </si>
  <si>
    <t>23022022</t>
  </si>
  <si>
    <t>25022022</t>
  </si>
  <si>
    <t>26022022</t>
  </si>
  <si>
    <t>27022022</t>
  </si>
  <si>
    <t>28022022</t>
  </si>
  <si>
    <t>01032022</t>
  </si>
  <si>
    <t>02032022</t>
  </si>
  <si>
    <t>03032022</t>
  </si>
  <si>
    <t>04032022</t>
  </si>
  <si>
    <t>05032022</t>
  </si>
  <si>
    <t>06032022</t>
  </si>
  <si>
    <t>07032022</t>
  </si>
  <si>
    <t>08032022</t>
  </si>
  <si>
    <t>09032022</t>
  </si>
  <si>
    <t>10032022</t>
  </si>
  <si>
    <t>11032022</t>
  </si>
  <si>
    <t>12032022</t>
  </si>
  <si>
    <t>13032022</t>
  </si>
  <si>
    <t>14032022</t>
  </si>
  <si>
    <t>15032022</t>
  </si>
  <si>
    <t>16032022</t>
  </si>
  <si>
    <t>17032022</t>
  </si>
  <si>
    <t>18032022</t>
  </si>
  <si>
    <t>19032022</t>
  </si>
  <si>
    <t>20032022</t>
  </si>
  <si>
    <t>21032022</t>
  </si>
  <si>
    <t>22032022</t>
  </si>
  <si>
    <t>23032022</t>
  </si>
  <si>
    <t>24032022</t>
  </si>
  <si>
    <t>25032022</t>
  </si>
  <si>
    <t>26032022</t>
  </si>
  <si>
    <t>27032022</t>
  </si>
  <si>
    <t>28032022</t>
  </si>
  <si>
    <t>29032022</t>
  </si>
  <si>
    <t>31032022</t>
  </si>
  <si>
    <t>01042022</t>
  </si>
  <si>
    <t>04042022</t>
  </si>
  <si>
    <t>05042022</t>
  </si>
  <si>
    <t>06042022</t>
  </si>
  <si>
    <t>08042022</t>
  </si>
  <si>
    <t>09042022</t>
  </si>
  <si>
    <t>10042022</t>
  </si>
  <si>
    <t>11042022</t>
  </si>
  <si>
    <t>12042022</t>
  </si>
  <si>
    <t>13042022</t>
  </si>
  <si>
    <t>14042022</t>
  </si>
  <si>
    <t>15042022</t>
  </si>
  <si>
    <t>17042022</t>
  </si>
  <si>
    <t>19042022</t>
  </si>
  <si>
    <t>20042022</t>
  </si>
  <si>
    <t>22042022</t>
  </si>
  <si>
    <t>23042022</t>
  </si>
  <si>
    <t>25042022</t>
  </si>
  <si>
    <t>26042022</t>
  </si>
  <si>
    <t>27042022</t>
  </si>
  <si>
    <t>28042022</t>
  </si>
  <si>
    <t>29042022</t>
  </si>
  <si>
    <t>30042022</t>
  </si>
  <si>
    <t>01052022</t>
  </si>
  <si>
    <t>02052022</t>
  </si>
  <si>
    <t>03052022</t>
  </si>
  <si>
    <t>04052022</t>
  </si>
  <si>
    <t>05052022</t>
  </si>
  <si>
    <t>06052022</t>
  </si>
  <si>
    <t>07052022</t>
  </si>
  <si>
    <t>08052022</t>
  </si>
  <si>
    <t>09052022</t>
  </si>
  <si>
    <t>10052022</t>
  </si>
  <si>
    <t>12052022</t>
  </si>
  <si>
    <t>13052022</t>
  </si>
  <si>
    <t>15052022</t>
  </si>
  <si>
    <t>17052022</t>
  </si>
  <si>
    <t>18052022</t>
  </si>
  <si>
    <t>20052022</t>
  </si>
  <si>
    <t>21052022</t>
  </si>
  <si>
    <t>22052022</t>
  </si>
  <si>
    <t>23052022</t>
  </si>
  <si>
    <t>24052022</t>
  </si>
  <si>
    <t>25052022</t>
  </si>
  <si>
    <t>26052022</t>
  </si>
  <si>
    <t>27052022</t>
  </si>
  <si>
    <t>28052022</t>
  </si>
  <si>
    <t>29052022</t>
  </si>
  <si>
    <t>01062022</t>
  </si>
  <si>
    <t>03062022</t>
  </si>
  <si>
    <t>04062022</t>
  </si>
  <si>
    <t>05062022</t>
  </si>
  <si>
    <t>07062022</t>
  </si>
  <si>
    <t>08062022</t>
  </si>
  <si>
    <t>09062022</t>
  </si>
  <si>
    <t>10062022</t>
  </si>
  <si>
    <t>11062022</t>
  </si>
  <si>
    <t>12062022</t>
  </si>
  <si>
    <t>13062022</t>
  </si>
  <si>
    <t>14062022</t>
  </si>
  <si>
    <t>15062022</t>
  </si>
  <si>
    <t>16062022</t>
  </si>
  <si>
    <t>17062022</t>
  </si>
  <si>
    <t>18062022</t>
  </si>
  <si>
    <t>20062022</t>
  </si>
  <si>
    <t>22062022</t>
  </si>
  <si>
    <t>23062022</t>
  </si>
  <si>
    <t>25062022</t>
  </si>
  <si>
    <t>26062022</t>
  </si>
  <si>
    <t>28062022</t>
  </si>
  <si>
    <t>29062022</t>
  </si>
  <si>
    <t>30062022</t>
  </si>
  <si>
    <t>01072022</t>
  </si>
  <si>
    <t>02072022</t>
  </si>
  <si>
    <t>03072022</t>
  </si>
  <si>
    <t>04072022</t>
  </si>
  <si>
    <t>05072022</t>
  </si>
  <si>
    <t>06072022</t>
  </si>
  <si>
    <t>07072022</t>
  </si>
  <si>
    <t>08072022</t>
  </si>
  <si>
    <t>09072022</t>
  </si>
  <si>
    <t>10072022</t>
  </si>
  <si>
    <t>11072022</t>
  </si>
  <si>
    <t>12072022</t>
  </si>
  <si>
    <t>13072022</t>
  </si>
  <si>
    <t>14072022</t>
  </si>
  <si>
    <t>15072022</t>
  </si>
  <si>
    <t>16072022</t>
  </si>
  <si>
    <t>18072022</t>
  </si>
  <si>
    <t>19072022</t>
  </si>
  <si>
    <t>20072022</t>
  </si>
  <si>
    <t>22072022</t>
  </si>
  <si>
    <t>23072022</t>
  </si>
  <si>
    <t>25072022</t>
  </si>
  <si>
    <t>26072022</t>
  </si>
  <si>
    <t>27072022</t>
  </si>
  <si>
    <t>29072022</t>
  </si>
  <si>
    <t>30072022</t>
  </si>
  <si>
    <t>31072022</t>
  </si>
  <si>
    <t>01082022</t>
  </si>
  <si>
    <t>02082022</t>
  </si>
  <si>
    <t>03082022</t>
  </si>
  <si>
    <t>04082022</t>
  </si>
  <si>
    <t>05082022</t>
  </si>
  <si>
    <t>06082022</t>
  </si>
  <si>
    <t>07082022</t>
  </si>
  <si>
    <t>08082022</t>
  </si>
  <si>
    <t>09082022</t>
  </si>
  <si>
    <t>10082022</t>
  </si>
  <si>
    <t>11082022</t>
  </si>
  <si>
    <t>12082022</t>
  </si>
  <si>
    <t>13082022</t>
  </si>
  <si>
    <t>14082022</t>
  </si>
  <si>
    <t>15082022</t>
  </si>
  <si>
    <t>16082022</t>
  </si>
  <si>
    <t>17082022</t>
  </si>
  <si>
    <t>18082022</t>
  </si>
  <si>
    <t>19082022</t>
  </si>
  <si>
    <t>20082022</t>
  </si>
  <si>
    <t>21082022</t>
  </si>
  <si>
    <t>22082022</t>
  </si>
  <si>
    <t>23082022</t>
  </si>
  <si>
    <t>24082022</t>
  </si>
  <si>
    <t>25082022</t>
  </si>
  <si>
    <t>26082022</t>
  </si>
  <si>
    <t>27082022</t>
  </si>
  <si>
    <t>28082022</t>
  </si>
  <si>
    <t>29082022</t>
  </si>
  <si>
    <t>30082022</t>
  </si>
  <si>
    <t>31082022</t>
  </si>
  <si>
    <t>01092022</t>
  </si>
  <si>
    <t>02092022</t>
  </si>
  <si>
    <t>03092022</t>
  </si>
  <si>
    <t>04092022</t>
  </si>
  <si>
    <t>05092022</t>
  </si>
  <si>
    <t>06092022</t>
  </si>
  <si>
    <t>07092022</t>
  </si>
  <si>
    <t>08092022</t>
  </si>
  <si>
    <t>09092022</t>
  </si>
  <si>
    <t>10092022</t>
  </si>
  <si>
    <t>11092022</t>
  </si>
  <si>
    <t>12092022</t>
  </si>
  <si>
    <t>13092022</t>
  </si>
  <si>
    <t>14092022</t>
  </si>
  <si>
    <t>15092022</t>
  </si>
  <si>
    <t>16092022</t>
  </si>
  <si>
    <t>17092022</t>
  </si>
  <si>
    <t>18092022</t>
  </si>
  <si>
    <t>19092022</t>
  </si>
  <si>
    <t>20092022</t>
  </si>
  <si>
    <t>21092022</t>
  </si>
  <si>
    <t>22092022</t>
  </si>
  <si>
    <t>23092022</t>
  </si>
  <si>
    <t>24092022</t>
  </si>
  <si>
    <t>25092022</t>
  </si>
  <si>
    <t>26092022</t>
  </si>
  <si>
    <t>27092022</t>
  </si>
  <si>
    <t>28092022</t>
  </si>
  <si>
    <t>29092022</t>
  </si>
  <si>
    <t>30092022</t>
  </si>
  <si>
    <t>01102022</t>
  </si>
  <si>
    <t>02102022</t>
  </si>
  <si>
    <t>03102022</t>
  </si>
  <si>
    <t>04102022</t>
  </si>
  <si>
    <t>05102022</t>
  </si>
  <si>
    <t>06102022</t>
  </si>
  <si>
    <t>07102022</t>
  </si>
  <si>
    <t>08102022</t>
  </si>
  <si>
    <t>09102022</t>
  </si>
  <si>
    <t>10102022</t>
  </si>
  <si>
    <t>11102022</t>
  </si>
  <si>
    <t>12102022</t>
  </si>
  <si>
    <t>13102022</t>
  </si>
  <si>
    <t>14102022</t>
  </si>
  <si>
    <t>16102022</t>
  </si>
  <si>
    <t>17102022</t>
  </si>
  <si>
    <t>19102022</t>
  </si>
  <si>
    <t>22102022</t>
  </si>
  <si>
    <t>23102022</t>
  </si>
  <si>
    <t>24102022</t>
  </si>
  <si>
    <t>25102022</t>
  </si>
  <si>
    <t>26102022</t>
  </si>
  <si>
    <t>27102022</t>
  </si>
  <si>
    <t>28102022</t>
  </si>
  <si>
    <t>29102022</t>
  </si>
  <si>
    <t>30102022</t>
  </si>
  <si>
    <t>31102022</t>
  </si>
  <si>
    <t>01112022</t>
  </si>
  <si>
    <t>02112022</t>
  </si>
  <si>
    <t>03112022</t>
  </si>
  <si>
    <t>05112022</t>
  </si>
  <si>
    <t>06112022</t>
  </si>
  <si>
    <t>08112022</t>
  </si>
  <si>
    <t>09112022</t>
  </si>
  <si>
    <t>11112022</t>
  </si>
  <si>
    <t>12112022</t>
  </si>
  <si>
    <t>13112022</t>
  </si>
  <si>
    <t>15112022</t>
  </si>
  <si>
    <t>16112022</t>
  </si>
  <si>
    <t>17112022</t>
  </si>
  <si>
    <t>18112022</t>
  </si>
  <si>
    <t>19112022</t>
  </si>
  <si>
    <t>20112022</t>
  </si>
  <si>
    <t>21112022</t>
  </si>
  <si>
    <t>22112022</t>
  </si>
  <si>
    <t>23112022</t>
  </si>
  <si>
    <t>24112022</t>
  </si>
  <si>
    <t>25112022</t>
  </si>
  <si>
    <t>26112022</t>
  </si>
  <si>
    <t>27112022</t>
  </si>
  <si>
    <t>28112022</t>
  </si>
  <si>
    <t>29112022</t>
  </si>
  <si>
    <t>30112022</t>
  </si>
  <si>
    <t>01122022</t>
  </si>
  <si>
    <t>02122022</t>
  </si>
  <si>
    <t>03122022</t>
  </si>
  <si>
    <t>04122022</t>
  </si>
  <si>
    <t>05122022</t>
  </si>
  <si>
    <t>06122022</t>
  </si>
  <si>
    <t>07122022</t>
  </si>
  <si>
    <t>08122022</t>
  </si>
  <si>
    <t>09122022</t>
  </si>
  <si>
    <t>10122022</t>
  </si>
  <si>
    <t>11122022</t>
  </si>
  <si>
    <t>16122022</t>
  </si>
  <si>
    <t>17122022</t>
  </si>
  <si>
    <t>20122022</t>
  </si>
  <si>
    <t>21122022</t>
  </si>
  <si>
    <t>22122022</t>
  </si>
  <si>
    <t>23122022</t>
  </si>
  <si>
    <t>24122022</t>
  </si>
  <si>
    <t>25122022</t>
  </si>
  <si>
    <t>26122022</t>
  </si>
  <si>
    <t>27122022</t>
  </si>
  <si>
    <t>28122022</t>
  </si>
  <si>
    <t>29122022</t>
  </si>
  <si>
    <t>30122022</t>
  </si>
  <si>
    <t>31122022</t>
  </si>
  <si>
    <t>01012023</t>
  </si>
  <si>
    <t>02012023</t>
  </si>
  <si>
    <t>03012023</t>
  </si>
  <si>
    <t>04012023</t>
  </si>
  <si>
    <t>05012023</t>
  </si>
  <si>
    <t>06012023</t>
  </si>
  <si>
    <t>07012023</t>
  </si>
  <si>
    <t>08012023</t>
  </si>
  <si>
    <t>09012023</t>
  </si>
  <si>
    <t>10012023</t>
  </si>
  <si>
    <t>11012023</t>
  </si>
  <si>
    <t>12012023</t>
  </si>
  <si>
    <t>13012023</t>
  </si>
  <si>
    <t>14012023</t>
  </si>
  <si>
    <t>15012023</t>
  </si>
  <si>
    <t>16012023</t>
  </si>
  <si>
    <t>17012023</t>
  </si>
  <si>
    <t>18012023</t>
  </si>
  <si>
    <t>19012023</t>
  </si>
  <si>
    <t>20012023</t>
  </si>
  <si>
    <t>21012023</t>
  </si>
  <si>
    <t>23012023</t>
  </si>
  <si>
    <t>24012023</t>
  </si>
  <si>
    <t>27012023</t>
  </si>
  <si>
    <t>28012023</t>
  </si>
  <si>
    <t>01022023</t>
  </si>
  <si>
    <t>03022023</t>
  </si>
  <si>
    <t>04022023</t>
  </si>
  <si>
    <t>06022023</t>
  </si>
  <si>
    <t>07022023</t>
  </si>
  <si>
    <t>08022023</t>
  </si>
  <si>
    <t>09022023</t>
  </si>
  <si>
    <t>10022023</t>
  </si>
  <si>
    <t>11022023</t>
  </si>
  <si>
    <t>12022023</t>
  </si>
  <si>
    <t>13022023</t>
  </si>
  <si>
    <t>14022023</t>
  </si>
  <si>
    <t>15022023</t>
  </si>
  <si>
    <t>16022023</t>
  </si>
  <si>
    <t>17022023</t>
  </si>
  <si>
    <t>18022023</t>
  </si>
  <si>
    <t>19022023</t>
  </si>
  <si>
    <t>20022023</t>
  </si>
  <si>
    <t>21022023</t>
  </si>
  <si>
    <t>22022023</t>
  </si>
  <si>
    <t>23022023</t>
  </si>
  <si>
    <t>24022023</t>
  </si>
  <si>
    <t>25022023</t>
  </si>
  <si>
    <t>26022023</t>
  </si>
  <si>
    <t>27022023</t>
  </si>
  <si>
    <t>28022023</t>
  </si>
  <si>
    <t>01032023</t>
  </si>
  <si>
    <t>02032023</t>
  </si>
  <si>
    <t>03032023</t>
  </si>
  <si>
    <t>04032023</t>
  </si>
  <si>
    <t>05032023</t>
  </si>
  <si>
    <t>06032023</t>
  </si>
  <si>
    <t>07032023</t>
  </si>
  <si>
    <t>08032023</t>
  </si>
  <si>
    <t>09032023</t>
  </si>
  <si>
    <t>10032023</t>
  </si>
  <si>
    <t>11032023</t>
  </si>
  <si>
    <t>12032023</t>
  </si>
  <si>
    <t>13032023</t>
  </si>
  <si>
    <t>14032023</t>
  </si>
  <si>
    <t>15032023</t>
  </si>
  <si>
    <t>16032023</t>
  </si>
  <si>
    <t>17032023</t>
  </si>
  <si>
    <t>18032023</t>
  </si>
  <si>
    <t>19032023</t>
  </si>
  <si>
    <t>21032023</t>
  </si>
  <si>
    <t>24032023</t>
  </si>
  <si>
    <t>29032023</t>
  </si>
  <si>
    <t>31032023</t>
  </si>
  <si>
    <t>01042023</t>
  </si>
  <si>
    <t>02042023</t>
  </si>
  <si>
    <t>03042023</t>
  </si>
  <si>
    <t>04042023</t>
  </si>
  <si>
    <t>05042023</t>
  </si>
  <si>
    <t>06042023</t>
  </si>
  <si>
    <t>07042023</t>
  </si>
  <si>
    <t>08042023</t>
  </si>
  <si>
    <t>09042023</t>
  </si>
  <si>
    <t>10042023</t>
  </si>
  <si>
    <t>11042023</t>
  </si>
  <si>
    <t>14042023</t>
  </si>
  <si>
    <t>15042023</t>
  </si>
  <si>
    <t>17042023</t>
  </si>
  <si>
    <t>18042023</t>
  </si>
  <si>
    <t>19042023</t>
  </si>
  <si>
    <t>21042023</t>
  </si>
  <si>
    <t>22042023</t>
  </si>
  <si>
    <t>23042023</t>
  </si>
  <si>
    <t>24042023</t>
  </si>
  <si>
    <t>25042023</t>
  </si>
  <si>
    <t>26042023</t>
  </si>
  <si>
    <t>27042023</t>
  </si>
  <si>
    <t>28042023</t>
  </si>
  <si>
    <t>29042023</t>
  </si>
  <si>
    <t>30042023</t>
  </si>
  <si>
    <t>01052023</t>
  </si>
  <si>
    <t>02052023</t>
  </si>
  <si>
    <t>03052023</t>
  </si>
  <si>
    <t>04052023</t>
  </si>
  <si>
    <t>05052023</t>
  </si>
  <si>
    <t>06052023</t>
  </si>
  <si>
    <t>07052023</t>
  </si>
  <si>
    <t>08052023</t>
  </si>
  <si>
    <t>09052023</t>
  </si>
  <si>
    <t>10052023</t>
  </si>
  <si>
    <t>11052023</t>
  </si>
  <si>
    <t>13052023</t>
  </si>
  <si>
    <t>15052023</t>
  </si>
  <si>
    <t>21052023</t>
  </si>
  <si>
    <t>22052023</t>
  </si>
  <si>
    <t>24052023</t>
  </si>
  <si>
    <t>25052023</t>
  </si>
  <si>
    <t>27052023</t>
  </si>
  <si>
    <t>29052023</t>
  </si>
  <si>
    <t>31052023</t>
  </si>
  <si>
    <t>02062023</t>
  </si>
  <si>
    <t>03062023</t>
  </si>
  <si>
    <t>04062023</t>
  </si>
  <si>
    <t>05062023</t>
  </si>
  <si>
    <t>06062023</t>
  </si>
  <si>
    <t>07062023</t>
  </si>
  <si>
    <t>08062023</t>
  </si>
  <si>
    <t>09062023</t>
  </si>
  <si>
    <t>10062023</t>
  </si>
  <si>
    <t>11062023</t>
  </si>
  <si>
    <t>12062023</t>
  </si>
  <si>
    <t>13062023</t>
  </si>
  <si>
    <t>14062023</t>
  </si>
  <si>
    <t>15062023</t>
  </si>
  <si>
    <t>16062023</t>
  </si>
  <si>
    <t>17062023</t>
  </si>
  <si>
    <t>18062023</t>
  </si>
  <si>
    <t>19062023</t>
  </si>
  <si>
    <t>20062023</t>
  </si>
  <si>
    <t>21062023</t>
  </si>
  <si>
    <t>22062023</t>
  </si>
  <si>
    <t>23062023</t>
  </si>
  <si>
    <t>24062023</t>
  </si>
  <si>
    <t>25062023</t>
  </si>
  <si>
    <t>26062023</t>
  </si>
  <si>
    <t>27062023</t>
  </si>
  <si>
    <t>28062023</t>
  </si>
  <si>
    <t>29062023</t>
  </si>
  <si>
    <t>30062023</t>
  </si>
  <si>
    <t>01072023</t>
  </si>
  <si>
    <t>02072023</t>
  </si>
  <si>
    <t>03072023</t>
  </si>
  <si>
    <t>04072023</t>
  </si>
  <si>
    <t>05072023</t>
  </si>
  <si>
    <t>06072023</t>
  </si>
  <si>
    <t>07072023</t>
  </si>
  <si>
    <t>09072023</t>
  </si>
  <si>
    <t>10072023</t>
  </si>
  <si>
    <t>11072023</t>
  </si>
  <si>
    <t>13072023</t>
  </si>
  <si>
    <t>15072023</t>
  </si>
  <si>
    <t>16072023</t>
  </si>
  <si>
    <t>18072023</t>
  </si>
  <si>
    <t>19072023</t>
  </si>
  <si>
    <t>21072023</t>
  </si>
  <si>
    <t>22072023</t>
  </si>
  <si>
    <t>23072023</t>
  </si>
  <si>
    <t>25072023</t>
  </si>
  <si>
    <t>27072023</t>
  </si>
  <si>
    <t>28072023</t>
  </si>
  <si>
    <t>29072023</t>
  </si>
  <si>
    <t>31072023</t>
  </si>
  <si>
    <t>01082023</t>
  </si>
  <si>
    <t>02082023</t>
  </si>
  <si>
    <t>03082023</t>
  </si>
  <si>
    <t>04082023</t>
  </si>
  <si>
    <t>05082023</t>
  </si>
  <si>
    <t>06082023</t>
  </si>
  <si>
    <t>07082023</t>
  </si>
  <si>
    <t>08082023</t>
  </si>
  <si>
    <t>09082023</t>
  </si>
  <si>
    <t>10082023</t>
  </si>
  <si>
    <t>11082023</t>
  </si>
  <si>
    <t>12082023</t>
  </si>
  <si>
    <t>13082023</t>
  </si>
  <si>
    <t>14082023</t>
  </si>
  <si>
    <t>15082023</t>
  </si>
  <si>
    <t>16082023</t>
  </si>
  <si>
    <t>17082023</t>
  </si>
  <si>
    <t>18082023</t>
  </si>
  <si>
    <t>19082023</t>
  </si>
  <si>
    <t>20082023</t>
  </si>
  <si>
    <t>21082023</t>
  </si>
  <si>
    <t>22082023</t>
  </si>
  <si>
    <t>23082023</t>
  </si>
  <si>
    <t>24082023</t>
  </si>
  <si>
    <t>25082023</t>
  </si>
  <si>
    <t>26082023</t>
  </si>
  <si>
    <t>27082023</t>
  </si>
  <si>
    <t>29082023</t>
  </si>
  <si>
    <t>30082023</t>
  </si>
  <si>
    <t>31082023</t>
  </si>
  <si>
    <t>03092023</t>
  </si>
  <si>
    <t>04092023</t>
  </si>
  <si>
    <t>06092023</t>
  </si>
  <si>
    <t>07092023</t>
  </si>
  <si>
    <t>08092023</t>
  </si>
  <si>
    <t>09092023</t>
  </si>
  <si>
    <t>10092023</t>
  </si>
  <si>
    <t>11092023</t>
  </si>
  <si>
    <t>12092023</t>
  </si>
  <si>
    <t>13092023</t>
  </si>
  <si>
    <t>14092023</t>
  </si>
  <si>
    <t>15092023</t>
  </si>
  <si>
    <t>16092023</t>
  </si>
  <si>
    <t>17092023</t>
  </si>
  <si>
    <t>18092023</t>
  </si>
  <si>
    <t>19092023</t>
  </si>
  <si>
    <t>20092023</t>
  </si>
  <si>
    <t>21092023</t>
  </si>
  <si>
    <t>22092023</t>
  </si>
  <si>
    <t>23092023</t>
  </si>
  <si>
    <t>24092023</t>
  </si>
  <si>
    <t>25092023</t>
  </si>
  <si>
    <t>26092023</t>
  </si>
  <si>
    <t>27092023</t>
  </si>
  <si>
    <t>28092023</t>
  </si>
  <si>
    <t>29092023</t>
  </si>
  <si>
    <t>30092023</t>
  </si>
  <si>
    <t>01102023</t>
  </si>
  <si>
    <t>02102023</t>
  </si>
  <si>
    <t>03102023</t>
  </si>
  <si>
    <t>04102023</t>
  </si>
  <si>
    <t>05102023</t>
  </si>
  <si>
    <t>06102023</t>
  </si>
  <si>
    <t>07102023</t>
  </si>
  <si>
    <t>08102023</t>
  </si>
  <si>
    <t>09102023</t>
  </si>
  <si>
    <t>10102023</t>
  </si>
  <si>
    <t>11102023</t>
  </si>
  <si>
    <t>12102023</t>
  </si>
  <si>
    <t>13102023</t>
  </si>
  <si>
    <t>14102023</t>
  </si>
  <si>
    <t>15102023</t>
  </si>
  <si>
    <t>16102023</t>
  </si>
  <si>
    <t>17102023</t>
  </si>
  <si>
    <t>18102023</t>
  </si>
  <si>
    <t>20102023</t>
  </si>
  <si>
    <t>23102023</t>
  </si>
  <si>
    <t>24102023</t>
  </si>
  <si>
    <t>26102023</t>
  </si>
  <si>
    <t>27102023</t>
  </si>
  <si>
    <t>28102023</t>
  </si>
  <si>
    <t>29102023</t>
  </si>
  <si>
    <t>30102023</t>
  </si>
  <si>
    <t>31102023</t>
  </si>
  <si>
    <t>01112023</t>
  </si>
  <si>
    <t>02112023</t>
  </si>
  <si>
    <t>03112023</t>
  </si>
  <si>
    <t>04112023</t>
  </si>
  <si>
    <t>05112023</t>
  </si>
  <si>
    <t>06112023</t>
  </si>
  <si>
    <t>07112023</t>
  </si>
  <si>
    <t>08112023</t>
  </si>
  <si>
    <t>09112023</t>
  </si>
  <si>
    <t>10112023</t>
  </si>
  <si>
    <t>11112023</t>
  </si>
  <si>
    <t>12112023</t>
  </si>
  <si>
    <t>13112023</t>
  </si>
  <si>
    <t>14112023</t>
  </si>
  <si>
    <t>15112023</t>
  </si>
  <si>
    <t>16112023</t>
  </si>
  <si>
    <t>17112023</t>
  </si>
  <si>
    <t>18112023</t>
  </si>
  <si>
    <t>19112023</t>
  </si>
  <si>
    <t>20112023</t>
  </si>
  <si>
    <t>21112023</t>
  </si>
  <si>
    <t>22112023</t>
  </si>
  <si>
    <t>23112023</t>
  </si>
  <si>
    <t>24112023</t>
  </si>
  <si>
    <t>25112023</t>
  </si>
  <si>
    <t>27112023</t>
  </si>
  <si>
    <t>28112023</t>
  </si>
  <si>
    <t>29112023</t>
  </si>
  <si>
    <t>02122023</t>
  </si>
  <si>
    <t>03122023</t>
  </si>
  <si>
    <t>05122023</t>
  </si>
  <si>
    <t>07122023</t>
  </si>
  <si>
    <t>09122023</t>
  </si>
  <si>
    <t>11122023</t>
  </si>
  <si>
    <t>12122023</t>
  </si>
  <si>
    <t>13122023</t>
  </si>
  <si>
    <t>14122023</t>
  </si>
  <si>
    <t>15122023</t>
  </si>
  <si>
    <t>16122023</t>
  </si>
  <si>
    <t>17122023</t>
  </si>
  <si>
    <t>18122023</t>
  </si>
  <si>
    <t>19122023</t>
  </si>
  <si>
    <t>20122023</t>
  </si>
  <si>
    <t>22122023</t>
  </si>
  <si>
    <t>23122023</t>
  </si>
  <si>
    <t>26122023</t>
  </si>
  <si>
    <t>27122023</t>
  </si>
  <si>
    <t>28122023</t>
  </si>
  <si>
    <t>30122023</t>
  </si>
  <si>
    <t>31122023</t>
  </si>
  <si>
    <t>01012024</t>
  </si>
  <si>
    <t>03012024</t>
  </si>
  <si>
    <t>04012024</t>
  </si>
  <si>
    <t>06012024</t>
  </si>
  <si>
    <t>07012024</t>
  </si>
  <si>
    <t>10012024</t>
  </si>
  <si>
    <t>13012024</t>
  </si>
  <si>
    <t>14012024</t>
  </si>
  <si>
    <t>16012024</t>
  </si>
  <si>
    <t>18012024</t>
  </si>
  <si>
    <t>19012024</t>
  </si>
  <si>
    <t>20012024</t>
  </si>
  <si>
    <t>21012024</t>
  </si>
  <si>
    <t>22012024</t>
  </si>
  <si>
    <t>23012024</t>
  </si>
  <si>
    <t>24012024</t>
  </si>
  <si>
    <t>25012024</t>
  </si>
  <si>
    <t>26012024</t>
  </si>
  <si>
    <t>27012024</t>
  </si>
  <si>
    <t>28012024</t>
  </si>
  <si>
    <t>29012024</t>
  </si>
  <si>
    <t>30012024</t>
  </si>
  <si>
    <t>31012024</t>
  </si>
  <si>
    <t>01022024</t>
  </si>
  <si>
    <t>02022024</t>
  </si>
  <si>
    <t>03022024</t>
  </si>
  <si>
    <t>04022024</t>
  </si>
  <si>
    <t>05022024</t>
  </si>
  <si>
    <t>06022024</t>
  </si>
  <si>
    <t>07022024</t>
  </si>
  <si>
    <t>08022024</t>
  </si>
  <si>
    <t>11022024</t>
  </si>
  <si>
    <t>13022024</t>
  </si>
  <si>
    <t>14022024</t>
  </si>
  <si>
    <t>16022024</t>
  </si>
  <si>
    <t>17022024</t>
  </si>
  <si>
    <t>18022024</t>
  </si>
  <si>
    <t>19022024</t>
  </si>
  <si>
    <t>20022024</t>
  </si>
  <si>
    <t>21022024</t>
  </si>
  <si>
    <t>22022024</t>
  </si>
  <si>
    <t>23022024</t>
  </si>
  <si>
    <t>25022024</t>
  </si>
  <si>
    <t>27022024</t>
  </si>
  <si>
    <t>28022024</t>
  </si>
  <si>
    <t>02032024</t>
  </si>
  <si>
    <t>03032024</t>
  </si>
  <si>
    <t>06032024</t>
  </si>
  <si>
    <t>07032024</t>
  </si>
  <si>
    <t>08032024</t>
  </si>
  <si>
    <t>10032024</t>
  </si>
  <si>
    <t>11032024</t>
  </si>
  <si>
    <t>12032024</t>
  </si>
  <si>
    <t>13032024</t>
  </si>
  <si>
    <t>14032024</t>
  </si>
  <si>
    <t>15032024</t>
  </si>
  <si>
    <t>16032024</t>
  </si>
  <si>
    <t>17032024</t>
  </si>
  <si>
    <t>18032024</t>
  </si>
  <si>
    <t>19032024</t>
  </si>
  <si>
    <t>20032024</t>
  </si>
  <si>
    <t>21032024</t>
  </si>
  <si>
    <t>22032024</t>
  </si>
  <si>
    <t>23032024</t>
  </si>
  <si>
    <t>24032024</t>
  </si>
  <si>
    <t>25032024</t>
  </si>
  <si>
    <t>26032024</t>
  </si>
  <si>
    <t>28032024</t>
  </si>
  <si>
    <t>29032024</t>
  </si>
  <si>
    <t>30032024</t>
  </si>
  <si>
    <t>02042024</t>
  </si>
  <si>
    <t>03042024</t>
  </si>
  <si>
    <t>04042024</t>
  </si>
  <si>
    <t>06042024</t>
  </si>
  <si>
    <t>07042024</t>
  </si>
  <si>
    <t>08042024</t>
  </si>
  <si>
    <t>09042024</t>
  </si>
  <si>
    <t>10042024</t>
  </si>
  <si>
    <t>11042024</t>
  </si>
  <si>
    <t>12042024</t>
  </si>
  <si>
    <t>13042024</t>
  </si>
  <si>
    <t>14042024</t>
  </si>
  <si>
    <t>15042024</t>
  </si>
  <si>
    <t>16042024</t>
  </si>
  <si>
    <t>17042024</t>
  </si>
  <si>
    <t>18042024</t>
  </si>
  <si>
    <t>19042024</t>
  </si>
  <si>
    <t>20042024</t>
  </si>
  <si>
    <t>21042024</t>
  </si>
  <si>
    <t>22042024</t>
  </si>
  <si>
    <t>23042024</t>
  </si>
  <si>
    <t>24042024</t>
  </si>
  <si>
    <t>25042024</t>
  </si>
  <si>
    <t>26042024</t>
  </si>
  <si>
    <t>27042024</t>
  </si>
  <si>
    <t>28042024</t>
  </si>
  <si>
    <t>29042024</t>
  </si>
  <si>
    <t>30042024</t>
  </si>
  <si>
    <t>01052024</t>
  </si>
  <si>
    <t>02052024</t>
  </si>
  <si>
    <t>03052024</t>
  </si>
  <si>
    <t>04052024</t>
  </si>
  <si>
    <t>05052024</t>
  </si>
  <si>
    <t>06052024</t>
  </si>
  <si>
    <t>07052024</t>
  </si>
  <si>
    <t>08052024</t>
  </si>
  <si>
    <t>09052024</t>
  </si>
  <si>
    <t>10052024</t>
  </si>
  <si>
    <t>11052024</t>
  </si>
  <si>
    <t>12052024</t>
  </si>
  <si>
    <t>13052024</t>
  </si>
  <si>
    <t>14052024</t>
  </si>
  <si>
    <t>15052024</t>
  </si>
  <si>
    <t>16052024</t>
  </si>
  <si>
    <t>17052024</t>
  </si>
  <si>
    <t>18052024</t>
  </si>
  <si>
    <t>19052024</t>
  </si>
  <si>
    <t>20052024</t>
  </si>
  <si>
    <t>21052024</t>
  </si>
  <si>
    <t>22052024</t>
  </si>
  <si>
    <t>23052024</t>
  </si>
  <si>
    <t>24052024</t>
  </si>
  <si>
    <t>25052024</t>
  </si>
  <si>
    <t>26052024</t>
  </si>
  <si>
    <t>27052024</t>
  </si>
  <si>
    <t>28052024</t>
  </si>
  <si>
    <t>29052024</t>
  </si>
  <si>
    <t>30052024</t>
  </si>
  <si>
    <t>31052024</t>
  </si>
  <si>
    <t>03062024</t>
  </si>
  <si>
    <t>05062024</t>
  </si>
  <si>
    <t>07062024</t>
  </si>
  <si>
    <t>10062024</t>
  </si>
  <si>
    <t>13062024</t>
  </si>
  <si>
    <t>14062024</t>
  </si>
  <si>
    <t>16062024</t>
  </si>
  <si>
    <t>17062024</t>
  </si>
  <si>
    <t>18062024</t>
  </si>
  <si>
    <t>19062024</t>
  </si>
  <si>
    <t>20062024</t>
  </si>
  <si>
    <t>21062024</t>
  </si>
  <si>
    <t>22062024</t>
  </si>
  <si>
    <t>23062024</t>
  </si>
  <si>
    <t>24062024</t>
  </si>
  <si>
    <t>25062024</t>
  </si>
  <si>
    <t>26062024</t>
  </si>
  <si>
    <t>27062024</t>
  </si>
  <si>
    <t>28062024</t>
  </si>
  <si>
    <t>29062024</t>
  </si>
  <si>
    <t>30062024</t>
  </si>
  <si>
    <t>01072024</t>
  </si>
  <si>
    <t>02072024</t>
  </si>
  <si>
    <t>03072024</t>
  </si>
  <si>
    <t>04072024</t>
  </si>
  <si>
    <t>05072024</t>
  </si>
  <si>
    <t>06072024</t>
  </si>
  <si>
    <t>07072024</t>
  </si>
  <si>
    <t>08072024</t>
  </si>
  <si>
    <t>09072024</t>
  </si>
  <si>
    <t>10072024</t>
  </si>
  <si>
    <t>11072024</t>
  </si>
  <si>
    <t>13072024</t>
  </si>
  <si>
    <t>15072024</t>
  </si>
  <si>
    <t>16072024</t>
  </si>
  <si>
    <t>17072024</t>
  </si>
  <si>
    <t>19072024</t>
  </si>
  <si>
    <t>20072024</t>
  </si>
  <si>
    <t>23072024</t>
  </si>
  <si>
    <t>24072024</t>
  </si>
  <si>
    <t>26072024</t>
  </si>
  <si>
    <t>27072024</t>
  </si>
  <si>
    <t>28072024</t>
  </si>
  <si>
    <t>30072024</t>
  </si>
  <si>
    <t>31072024</t>
  </si>
  <si>
    <t>01082024</t>
  </si>
  <si>
    <t>02082024</t>
  </si>
  <si>
    <t>04082024</t>
  </si>
  <si>
    <t>06082024</t>
  </si>
  <si>
    <t>08082024</t>
  </si>
  <si>
    <t>09082024</t>
  </si>
  <si>
    <t>10082024</t>
  </si>
  <si>
    <t>12082024</t>
  </si>
  <si>
    <t>13082024</t>
  </si>
  <si>
    <t>14082024</t>
  </si>
  <si>
    <t>15082024</t>
  </si>
  <si>
    <t>16082024</t>
  </si>
  <si>
    <t>17082024</t>
  </si>
  <si>
    <t>18082024</t>
  </si>
  <si>
    <t>19082024</t>
  </si>
  <si>
    <t>20082024</t>
  </si>
  <si>
    <t>21082024</t>
  </si>
  <si>
    <t>22082024</t>
  </si>
  <si>
    <t>23082024</t>
  </si>
  <si>
    <t>24082024</t>
  </si>
  <si>
    <t>25082024</t>
  </si>
  <si>
    <t>26082024</t>
  </si>
  <si>
    <t>27082024</t>
  </si>
  <si>
    <t>28082024</t>
  </si>
  <si>
    <t>29082024</t>
  </si>
  <si>
    <t>30082024</t>
  </si>
  <si>
    <t>31082024</t>
  </si>
  <si>
    <t>01092024</t>
  </si>
  <si>
    <t>02092024</t>
  </si>
  <si>
    <t>03092024</t>
  </si>
  <si>
    <t>04092024</t>
  </si>
  <si>
    <t>05092024</t>
  </si>
  <si>
    <t>06092024</t>
  </si>
  <si>
    <t>07092024</t>
  </si>
  <si>
    <t>08092024</t>
  </si>
  <si>
    <t>09092024</t>
  </si>
  <si>
    <t>10092024</t>
  </si>
  <si>
    <t>11092024</t>
  </si>
  <si>
    <t>12092024</t>
  </si>
  <si>
    <t>13092024</t>
  </si>
  <si>
    <t>15092024</t>
  </si>
  <si>
    <t>16092024</t>
  </si>
  <si>
    <t>20092024</t>
  </si>
  <si>
    <t>21092024</t>
  </si>
  <si>
    <t>22092024</t>
  </si>
  <si>
    <t>23092024</t>
  </si>
  <si>
    <t>24092024</t>
  </si>
  <si>
    <t>25092024</t>
  </si>
  <si>
    <t>26092024</t>
  </si>
  <si>
    <t>27092024</t>
  </si>
  <si>
    <t>28092024</t>
  </si>
  <si>
    <t>29092024</t>
  </si>
  <si>
    <t>30092024</t>
  </si>
  <si>
    <t>01102024</t>
  </si>
  <si>
    <t>02102024</t>
  </si>
  <si>
    <t>03102024</t>
  </si>
  <si>
    <t>04102024</t>
  </si>
  <si>
    <t>05102024</t>
  </si>
  <si>
    <t>06102024</t>
  </si>
  <si>
    <t>07102024</t>
  </si>
  <si>
    <t>08102024</t>
  </si>
  <si>
    <t>09102024</t>
  </si>
  <si>
    <t>10102024</t>
  </si>
  <si>
    <t>11102024</t>
  </si>
  <si>
    <t>12102024</t>
  </si>
  <si>
    <t>13102024</t>
  </si>
  <si>
    <t>14102024</t>
  </si>
  <si>
    <t>15102024</t>
  </si>
  <si>
    <t>16102024</t>
  </si>
  <si>
    <t>17102024</t>
  </si>
  <si>
    <t>18102024</t>
  </si>
  <si>
    <t>19102024</t>
  </si>
  <si>
    <t>20102024</t>
  </si>
  <si>
    <t>21102024</t>
  </si>
  <si>
    <t>22102024</t>
  </si>
  <si>
    <t>23102024</t>
  </si>
  <si>
    <t>24102024</t>
  </si>
  <si>
    <t>25102024</t>
  </si>
  <si>
    <t>26102024</t>
  </si>
  <si>
    <t>27102024</t>
  </si>
  <si>
    <t>28102024</t>
  </si>
  <si>
    <t>29102024</t>
  </si>
  <si>
    <t>30102024</t>
  </si>
  <si>
    <t>31102024</t>
  </si>
  <si>
    <t>01112024</t>
  </si>
  <si>
    <t>02112024</t>
  </si>
  <si>
    <t>03112024</t>
  </si>
  <si>
    <t>04112024</t>
  </si>
  <si>
    <t>05112024</t>
  </si>
  <si>
    <t>06112024</t>
  </si>
  <si>
    <t>07112024</t>
  </si>
  <si>
    <t>08112024</t>
  </si>
  <si>
    <t>09112024</t>
  </si>
  <si>
    <t>10112024</t>
  </si>
  <si>
    <t>11112024</t>
  </si>
  <si>
    <t>12112024</t>
  </si>
  <si>
    <t>15112024</t>
  </si>
  <si>
    <t>16112024</t>
  </si>
  <si>
    <t>19112024</t>
  </si>
  <si>
    <t>23112024</t>
  </si>
  <si>
    <t>24112024</t>
  </si>
  <si>
    <t>25112024</t>
  </si>
  <si>
    <t>26112024</t>
  </si>
  <si>
    <t>27112024</t>
  </si>
  <si>
    <t>28112024</t>
  </si>
  <si>
    <t>29112024</t>
  </si>
  <si>
    <t>03122024</t>
  </si>
  <si>
    <t>04122024</t>
  </si>
  <si>
    <t>06122024</t>
  </si>
  <si>
    <t>07122024</t>
  </si>
  <si>
    <t>08122024</t>
  </si>
  <si>
    <t>09122024</t>
  </si>
  <si>
    <t>10122024</t>
  </si>
  <si>
    <t>11122024</t>
  </si>
  <si>
    <t>12122024</t>
  </si>
  <si>
    <t>13122024</t>
  </si>
  <si>
    <t>14122024</t>
  </si>
  <si>
    <t>15122024</t>
  </si>
  <si>
    <t>16122024</t>
  </si>
  <si>
    <t>17122024</t>
  </si>
  <si>
    <t>18122024</t>
  </si>
  <si>
    <t>19122024</t>
  </si>
  <si>
    <t>20122024</t>
  </si>
  <si>
    <t>21122024</t>
  </si>
  <si>
    <t>23122024</t>
  </si>
  <si>
    <t>25122024</t>
  </si>
  <si>
    <t>26122024</t>
  </si>
  <si>
    <t>29122024</t>
  </si>
  <si>
    <t>30122024</t>
  </si>
  <si>
    <t>01012025</t>
  </si>
  <si>
    <t>02012025</t>
  </si>
  <si>
    <t>04012025</t>
  </si>
  <si>
    <t>05012025</t>
  </si>
  <si>
    <t>06012025</t>
  </si>
  <si>
    <t>07012025</t>
  </si>
  <si>
    <t>08012025</t>
  </si>
  <si>
    <t>09012025</t>
  </si>
  <si>
    <t>10012025</t>
  </si>
  <si>
    <t>11012025</t>
  </si>
  <si>
    <t>12012025</t>
  </si>
  <si>
    <t>13012025</t>
  </si>
  <si>
    <t>14012025</t>
  </si>
  <si>
    <t>15012025</t>
  </si>
  <si>
    <t>16012025</t>
  </si>
  <si>
    <t>17012025</t>
  </si>
  <si>
    <t>18012025</t>
  </si>
  <si>
    <t>19012025</t>
  </si>
  <si>
    <t>20012025</t>
  </si>
  <si>
    <t>21012025</t>
  </si>
  <si>
    <t>22012025</t>
  </si>
  <si>
    <t>23012025</t>
  </si>
  <si>
    <t>24012025</t>
  </si>
  <si>
    <t>27012025</t>
  </si>
  <si>
    <t>28012025</t>
  </si>
  <si>
    <t>01022025</t>
  </si>
  <si>
    <t>02022025</t>
  </si>
  <si>
    <t>03022025</t>
  </si>
  <si>
    <t>05022025</t>
  </si>
  <si>
    <t>06022025</t>
  </si>
  <si>
    <t>07022025</t>
  </si>
  <si>
    <t>08022025</t>
  </si>
  <si>
    <t>09022025</t>
  </si>
  <si>
    <t>10022025</t>
  </si>
  <si>
    <t>11022025</t>
  </si>
  <si>
    <t>12022025</t>
  </si>
  <si>
    <t>13022025</t>
  </si>
  <si>
    <t>14022025</t>
  </si>
  <si>
    <t>15022025</t>
  </si>
  <si>
    <t>16022025</t>
  </si>
  <si>
    <t>17022025</t>
  </si>
  <si>
    <t>18022025</t>
  </si>
  <si>
    <t>19022025</t>
  </si>
  <si>
    <t>20022025</t>
  </si>
  <si>
    <t>21022025</t>
  </si>
  <si>
    <t>22022025</t>
  </si>
  <si>
    <t>23022025</t>
  </si>
  <si>
    <t>24022025</t>
  </si>
  <si>
    <t>25022025</t>
  </si>
  <si>
    <t>26022025</t>
  </si>
  <si>
    <t>27022025</t>
  </si>
  <si>
    <t>28022025</t>
  </si>
  <si>
    <t>01032025</t>
  </si>
  <si>
    <t>02032025</t>
  </si>
  <si>
    <t>03032025</t>
  </si>
  <si>
    <t>04032025</t>
  </si>
  <si>
    <t>05032025</t>
  </si>
  <si>
    <t>06032025</t>
  </si>
  <si>
    <t>07032025</t>
  </si>
  <si>
    <t>08032025</t>
  </si>
  <si>
    <t>09032025</t>
  </si>
  <si>
    <t>10032025</t>
  </si>
  <si>
    <t>11032025</t>
  </si>
  <si>
    <t>12032025</t>
  </si>
  <si>
    <t>13032025</t>
  </si>
  <si>
    <t>14032025</t>
  </si>
  <si>
    <t>16032025</t>
  </si>
  <si>
    <t>17032025</t>
  </si>
  <si>
    <t>18032025</t>
  </si>
  <si>
    <t>20032025</t>
  </si>
  <si>
    <t>21032025</t>
  </si>
  <si>
    <t>23032025</t>
  </si>
  <si>
    <t>27032025</t>
  </si>
  <si>
    <t>28032025</t>
  </si>
  <si>
    <t>30032025</t>
  </si>
  <si>
    <t>31032025</t>
  </si>
  <si>
    <t>03042025</t>
  </si>
  <si>
    <t>04042025</t>
  </si>
  <si>
    <t>05042025</t>
  </si>
  <si>
    <t>07042025</t>
  </si>
  <si>
    <t>09042025</t>
  </si>
  <si>
    <t>11042025</t>
  </si>
  <si>
    <t>12042025</t>
  </si>
  <si>
    <t>13042025</t>
  </si>
  <si>
    <t>14042025</t>
  </si>
  <si>
    <t>15042025</t>
  </si>
  <si>
    <t>16042025</t>
  </si>
  <si>
    <t>17042025</t>
  </si>
  <si>
    <t>18042025</t>
  </si>
  <si>
    <t>19042025</t>
  </si>
  <si>
    <t>20042025</t>
  </si>
  <si>
    <t>22042025</t>
  </si>
  <si>
    <t>24042025</t>
  </si>
  <si>
    <t>25042025</t>
  </si>
  <si>
    <t>26042025</t>
  </si>
  <si>
    <t>28042025</t>
  </si>
  <si>
    <t>30042025</t>
  </si>
  <si>
    <t>01052025</t>
  </si>
  <si>
    <t>02052025</t>
  </si>
  <si>
    <t>04052025</t>
  </si>
  <si>
    <t>07052025</t>
  </si>
  <si>
    <t>08052025</t>
  </si>
  <si>
    <t>09052025</t>
  </si>
  <si>
    <t>10052025</t>
  </si>
  <si>
    <t>11052025</t>
  </si>
  <si>
    <t>12052025</t>
  </si>
  <si>
    <t>13052025</t>
  </si>
  <si>
    <t>14052025</t>
  </si>
  <si>
    <t>15052025</t>
  </si>
  <si>
    <t>16052025</t>
  </si>
  <si>
    <t>17052025</t>
  </si>
  <si>
    <t>18052025</t>
  </si>
  <si>
    <t>19052025</t>
  </si>
  <si>
    <t>20052025</t>
  </si>
  <si>
    <t>21052025</t>
  </si>
  <si>
    <t>22052025</t>
  </si>
  <si>
    <t>23052025</t>
  </si>
  <si>
    <t>24052025</t>
  </si>
  <si>
    <t>25052025</t>
  </si>
  <si>
    <t>26052025</t>
  </si>
  <si>
    <t>27052025</t>
  </si>
  <si>
    <t>28052025</t>
  </si>
  <si>
    <t>29052025</t>
  </si>
  <si>
    <t>30052025</t>
  </si>
  <si>
    <t>31052025</t>
  </si>
  <si>
    <t>01062025</t>
  </si>
  <si>
    <t>02062025</t>
  </si>
  <si>
    <t>03062025</t>
  </si>
  <si>
    <t>04062025</t>
  </si>
  <si>
    <t>05062025</t>
  </si>
  <si>
    <t>06062025</t>
  </si>
  <si>
    <t>07062025</t>
  </si>
  <si>
    <t>08062025</t>
  </si>
  <si>
    <t>09062025</t>
  </si>
  <si>
    <t>10062025</t>
  </si>
  <si>
    <t>11062025</t>
  </si>
  <si>
    <t>12062025</t>
  </si>
  <si>
    <t>13062025</t>
  </si>
  <si>
    <t>14062025</t>
  </si>
  <si>
    <t>15062025</t>
  </si>
  <si>
    <t>16062025</t>
  </si>
  <si>
    <t>17062025</t>
  </si>
  <si>
    <t>18062025</t>
  </si>
  <si>
    <t>19062025</t>
  </si>
  <si>
    <t>20062025</t>
  </si>
  <si>
    <t>21062025</t>
  </si>
  <si>
    <t>22062025</t>
  </si>
  <si>
    <t>23062025</t>
  </si>
  <si>
    <t>25062025</t>
  </si>
  <si>
    <t>27062025</t>
  </si>
  <si>
    <t>01072025</t>
  </si>
  <si>
    <t>03072025</t>
  </si>
  <si>
    <t>04072025</t>
  </si>
  <si>
    <t>06072025</t>
  </si>
  <si>
    <t>07072025</t>
  </si>
  <si>
    <t>09072025</t>
  </si>
  <si>
    <t>10072025</t>
  </si>
  <si>
    <t>11072025</t>
  </si>
  <si>
    <t>13072025</t>
  </si>
  <si>
    <t>15072025</t>
  </si>
  <si>
    <t>19072025</t>
  </si>
  <si>
    <t>22072025</t>
  </si>
  <si>
    <t>24072025</t>
  </si>
  <si>
    <t>25072025</t>
  </si>
  <si>
    <t>26072025</t>
  </si>
  <si>
    <t>27072025</t>
  </si>
  <si>
    <t>28072025</t>
  </si>
  <si>
    <t>29072025</t>
  </si>
  <si>
    <t>30072025</t>
  </si>
  <si>
    <t>31072025</t>
  </si>
  <si>
    <t>01082025</t>
  </si>
  <si>
    <t>02082025</t>
  </si>
  <si>
    <t>03082025</t>
  </si>
  <si>
    <t>04082025</t>
  </si>
  <si>
    <t>05082025</t>
  </si>
  <si>
    <t>06082025</t>
  </si>
  <si>
    <t>07082025</t>
  </si>
  <si>
    <t>08082025</t>
  </si>
  <si>
    <t>09082025</t>
  </si>
  <si>
    <t>10082025</t>
  </si>
  <si>
    <t>11082025</t>
  </si>
  <si>
    <t>12082025</t>
  </si>
  <si>
    <t>13082025</t>
  </si>
  <si>
    <t>14082025</t>
  </si>
  <si>
    <t>15082025</t>
  </si>
  <si>
    <t>16082025</t>
  </si>
  <si>
    <t>17082025</t>
  </si>
  <si>
    <t>18082025</t>
  </si>
  <si>
    <t>19082025</t>
  </si>
  <si>
    <t>20082025</t>
  </si>
  <si>
    <t>21082025</t>
  </si>
  <si>
    <t>22082025</t>
  </si>
  <si>
    <t>23082025</t>
  </si>
  <si>
    <t>24082025</t>
  </si>
  <si>
    <t>25082025</t>
  </si>
  <si>
    <t>26082025</t>
  </si>
  <si>
    <t>29082025</t>
  </si>
  <si>
    <t>31082025</t>
  </si>
  <si>
    <t>01092025</t>
  </si>
  <si>
    <t>03092025</t>
  </si>
  <si>
    <t>04092025</t>
  </si>
  <si>
    <t>05092025</t>
  </si>
  <si>
    <t>06092025</t>
  </si>
  <si>
    <t>07092025</t>
  </si>
  <si>
    <t>08092025</t>
  </si>
  <si>
    <t>09092025</t>
  </si>
  <si>
    <t>10092025</t>
  </si>
  <si>
    <t>11092025</t>
  </si>
  <si>
    <t>12092025</t>
  </si>
  <si>
    <t>13092025</t>
  </si>
  <si>
    <t>14092025</t>
  </si>
  <si>
    <t>15092025</t>
  </si>
  <si>
    <t>16092025</t>
  </si>
  <si>
    <t>21092025</t>
  </si>
  <si>
    <t>22092025</t>
  </si>
  <si>
    <t>24092025</t>
  </si>
  <si>
    <t>25092025</t>
  </si>
  <si>
    <t>27092025</t>
  </si>
  <si>
    <t>28092025</t>
  </si>
  <si>
    <t>29092025</t>
  </si>
  <si>
    <t>30092025</t>
  </si>
  <si>
    <t>01102025</t>
  </si>
  <si>
    <t>02102025</t>
  </si>
  <si>
    <t>03102025</t>
  </si>
  <si>
    <t>04102025</t>
  </si>
  <si>
    <t>05102025</t>
  </si>
  <si>
    <t>06102025</t>
  </si>
  <si>
    <t>07102025</t>
  </si>
  <si>
    <t>08102025</t>
  </si>
  <si>
    <t>09102025</t>
  </si>
  <si>
    <t>10102025</t>
  </si>
  <si>
    <t>11102025</t>
  </si>
  <si>
    <t>12102025</t>
  </si>
  <si>
    <t>13102025</t>
  </si>
  <si>
    <t>14102025</t>
  </si>
  <si>
    <t>15102025</t>
  </si>
  <si>
    <t>16102025</t>
  </si>
  <si>
    <t>17102025</t>
  </si>
  <si>
    <t>18102025</t>
  </si>
  <si>
    <t>19102025</t>
  </si>
  <si>
    <t>20102025</t>
  </si>
  <si>
    <t>21102025</t>
  </si>
  <si>
    <t>22102025</t>
  </si>
  <si>
    <t>23102025</t>
  </si>
  <si>
    <t>24102025</t>
  </si>
  <si>
    <t>25102025</t>
  </si>
  <si>
    <t>26102025</t>
  </si>
  <si>
    <t>27102025</t>
  </si>
  <si>
    <t>28102025</t>
  </si>
  <si>
    <t>29102025</t>
  </si>
  <si>
    <t>30102025</t>
  </si>
  <si>
    <t>31102025</t>
  </si>
  <si>
    <t>01112025</t>
  </si>
  <si>
    <t>02112025</t>
  </si>
  <si>
    <t>03112025</t>
  </si>
  <si>
    <t>04112025</t>
  </si>
  <si>
    <t>05112025</t>
  </si>
  <si>
    <t>06112025</t>
  </si>
  <si>
    <t>07112025</t>
  </si>
  <si>
    <t>08112025</t>
  </si>
  <si>
    <t>09112025</t>
  </si>
  <si>
    <t>10112025</t>
  </si>
  <si>
    <t>11112025</t>
  </si>
  <si>
    <t>12112025</t>
  </si>
  <si>
    <t>13112025</t>
  </si>
  <si>
    <t>14112025</t>
  </si>
  <si>
    <t>15112025</t>
  </si>
  <si>
    <t>16112025</t>
  </si>
  <si>
    <t>17112025</t>
  </si>
  <si>
    <t>18112025</t>
  </si>
  <si>
    <t>21112025</t>
  </si>
  <si>
    <t>22112025</t>
  </si>
  <si>
    <t>25112025</t>
  </si>
  <si>
    <t>26112025</t>
  </si>
  <si>
    <t>27112025</t>
  </si>
  <si>
    <t>28112025</t>
  </si>
  <si>
    <t>29112025</t>
  </si>
  <si>
    <t>30112025</t>
  </si>
  <si>
    <t>01122025</t>
  </si>
  <si>
    <t>02122025</t>
  </si>
  <si>
    <t>04122025</t>
  </si>
  <si>
    <t>06122025</t>
  </si>
  <si>
    <t>07122025</t>
  </si>
  <si>
    <t>10122025</t>
  </si>
  <si>
    <t>11122025</t>
  </si>
  <si>
    <t>12122025</t>
  </si>
  <si>
    <t>13122025</t>
  </si>
  <si>
    <t>14122025</t>
  </si>
  <si>
    <t>15122025</t>
  </si>
  <si>
    <t>16122025</t>
  </si>
  <si>
    <t>17122025</t>
  </si>
  <si>
    <t>18122025</t>
  </si>
  <si>
    <t>19122025</t>
  </si>
  <si>
    <t>20122025</t>
  </si>
  <si>
    <t>21122025</t>
  </si>
  <si>
    <t>22122025</t>
  </si>
  <si>
    <t>23122025</t>
  </si>
  <si>
    <t>24122025</t>
  </si>
  <si>
    <t>25122025</t>
  </si>
  <si>
    <t>26122025</t>
  </si>
  <si>
    <t>27122025</t>
  </si>
  <si>
    <t>28122025</t>
  </si>
  <si>
    <t>29122025</t>
  </si>
  <si>
    <t>30122025</t>
  </si>
  <si>
    <t>31122025</t>
  </si>
  <si>
    <t xml:space="preserve"> Section 1: Lookup &amp; Reference (VLOOKUP / XLOOKUP / INDEX-MATCH)</t>
  </si>
  <si>
    <t>1. Write a formula to return the Brand Name when a user enters a SALEID.</t>
  </si>
  <si>
    <t xml:space="preserve">Using X Lookup Achieved </t>
  </si>
  <si>
    <t>SALE_ID</t>
  </si>
  <si>
    <t>2. Find the Price per Unit for SALEID S1110 using XLOOKUP.</t>
  </si>
  <si>
    <t>Model</t>
  </si>
  <si>
    <t>Quantity</t>
  </si>
  <si>
    <t>Unit price</t>
  </si>
  <si>
    <t>3. Using INDEX-MATCH, return the CITY &amp; STATE together for SALEID S1095.</t>
  </si>
  <si>
    <t>row index num</t>
  </si>
  <si>
    <t>City</t>
  </si>
  <si>
    <t>State</t>
  </si>
  <si>
    <t>4. Lookup the Order Date for Nothing Phone 2 purchased in Hyderabad.</t>
  </si>
  <si>
    <t xml:space="preserve">using x lookup and Filter </t>
  </si>
  <si>
    <t>5. Return the CustomerKey for the record with highest Quantity sold.</t>
  </si>
  <si>
    <t>6. For a given Brand Name, return the average Price per Unit dynamically.</t>
  </si>
  <si>
    <t>BRAND</t>
  </si>
  <si>
    <t>AVARAGE</t>
  </si>
  <si>
    <t>7. Build a search box: Enter Product Name → return SALEID.</t>
  </si>
  <si>
    <t>Enter Product Name</t>
  </si>
  <si>
    <t>SALES ID</t>
  </si>
  <si>
    <t>8. Find the Shipped Date for sale occurring on 15-08-2021.</t>
  </si>
  <si>
    <t>Sales Date</t>
  </si>
  <si>
    <t>Shipped dates</t>
  </si>
  <si>
    <t>9. Using XLOOKUP with wildcards, find SALEID containing the word “Predator”.</t>
  </si>
  <si>
    <t>Search Product Name</t>
  </si>
  <si>
    <t>Sales ID</t>
  </si>
  <si>
    <t>Oneplus</t>
  </si>
  <si>
    <t>vivobook</t>
  </si>
  <si>
    <t>10. Lookup all SALEID for the state Kerala (use FILTER).</t>
  </si>
  <si>
    <t>Sales_Id's</t>
  </si>
  <si>
    <t>11. Return the latest Delivery date for any ACER product.</t>
  </si>
  <si>
    <t>Brand</t>
  </si>
  <si>
    <t>Delhivery Date</t>
  </si>
  <si>
    <t>12. XLOOKUP between two tables: verify if all SALEID exist in a reference list.</t>
  </si>
  <si>
    <t>13. Lookup the total invoice value (Quantity × Price) for SALEID S1112.</t>
  </si>
  <si>
    <t>Sale_ID</t>
  </si>
  <si>
    <t>Invoice Value</t>
  </si>
  <si>
    <t>14. Search using approximate match: return a Price group (e.g., High/Medium/Low).</t>
  </si>
  <si>
    <t>PriceGroup</t>
  </si>
  <si>
    <t xml:space="preserve">category </t>
  </si>
  <si>
    <t>HIGH</t>
  </si>
  <si>
    <t>MEDIUM</t>
  </si>
  <si>
    <t>LOW</t>
  </si>
  <si>
    <t>15. Find the Product Category for the CustomerKey equal to 20-01-1900.</t>
  </si>
  <si>
    <t>Section 2: Date &amp; Time Scenarios</t>
  </si>
  <si>
    <t>1. Calculate Order to Delivery Days for each sale.</t>
  </si>
  <si>
    <t>Order date</t>
  </si>
  <si>
    <t>Delivered Date</t>
  </si>
  <si>
    <t>No.of delivery Days</t>
  </si>
  <si>
    <t>2. Calculate Shipped Delay Days: ShippedDate – OrderDate.</t>
  </si>
  <si>
    <t>3. Identify orders with weekend deliveries using WEEKDAY().</t>
  </si>
  <si>
    <t>4. Extract Year, Month Name, Quarter from ORDERDATE.</t>
  </si>
  <si>
    <t>Delivered Days</t>
  </si>
  <si>
    <t>5. Highlight orders delivered within 3 days of shipping.</t>
  </si>
  <si>
    <t xml:space="preserve">OUT For delivery time in days </t>
  </si>
  <si>
    <t>6. Find how many days each order spent in “Out for Delivery”.</t>
  </si>
  <si>
    <t>7. Find all orders placed in 2020 using FILTER.</t>
  </si>
  <si>
    <t>8. Find number of deliveries made in August month.</t>
  </si>
  <si>
    <t>9. Calculate customer waiting time: Delivery – OrderDate.</t>
  </si>
  <si>
    <t>waitimg time in days</t>
  </si>
  <si>
    <t>10. Find fastest delivered Smartphone.</t>
  </si>
  <si>
    <t>11. Identify orders where ORDERDATE = SHIPPEDDATE (same-day shipping).</t>
  </si>
  <si>
    <t>12. For each state, find the average delivery duration.</t>
  </si>
  <si>
    <t>STATES</t>
  </si>
  <si>
    <t>13. Find the max delivery duration among all ACER products.</t>
  </si>
  <si>
    <t>14. Create a column marking "Late Delivery" if duration &gt; 7 days.</t>
  </si>
  <si>
    <t>ADDED</t>
  </si>
  <si>
    <t>15. Find how many orders have delivery date earlier than shipping date (data error check).</t>
  </si>
  <si>
    <t>Section 3: Text Functions (LEFT, RIGHT, MID, FIND, CONCAT)</t>
  </si>
  <si>
    <t>1. Extract the brand initials (e.g., ACER → A).</t>
  </si>
  <si>
    <t>BRAND_NAMES</t>
  </si>
  <si>
    <t>Intials</t>
  </si>
  <si>
    <t>2. Extract the State Code (e.g., Kerala → KE).</t>
  </si>
  <si>
    <t>state_Names</t>
  </si>
  <si>
    <t>state_code</t>
  </si>
  <si>
    <t>3. Separate the Product Name into Model and Version.</t>
  </si>
  <si>
    <t>Product Names</t>
  </si>
  <si>
    <t>Model Names</t>
  </si>
  <si>
    <t>Version Names</t>
  </si>
  <si>
    <t>Version numbers</t>
  </si>
  <si>
    <t>iphone12</t>
  </si>
  <si>
    <t>4. Count how many times the word “Phone” appears in PRODUCT_NAME.</t>
  </si>
  <si>
    <t>5. Join CITY &amp; STATE as City-State using CONCAT.</t>
  </si>
  <si>
    <t>city</t>
  </si>
  <si>
    <t>state</t>
  </si>
  <si>
    <t>city_state</t>
  </si>
  <si>
    <t>6. Extract day, month, year from text-format date "11-09-2019".</t>
  </si>
  <si>
    <t>Text format</t>
  </si>
  <si>
    <t>Year</t>
  </si>
  <si>
    <t>Month</t>
  </si>
  <si>
    <t>Day</t>
  </si>
  <si>
    <t>7. Identify the top words appearing in Product Names.</t>
  </si>
  <si>
    <t>Left part</t>
  </si>
  <si>
    <t>right part</t>
  </si>
  <si>
    <t>Version Number</t>
  </si>
  <si>
    <t>Price _ Per _Unit</t>
  </si>
  <si>
    <t>if these are in currency format</t>
  </si>
  <si>
    <t>8. Extract only the numerical part from PRICE_PER_UNIT.</t>
  </si>
  <si>
    <t>9. Find product names that contain digit characters.</t>
  </si>
  <si>
    <t>product_names</t>
  </si>
  <si>
    <r>
      <t>SUM(--ISNUMBER(--MID(</t>
    </r>
    <r>
      <rPr>
        <sz val="11"/>
        <color rgb="FF006CBE"/>
        <rFont val="Consolas"/>
        <charset val="1"/>
      </rPr>
      <t>C305</t>
    </r>
    <r>
      <rPr>
        <sz val="11"/>
        <color rgb="FF242424"/>
        <rFont val="Consolas"/>
        <charset val="1"/>
      </rPr>
      <t>,ROW(</t>
    </r>
    <r>
      <rPr>
        <sz val="11"/>
        <color rgb="FFBC2F32"/>
        <rFont val="Consolas"/>
        <charset val="1"/>
      </rPr>
      <t>$1:$25</t>
    </r>
    <r>
      <rPr>
        <sz val="11"/>
        <color rgb="FF242424"/>
        <rFont val="Consolas"/>
        <charset val="1"/>
      </rPr>
      <t>),1)))&gt;0</t>
    </r>
  </si>
  <si>
    <t>HELLO</t>
  </si>
  <si>
    <t>10. Convert City names to Proper Case.</t>
  </si>
  <si>
    <t>CITY NAMES</t>
  </si>
  <si>
    <t>PROPER_FORMAT</t>
  </si>
  <si>
    <t xml:space="preserve"> Section 4: Logical (IF, IFS, AND, OR)</t>
  </si>
  <si>
    <t>1. How do you use the WORKDAY function to calculate a date after a specific number of workdays?</t>
  </si>
  <si>
    <t>Specifc date</t>
  </si>
  <si>
    <t>date after 10 workdays days</t>
  </si>
  <si>
    <t>2. How do you use the NETWORKDAYS function to calculate the number of workdays between two dates?</t>
  </si>
  <si>
    <t>Date 1</t>
  </si>
  <si>
    <t>Date 2</t>
  </si>
  <si>
    <t>No.of Working days</t>
  </si>
  <si>
    <t>3. How do you exclude holidays from the WORKDAY calculation?</t>
  </si>
  <si>
    <t>Start Date</t>
  </si>
  <si>
    <t>End Date</t>
  </si>
  <si>
    <t>finding work days</t>
  </si>
  <si>
    <t>Finding working days excluding Holidays</t>
  </si>
  <si>
    <t>Holidays</t>
  </si>
  <si>
    <t>4. How do you exclude holidays from the NETWORKDAYS calculation?</t>
  </si>
  <si>
    <t>5. How do you calculate a project's end date considering only workdays?</t>
  </si>
  <si>
    <t>Project Start Date</t>
  </si>
  <si>
    <t>Project End date</t>
  </si>
  <si>
    <t>No.of working days</t>
  </si>
  <si>
    <t>6. How do you calculate the number of workdays available in a specific month?</t>
  </si>
  <si>
    <t>today</t>
  </si>
  <si>
    <t>Month start Date</t>
  </si>
  <si>
    <t>Month End date</t>
  </si>
  <si>
    <t>Monthly working days</t>
  </si>
  <si>
    <t>Create a column classifying states into South / Non-South region.</t>
  </si>
  <si>
    <t>Indian Sates</t>
  </si>
  <si>
    <t>South States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</si>
  <si>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</si>
  <si>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</si>
  <si>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</si>
  <si>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</si>
  <si>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</si>
  <si>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</si>
  <si>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</si>
  <si>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</si>
  <si>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Jharkhand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</si>
  <si>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</si>
  <si>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</si>
  <si>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</si>
  <si>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</si>
  <si>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</si>
  <si>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</si>
  <si>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</si>
  <si>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</si>
  <si>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</si>
  <si>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</si>
  <si>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Tripura</t>
  </si>
  <si>
    <t>Uttar Pradesh</t>
  </si>
  <si>
    <t>Uttarakhand</t>
  </si>
  <si>
    <t>West Bengal</t>
  </si>
  <si>
    <t>7. Mark orders as High Value if Price per Unit &gt; 50,000.</t>
  </si>
  <si>
    <t>Price -  Per UNIT</t>
  </si>
  <si>
    <t>CAT</t>
  </si>
  <si>
    <t>8. If Quantity ≥ 3 and Category = Laptop → show “Bulk Laptop Order”.</t>
  </si>
  <si>
    <t>9. If delivery time ≤ 4 → “Fast Delivery”, else → “Normal”.</t>
  </si>
  <si>
    <t>10. If city is Kerala or Karnataka → mark as Southwest Shipping.</t>
  </si>
  <si>
    <t>SOUTHWEST</t>
  </si>
  <si>
    <t>11. Add a status: If OutForDelivery date missing → “Pending Dispatch”.</t>
  </si>
  <si>
    <t>OUT FOR DELIVERY DATE</t>
  </si>
  <si>
    <t>Add missing Info</t>
  </si>
  <si>
    <t>13. Determine if Product Category = Brand Category (data clean check).</t>
  </si>
  <si>
    <t xml:space="preserve"> 14. IF order was delivered in &lt;3 days → Prime-Speed Delivery.
</t>
  </si>
  <si>
    <t xml:space="preserve"> 15. If Product Price &lt; 25000 → Budget Smartphone.
</t>
  </si>
  <si>
    <t>12. Classify Month into Holiday Season (Nov–Dec) or Not.</t>
  </si>
  <si>
    <t>DATES</t>
  </si>
  <si>
    <t>Holidays or not ....?</t>
  </si>
  <si>
    <t xml:space="preserve"> Section 5: Pivot Table, Charts &amp; Data Analysis</t>
  </si>
  <si>
    <t>1. Create Pivot Table: Total Revenue per State.</t>
  </si>
  <si>
    <t>REVENUE_PER_STATE</t>
  </si>
  <si>
    <t>2. Create Pivot Table: Quantity by Product Category.</t>
  </si>
  <si>
    <t>CAT_QUANTITY</t>
  </si>
  <si>
    <t>3. Create a monthly sales trend using ORDERDATE.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</si>
</sst>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[$$-409]* #,##0_);_([$$-409]* \(#,##0\);_([$$-409]* &quot;-&quot;??_);_(@_)"/>
    <numFmt numFmtId="165" formatCode="[$-409]d\-mmm\-yy;@"/>
  </numFmts>
  <fonts count="15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sz val="11"/>
      <color theme="0"/>
      <name val="Calibri"/>
      <family val="2"/>
    </font>
    <font>
      <b/>
      <sz val="11"/>
      <color theme="0"/>
      <name val="Calibri"/>
      <family val="2"/>
    </font>
    <font>
      <b/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6CBE"/>
      <name val="Consolas"/>
      <charset val="1"/>
    </font>
    <font>
      <sz val="11"/>
      <color rgb="FF242424"/>
      <name val="Consolas"/>
      <charset val="1"/>
    </font>
    <font>
      <sz val="11"/>
      <color rgb="FFBC2F32"/>
      <name val="Consolas"/>
      <charset val="1"/>
    </font>
    <font>
      <u/>
      <sz val="11"/>
      <color theme="10"/>
      <name val="Aptos Narrow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5"/>
        <bgColor theme="5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/>
        <bgColor theme="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89999084444715716"/>
        <bgColor indexed="64"/>
      </patternFill>
    </fill>
  </fills>
  <borders count="18">
    <border>
      <left/>
      <right/>
      <top/>
      <bottom/>
      <diagonal/>
    </border>
    <border>
      <left/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/>
      <right/>
      <top/>
      <bottom style="thin">
        <color theme="5" tint="0.39997558519241921"/>
      </bottom>
      <diagonal/>
    </border>
    <border>
      <left/>
      <right/>
      <top style="thin">
        <color theme="5" tint="0.3999755851924192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theme="6" tint="0.39997558519241921"/>
      </top>
      <bottom/>
      <diagonal/>
    </border>
    <border>
      <left/>
      <right style="thin">
        <color theme="6" tint="0.39997558519241921"/>
      </right>
      <top style="thin">
        <color theme="6" tint="0.39997558519241921"/>
      </top>
      <bottom/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theme="6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104">
    <xf numFmtId="0" fontId="0" fillId="0" borderId="0" xfId="0"/>
    <xf numFmtId="14" fontId="0" fillId="0" borderId="0" xfId="0" applyNumberFormat="1"/>
    <xf numFmtId="0" fontId="1" fillId="0" borderId="0" xfId="0" applyFont="1"/>
    <xf numFmtId="1" fontId="1" fillId="0" borderId="0" xfId="0" applyNumberFormat="1" applyFont="1"/>
    <xf numFmtId="0" fontId="2" fillId="0" borderId="0" xfId="0" applyFont="1"/>
    <xf numFmtId="0" fontId="3" fillId="0" borderId="0" xfId="0" applyFont="1"/>
    <xf numFmtId="14" fontId="1" fillId="0" borderId="0" xfId="0" applyNumberFormat="1" applyFont="1"/>
    <xf numFmtId="0" fontId="0" fillId="4" borderId="2" xfId="0" applyFill="1" applyBorder="1"/>
    <xf numFmtId="14" fontId="0" fillId="4" borderId="2" xfId="0" applyNumberFormat="1" applyFill="1" applyBorder="1"/>
    <xf numFmtId="0" fontId="0" fillId="0" borderId="2" xfId="0" applyBorder="1"/>
    <xf numFmtId="14" fontId="0" fillId="0" borderId="2" xfId="0" applyNumberFormat="1" applyBorder="1"/>
    <xf numFmtId="0" fontId="4" fillId="3" borderId="3" xfId="0" applyFont="1" applyFill="1" applyBorder="1"/>
    <xf numFmtId="14" fontId="4" fillId="3" borderId="3" xfId="0" applyNumberFormat="1" applyFont="1" applyFill="1" applyBorder="1"/>
    <xf numFmtId="0" fontId="0" fillId="4" borderId="4" xfId="0" applyFill="1" applyBorder="1"/>
    <xf numFmtId="14" fontId="0" fillId="4" borderId="4" xfId="0" applyNumberFormat="1" applyFill="1" applyBorder="1"/>
    <xf numFmtId="0" fontId="0" fillId="0" borderId="0" xfId="0" applyAlignment="1">
      <alignment wrapText="1"/>
    </xf>
    <xf numFmtId="0" fontId="0" fillId="5" borderId="5" xfId="0" applyFill="1" applyBorder="1"/>
    <xf numFmtId="0" fontId="0" fillId="6" borderId="5" xfId="0" applyFill="1" applyBorder="1"/>
    <xf numFmtId="0" fontId="0" fillId="8" borderId="5" xfId="0" applyFill="1" applyBorder="1"/>
    <xf numFmtId="0" fontId="0" fillId="9" borderId="5" xfId="0" applyFill="1" applyBorder="1"/>
    <xf numFmtId="0" fontId="0" fillId="8" borderId="5" xfId="0" applyFill="1" applyBorder="1" applyAlignment="1">
      <alignment wrapText="1"/>
    </xf>
    <xf numFmtId="0" fontId="6" fillId="6" borderId="5" xfId="0" applyFont="1" applyFill="1" applyBorder="1"/>
    <xf numFmtId="0" fontId="6" fillId="6" borderId="5" xfId="0" applyFont="1" applyFill="1" applyBorder="1" applyAlignment="1">
      <alignment wrapText="1"/>
    </xf>
    <xf numFmtId="0" fontId="6" fillId="10" borderId="5" xfId="0" applyFont="1" applyFill="1" applyBorder="1"/>
    <xf numFmtId="0" fontId="4" fillId="11" borderId="6" xfId="0" applyFont="1" applyFill="1" applyBorder="1"/>
    <xf numFmtId="0" fontId="4" fillId="11" borderId="7" xfId="0" applyFont="1" applyFill="1" applyBorder="1"/>
    <xf numFmtId="0" fontId="0" fillId="2" borderId="6" xfId="0" applyFont="1" applyFill="1" applyBorder="1"/>
    <xf numFmtId="14" fontId="0" fillId="2" borderId="6" xfId="0" applyNumberFormat="1" applyFont="1" applyFill="1" applyBorder="1"/>
    <xf numFmtId="14" fontId="0" fillId="2" borderId="7" xfId="0" applyNumberFormat="1" applyFont="1" applyFill="1" applyBorder="1"/>
    <xf numFmtId="0" fontId="0" fillId="0" borderId="6" xfId="0" applyFont="1" applyBorder="1"/>
    <xf numFmtId="14" fontId="0" fillId="0" borderId="6" xfId="0" applyNumberFormat="1" applyFont="1" applyBorder="1"/>
    <xf numFmtId="14" fontId="0" fillId="0" borderId="7" xfId="0" applyNumberFormat="1" applyFont="1" applyBorder="1"/>
    <xf numFmtId="0" fontId="0" fillId="0" borderId="8" xfId="0" applyFont="1" applyBorder="1"/>
    <xf numFmtId="14" fontId="0" fillId="0" borderId="8" xfId="0" applyNumberFormat="1" applyFont="1" applyBorder="1"/>
    <xf numFmtId="14" fontId="0" fillId="0" borderId="1" xfId="0" applyNumberFormat="1" applyFont="1" applyBorder="1"/>
    <xf numFmtId="0" fontId="6" fillId="12" borderId="5" xfId="0" applyFont="1" applyFill="1" applyBorder="1" applyAlignment="1">
      <alignment horizontal="left"/>
    </xf>
    <xf numFmtId="0" fontId="6" fillId="13" borderId="0" xfId="0" applyFont="1" applyFill="1"/>
    <xf numFmtId="0" fontId="6" fillId="13" borderId="9" xfId="0" applyFont="1" applyFill="1" applyBorder="1"/>
    <xf numFmtId="0" fontId="6" fillId="7" borderId="0" xfId="0" applyFont="1" applyFill="1"/>
    <xf numFmtId="0" fontId="0" fillId="14" borderId="10" xfId="0" applyFill="1" applyBorder="1" applyAlignment="1">
      <alignment horizontal="left"/>
    </xf>
    <xf numFmtId="0" fontId="0" fillId="14" borderId="11" xfId="0" applyFill="1" applyBorder="1" applyAlignment="1">
      <alignment horizontal="left"/>
    </xf>
    <xf numFmtId="0" fontId="0" fillId="14" borderId="12" xfId="0" applyFill="1" applyBorder="1" applyAlignment="1">
      <alignment horizontal="left"/>
    </xf>
    <xf numFmtId="14" fontId="0" fillId="14" borderId="13" xfId="0" applyNumberFormat="1" applyFill="1" applyBorder="1" applyAlignment="1">
      <alignment horizontal="left"/>
    </xf>
    <xf numFmtId="14" fontId="0" fillId="14" borderId="14" xfId="0" applyNumberFormat="1" applyFill="1" applyBorder="1" applyAlignment="1">
      <alignment horizontal="left"/>
    </xf>
    <xf numFmtId="14" fontId="0" fillId="14" borderId="15" xfId="0" applyNumberFormat="1" applyFill="1" applyBorder="1" applyAlignment="1">
      <alignment horizontal="left"/>
    </xf>
    <xf numFmtId="0" fontId="6" fillId="15" borderId="0" xfId="0" applyFont="1" applyFill="1" applyAlignment="1">
      <alignment horizontal="left"/>
    </xf>
    <xf numFmtId="0" fontId="0" fillId="2" borderId="16" xfId="0" applyFont="1" applyFill="1" applyBorder="1"/>
    <xf numFmtId="0" fontId="0" fillId="0" borderId="16" xfId="0" applyFont="1" applyBorder="1"/>
    <xf numFmtId="0" fontId="0" fillId="16" borderId="16" xfId="0" applyFont="1" applyFill="1" applyBorder="1"/>
    <xf numFmtId="0" fontId="4" fillId="17" borderId="17" xfId="0" applyFont="1" applyFill="1" applyBorder="1"/>
    <xf numFmtId="0" fontId="7" fillId="0" borderId="0" xfId="0" applyFont="1"/>
    <xf numFmtId="0" fontId="0" fillId="7" borderId="0" xfId="0" applyFill="1"/>
    <xf numFmtId="0" fontId="0" fillId="6" borderId="0" xfId="0" applyFill="1"/>
    <xf numFmtId="0" fontId="6" fillId="6" borderId="0" xfId="0" applyFont="1" applyFill="1" applyAlignment="1">
      <alignment horizontal="left"/>
    </xf>
    <xf numFmtId="0" fontId="6" fillId="18" borderId="5" xfId="0" applyFont="1" applyFill="1" applyBorder="1" applyAlignment="1">
      <alignment wrapText="1"/>
    </xf>
    <xf numFmtId="0" fontId="6" fillId="18" borderId="5" xfId="0" applyFont="1" applyFill="1" applyBorder="1"/>
    <xf numFmtId="14" fontId="6" fillId="18" borderId="5" xfId="0" applyNumberFormat="1" applyFont="1" applyFill="1" applyBorder="1"/>
    <xf numFmtId="0" fontId="0" fillId="19" borderId="0" xfId="0" applyFill="1" applyAlignment="1">
      <alignment wrapText="1"/>
    </xf>
    <xf numFmtId="0" fontId="0" fillId="19" borderId="0" xfId="0" applyFill="1"/>
    <xf numFmtId="0" fontId="0" fillId="0" borderId="0" xfId="0" applyFill="1" applyBorder="1"/>
    <xf numFmtId="0" fontId="9" fillId="0" borderId="0" xfId="0" applyFont="1" applyFill="1" applyBorder="1"/>
    <xf numFmtId="0" fontId="10" fillId="0" borderId="0" xfId="0" applyFont="1" applyFill="1" applyBorder="1" applyAlignment="1">
      <alignment horizontal="left"/>
    </xf>
    <xf numFmtId="0" fontId="10" fillId="0" borderId="0" xfId="0" applyFont="1" applyFill="1" applyBorder="1" applyAlignment="1">
      <alignment horizontal="left" wrapText="1"/>
    </xf>
    <xf numFmtId="14" fontId="0" fillId="0" borderId="0" xfId="0" applyNumberFormat="1" applyFont="1" applyBorder="1"/>
    <xf numFmtId="0" fontId="4" fillId="11" borderId="0" xfId="0" applyFont="1" applyFill="1"/>
    <xf numFmtId="0" fontId="0" fillId="0" borderId="0" xfId="0" applyNumberFormat="1" applyFont="1" applyBorder="1"/>
    <xf numFmtId="0" fontId="0" fillId="7" borderId="0" xfId="0" applyFill="1" applyAlignment="1">
      <alignment wrapText="1"/>
    </xf>
    <xf numFmtId="0" fontId="6" fillId="20" borderId="0" xfId="0" applyFont="1" applyFill="1" applyAlignment="1">
      <alignment horizontal="left" wrapText="1"/>
    </xf>
    <xf numFmtId="0" fontId="6" fillId="20" borderId="0" xfId="0" applyFont="1" applyFill="1" applyAlignment="1">
      <alignment horizontal="left"/>
    </xf>
    <xf numFmtId="49" fontId="6" fillId="20" borderId="0" xfId="0" applyNumberFormat="1" applyFont="1" applyFill="1" applyAlignment="1">
      <alignment horizontal="left"/>
    </xf>
    <xf numFmtId="0" fontId="6" fillId="20" borderId="0" xfId="0" applyFont="1" applyFill="1" applyAlignment="1">
      <alignment horizontal="left" indent="2"/>
    </xf>
    <xf numFmtId="0" fontId="6" fillId="20" borderId="0" xfId="0" applyFont="1" applyFill="1" applyAlignment="1">
      <alignment horizontal="left" indent="5"/>
    </xf>
    <xf numFmtId="0" fontId="6" fillId="21" borderId="0" xfId="0" applyFont="1" applyFill="1" applyAlignment="1">
      <alignment horizontal="left" indent="8"/>
    </xf>
    <xf numFmtId="0" fontId="0" fillId="22" borderId="0" xfId="0" applyFill="1"/>
    <xf numFmtId="0" fontId="6" fillId="22" borderId="0" xfId="0" applyFont="1" applyFill="1"/>
    <xf numFmtId="164" fontId="0" fillId="0" borderId="0" xfId="0" applyNumberFormat="1"/>
    <xf numFmtId="2" fontId="0" fillId="0" borderId="0" xfId="0" applyNumberFormat="1"/>
    <xf numFmtId="1" fontId="0" fillId="0" borderId="0" xfId="0" applyNumberFormat="1"/>
    <xf numFmtId="0" fontId="6" fillId="15" borderId="0" xfId="0" applyFont="1" applyFill="1" applyAlignment="1">
      <alignment horizontal="left" indent="3"/>
    </xf>
    <xf numFmtId="0" fontId="12" fillId="15" borderId="0" xfId="0" applyFont="1" applyFill="1" applyAlignment="1">
      <alignment wrapText="1"/>
    </xf>
    <xf numFmtId="0" fontId="0" fillId="23" borderId="5" xfId="0" applyFill="1" applyBorder="1"/>
    <xf numFmtId="14" fontId="0" fillId="0" borderId="0" xfId="0" applyNumberFormat="1" applyAlignment="1">
      <alignment horizontal="left"/>
    </xf>
    <xf numFmtId="0" fontId="5" fillId="7" borderId="5" xfId="0" applyFont="1" applyFill="1" applyBorder="1"/>
    <xf numFmtId="0" fontId="0" fillId="0" borderId="5" xfId="0" applyBorder="1" applyAlignment="1">
      <alignment wrapText="1"/>
    </xf>
    <xf numFmtId="14" fontId="0" fillId="2" borderId="16" xfId="0" applyNumberFormat="1" applyFont="1" applyFill="1" applyBorder="1"/>
    <xf numFmtId="14" fontId="0" fillId="0" borderId="16" xfId="0" applyNumberFormat="1" applyFont="1" applyBorder="1"/>
    <xf numFmtId="14" fontId="0" fillId="16" borderId="16" xfId="0" applyNumberFormat="1" applyFont="1" applyFill="1" applyBorder="1"/>
    <xf numFmtId="0" fontId="0" fillId="0" borderId="0" xfId="0" applyFill="1"/>
    <xf numFmtId="0" fontId="0" fillId="24" borderId="0" xfId="0" applyFill="1" applyAlignment="1">
      <alignment horizontal="left"/>
    </xf>
    <xf numFmtId="14" fontId="0" fillId="24" borderId="0" xfId="0" applyNumberFormat="1" applyFill="1" applyAlignment="1">
      <alignment horizontal="left"/>
    </xf>
    <xf numFmtId="0" fontId="6" fillId="7" borderId="0" xfId="0" applyFont="1" applyFill="1" applyAlignment="1">
      <alignment horizontal="left"/>
    </xf>
    <xf numFmtId="0" fontId="14" fillId="0" borderId="0" xfId="1"/>
    <xf numFmtId="0" fontId="0" fillId="0" borderId="0" xfId="0" pivotButton="1"/>
    <xf numFmtId="0" fontId="0" fillId="0" borderId="0" xfId="0" applyNumberFormat="1"/>
    <xf numFmtId="165" fontId="4" fillId="11" borderId="6" xfId="0" applyNumberFormat="1" applyFont="1" applyFill="1" applyBorder="1"/>
    <xf numFmtId="165" fontId="0" fillId="2" borderId="6" xfId="0" applyNumberFormat="1" applyFont="1" applyFill="1" applyBorder="1"/>
    <xf numFmtId="165" fontId="0" fillId="0" borderId="6" xfId="0" applyNumberFormat="1" applyFont="1" applyBorder="1"/>
    <xf numFmtId="165" fontId="0" fillId="0" borderId="8" xfId="0" applyNumberFormat="1" applyFont="1" applyBorder="1"/>
    <xf numFmtId="165" fontId="0" fillId="0" borderId="0" xfId="0" applyNumberFormat="1"/>
    <xf numFmtId="165" fontId="0" fillId="0" borderId="0" xfId="0" pivotButton="1" applyNumberFormat="1" applyAlignment="1">
      <alignment horizontal="left"/>
    </xf>
    <xf numFmtId="165" fontId="0" fillId="0" borderId="0" xfId="0" applyNumberFormat="1" applyAlignment="1">
      <alignment horizontal="left"/>
    </xf>
    <xf numFmtId="0" fontId="5" fillId="7" borderId="0" xfId="0" applyFont="1" applyFill="1" applyAlignment="1">
      <alignment horizontal="center" wrapText="1"/>
    </xf>
    <xf numFmtId="0" fontId="5" fillId="7" borderId="0" xfId="0" applyFont="1" applyFill="1" applyAlignment="1">
      <alignment horizontal="center"/>
    </xf>
    <xf numFmtId="0" fontId="8" fillId="7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97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6" formatCode="dd/mm/yy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numFmt numFmtId="166" formatCode="dd/mm/yyyy"/>
      <fill>
        <patternFill patternType="solid">
          <fgColor theme="5" tint="0.79998168889431442"/>
          <bgColor theme="5" tint="0.79998168889431442"/>
        </patternFill>
      </fill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fill>
        <patternFill patternType="solid">
          <fgColor theme="5" tint="0.79998168889431442"/>
          <bgColor theme="5" tint="0.79998168889431442"/>
        </patternFill>
      </fill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fill>
        <patternFill patternType="solid">
          <fgColor theme="5" tint="0.79998168889431442"/>
          <bgColor theme="5" tint="0.79998168889431442"/>
        </patternFill>
      </fill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fill>
        <patternFill patternType="solid">
          <fgColor theme="5" tint="0.79998168889431442"/>
          <bgColor theme="5" tint="0.79998168889431442"/>
        </patternFill>
      </fill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fill>
        <patternFill patternType="solid">
          <fgColor theme="5" tint="0.79998168889431442"/>
          <bgColor theme="5" tint="0.79998168889431442"/>
        </patternFill>
      </fill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border outline="0">
        <top style="thin">
          <color theme="5" tint="0.39997558519241921"/>
        </top>
      </border>
    </dxf>
    <dxf>
      <border outline="0">
        <bottom style="thin">
          <color theme="5" tint="0.39997558519241921"/>
        </bottom>
      </border>
    </dxf>
    <dxf>
      <border outline="0">
        <left style="thin">
          <color theme="5" tint="0.39997558519241921"/>
        </left>
        <top style="thin">
          <color theme="5" tint="0.39997558519241921"/>
        </top>
        <bottom style="thin">
          <color theme="5" tint="0.39997558519241921"/>
        </bottom>
      </border>
    </dxf>
    <dxf>
      <fill>
        <patternFill patternType="solid">
          <fgColor theme="5" tint="0.79998168889431442"/>
          <bgColor theme="5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5"/>
          <bgColor theme="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6" tint="0.79998168889431442"/>
          <bgColor theme="6" tint="0.79998168889431442"/>
        </patternFill>
      </fill>
      <border diagonalUp="0" diagonalDown="0">
        <left/>
        <right/>
        <top style="thin">
          <color theme="6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6" tint="0.79998168889431442"/>
          <bgColor theme="6" tint="0.79998168889431442"/>
        </patternFill>
      </fill>
      <border diagonalUp="0" diagonalDown="0">
        <left/>
        <right/>
        <top style="thin">
          <color theme="6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6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top style="thin">
          <color theme="6" tint="0.39997558519241921"/>
        </top>
        <bottom style="thin">
          <color theme="6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6" tint="0.79998168889431442"/>
          <bgColor theme="6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m/d/yyyy"/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m/d/yyyy"/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m/d/yyyy"/>
      <border diagonalUp="0" diagonalDown="0">
        <left/>
        <right style="thin">
          <color theme="6" tint="0.39997558519241921"/>
        </right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m/d/yyyy"/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m/d/yyyy"/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[$-409]d\-mmm\-yy;@"/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theme="6" tint="0.79998168889431442"/>
          <bgColor theme="6" tint="0.79998168889431442"/>
        </patternFill>
      </fill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6" tint="0.79998168889431442"/>
          <bgColor theme="6" tint="0.79998168889431442"/>
        </patternFill>
      </fill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border outline="0">
        <left style="thin">
          <color theme="6" tint="0.39997558519241921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6"/>
          <bgColor theme="6"/>
        </patternFill>
      </fill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[$-409]d\-mmm\-yy;@"/>
    </dxf>
    <dxf>
      <numFmt numFmtId="165" formatCode="[$-409]d\-mmm\-yy;@"/>
    </dxf>
    <dxf>
      <numFmt numFmtId="165" formatCode="[$-409]d\-mmm\-yy;@"/>
    </dxf>
    <dxf>
      <numFmt numFmtId="165" formatCode="[$-409]d\-mmm\-yy;@"/>
    </dxf>
    <dxf>
      <numFmt numFmtId="165" formatCode="[$-409]d\-mmm\-yy;@"/>
    </dxf>
    <dxf>
      <numFmt numFmtId="165" formatCode="[$-409]d\-mmm\-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microsoft.com/office/2017/06/relationships/rdRichValue" Target="richData/rdrichvalue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2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87.856972337962" createdVersion="8" refreshedVersion="8" minRefreshableVersion="3" recordCount="160" xr:uid="{D985A53D-D847-4F48-8D63-9275B3D3EF1C}">
  <cacheSource type="worksheet">
    <worksheetSource name="Sales"/>
  </cacheSource>
  <cacheFields count="19">
    <cacheField name="PRODUCT_CTG" numFmtId="0">
      <sharedItems count="5">
        <s v="car"/>
        <s v="Smartphone"/>
        <s v="Laptop"/>
        <s v="WATCH"/>
        <s v="TV"/>
      </sharedItems>
    </cacheField>
    <cacheField name="BRAND_NAME" numFmtId="0">
      <sharedItems/>
    </cacheField>
    <cacheField name="PRODUCT_NAME" numFmtId="0">
      <sharedItems containsBlank="1"/>
    </cacheField>
    <cacheField name="SALEID" numFmtId="0">
      <sharedItems/>
    </cacheField>
    <cacheField name="QUANTITY" numFmtId="0">
      <sharedItems containsSemiMixedTypes="0" containsString="0" containsNumber="1" containsInteger="1" minValue="1" maxValue="5"/>
    </cacheField>
    <cacheField name="PRICE_PER_UNIT" numFmtId="0">
      <sharedItems containsSemiMixedTypes="0" containsString="0" containsNumber="1" containsInteger="1" minValue="13403" maxValue="119905"/>
    </cacheField>
    <cacheField name="Invoice Price" numFmtId="0">
      <sharedItems containsSemiMixedTypes="0" containsString="0" containsNumber="1" containsInteger="1" minValue="15624" maxValue="582755"/>
    </cacheField>
    <cacheField name="CITY" numFmtId="0">
      <sharedItems/>
    </cacheField>
    <cacheField name="STATE" numFmtId="0">
      <sharedItems count="5">
        <s v="Kerala"/>
        <s v="Tamil Nadu"/>
        <s v="Andhra Pradesh"/>
        <s v="Telangana"/>
        <s v="Karnataka"/>
      </sharedItems>
    </cacheField>
    <cacheField name="DAY" numFmtId="0">
      <sharedItems containsSemiMixedTypes="0" containsString="0" containsNumber="1" containsInteger="1" minValue="1" maxValue="30"/>
    </cacheField>
    <cacheField name="MONTH" numFmtId="0">
      <sharedItems containsSemiMixedTypes="0" containsString="0" containsNumber="1" containsInteger="1" minValue="1" maxValue="12"/>
    </cacheField>
    <cacheField name="YEAR" numFmtId="0">
      <sharedItems containsSemiMixedTypes="0" containsString="0" containsNumber="1" containsInteger="1" minValue="2015" maxValue="2025"/>
    </cacheField>
    <cacheField name="ORDERDATE" numFmtId="165">
      <sharedItems containsSemiMixedTypes="0" containsNonDate="0" containsDate="1" containsString="0" minDate="2015-01-28T00:00:00" maxDate="2025-12-04T00:00:00" count="155">
        <d v="2019-09-11T00:00:00"/>
        <d v="2020-05-13T00:00:00"/>
        <d v="2018-02-02T00:00:00"/>
        <d v="2024-03-01T00:00:00"/>
        <d v="2020-08-08T00:00:00"/>
        <d v="2017-03-13T00:00:00"/>
        <d v="2020-03-28T00:00:00"/>
        <d v="2023-03-20T00:00:00"/>
        <d v="2017-07-20T00:00:00"/>
        <d v="2020-01-17T00:00:00"/>
        <d v="2015-11-29T00:00:00"/>
        <d v="2020-09-08T00:00:00"/>
        <d v="2023-03-22T00:00:00"/>
        <d v="2023-12-21T00:00:00"/>
        <d v="2017-08-04T00:00:00"/>
        <d v="2025-09-17T00:00:00"/>
        <d v="2019-07-02T00:00:00"/>
        <d v="2018-03-17T00:00:00"/>
        <d v="2018-06-03T00:00:00"/>
        <d v="2015-06-23T00:00:00"/>
        <d v="2016-01-08T00:00:00"/>
        <d v="2024-02-24T00:00:00"/>
        <d v="2021-04-04T00:00:00"/>
        <d v="2021-07-06T00:00:00"/>
        <d v="2018-04-17T00:00:00"/>
        <d v="2024-11-13T00:00:00"/>
        <d v="2024-02-09T00:00:00"/>
        <d v="2024-06-01T00:00:00"/>
        <d v="2020-06-10T00:00:00"/>
        <d v="2025-04-21T00:00:00"/>
        <d v="2022-06-19T00:00:00"/>
        <d v="2015-11-11T00:00:00"/>
        <d v="2023-08-28T00:00:00"/>
        <d v="2020-05-10T00:00:00"/>
        <d v="2025-11-19T00:00:00"/>
        <d v="2017-10-28T00:00:00"/>
        <d v="2022-03-30T00:00:00"/>
        <d v="2019-06-06T00:00:00"/>
        <d v="2022-12-12T00:00:00"/>
        <d v="2023-01-25T00:00:00"/>
        <d v="2015-02-16T00:00:00"/>
        <d v="2018-01-15T00:00:00"/>
        <d v="2018-08-01T00:00:00"/>
        <d v="2021-01-30T00:00:00"/>
        <d v="2019-09-21T00:00:00"/>
        <d v="2019-05-11T00:00:00"/>
        <d v="2022-11-04T00:00:00"/>
        <d v="2025-03-24T00:00:00"/>
        <d v="2022-10-15T00:00:00"/>
        <d v="2025-01-25T00:00:00"/>
        <d v="2018-02-19T00:00:00"/>
        <d v="2021-11-11T00:00:00"/>
        <d v="2022-02-12T00:00:00"/>
        <d v="2024-12-27T00:00:00"/>
        <d v="2017-04-13T00:00:00"/>
        <d v="2024-08-03T00:00:00"/>
        <d v="2015-05-30T00:00:00"/>
        <d v="2017-10-23T00:00:00"/>
        <d v="2017-10-18T00:00:00"/>
        <d v="2016-09-07T00:00:00"/>
        <d v="2019-02-27T00:00:00"/>
        <d v="2024-11-30T00:00:00"/>
        <d v="2025-03-15T00:00:00"/>
        <d v="2025-06-24T00:00:00"/>
        <d v="2018-03-05T00:00:00"/>
        <d v="2020-04-30T00:00:00"/>
        <d v="2019-12-06T00:00:00"/>
        <d v="2021-06-10T00:00:00"/>
        <d v="2020-06-01T00:00:00"/>
        <d v="2016-07-21T00:00:00"/>
        <d v="2015-01-28T00:00:00"/>
        <d v="2025-06-29T00:00:00"/>
        <d v="2019-12-10T00:00:00"/>
        <d v="2018-02-23T00:00:00"/>
        <d v="2018-12-25T00:00:00"/>
        <d v="2020-11-07T00:00:00"/>
        <d v="2021-07-30T00:00:00"/>
        <d v="2021-08-04T00:00:00"/>
        <d v="2023-07-08T00:00:00"/>
        <d v="2020-02-19T00:00:00"/>
        <d v="2022-07-17T00:00:00"/>
        <d v="2021-10-09T00:00:00"/>
        <d v="2025-08-27T00:00:00"/>
        <d v="2015-11-26T00:00:00"/>
        <d v="2024-12-22T00:00:00"/>
        <d v="2017-10-05T00:00:00"/>
        <d v="2025-01-26T00:00:00"/>
        <d v="2019-11-30T00:00:00"/>
        <d v="2018-07-07T00:00:00"/>
        <d v="2019-08-20T00:00:00"/>
        <d v="2019-04-15T00:00:00"/>
        <d v="2024-09-14T00:00:00"/>
        <d v="2017-05-18T00:00:00"/>
        <d v="2015-04-23T00:00:00"/>
        <d v="2021-08-15T00:00:00"/>
        <d v="2024-07-18T00:00:00"/>
        <d v="2020-07-27T00:00:00"/>
        <d v="2024-01-02T00:00:00"/>
        <d v="2023-10-19T00:00:00"/>
        <d v="2021-10-01T00:00:00"/>
        <d v="2019-09-12T00:00:00"/>
        <d v="2020-10-02T00:00:00"/>
        <d v="2019-07-04T00:00:00"/>
        <d v="2020-11-23T00:00:00"/>
        <d v="2023-05-12T00:00:00"/>
        <d v="2015-12-30T00:00:00"/>
        <d v="2024-06-06T00:00:00"/>
        <d v="2020-07-29T00:00:00"/>
        <d v="2017-12-09T00:00:00"/>
        <d v="2021-02-06T00:00:00"/>
        <d v="2016-12-25T00:00:00"/>
        <d v="2022-05-11T00:00:00"/>
        <d v="2020-09-06T00:00:00"/>
        <d v="2022-04-16T00:00:00"/>
        <d v="2023-05-16T00:00:00"/>
        <d v="2023-11-26T00:00:00"/>
        <d v="2023-07-20T00:00:00"/>
        <d v="2022-05-30T00:00:00"/>
        <d v="2017-10-26T00:00:00"/>
        <d v="2020-04-07T00:00:00"/>
        <d v="2018-04-06T00:00:00"/>
        <d v="2025-12-03T00:00:00"/>
        <d v="2019-09-14T00:00:00"/>
        <d v="2023-04-12T00:00:00"/>
        <d v="2020-07-08T00:00:00"/>
        <d v="2015-05-23T00:00:00"/>
        <d v="2019-08-29T00:00:00"/>
        <d v="2024-01-09T00:00:00"/>
        <d v="2016-11-29T00:00:00"/>
        <d v="2019-05-17T00:00:00"/>
        <d v="2017-12-23T00:00:00"/>
        <d v="2021-05-02T00:00:00"/>
        <d v="2023-12-01T00:00:00"/>
        <d v="2019-11-21T00:00:00"/>
        <d v="2019-08-23T00:00:00"/>
        <d v="2020-05-14T00:00:00"/>
        <d v="2021-05-07T00:00:00"/>
        <d v="2017-04-10T00:00:00"/>
        <d v="2017-02-20T00:00:00"/>
        <d v="2025-04-02T00:00:00"/>
        <d v="2023-01-22T00:00:00"/>
        <d v="2017-03-22T00:00:00"/>
        <d v="2016-07-24T00:00:00"/>
        <d v="2025-04-29T00:00:00"/>
        <d v="2024-11-14T00:00:00"/>
        <d v="2025-07-12T00:00:00"/>
        <d v="2023-05-26T00:00:00"/>
        <d v="2022-12-13T00:00:00"/>
        <d v="2020-02-12T00:00:00"/>
        <d v="2024-03-27T00:00:00"/>
        <d v="2024-06-02T00:00:00"/>
        <d v="2025-07-16T00:00:00"/>
        <d v="2017-01-21T00:00:00"/>
        <d v="2019-02-06T00:00:00"/>
        <d v="2024-07-12T00:00:00"/>
      </sharedItems>
    </cacheField>
    <cacheField name="SHIPEDDATE" numFmtId="14">
      <sharedItems containsSemiMixedTypes="0" containsNonDate="0" containsDate="1" containsString="0" minDate="2015-01-30T00:00:00" maxDate="2025-12-06T00:00:00"/>
    </cacheField>
    <cacheField name="OUTFORDELIVERY" numFmtId="14">
      <sharedItems containsSemiMixedTypes="0" containsNonDate="0" containsDate="1" containsString="0" minDate="2015-02-02T00:00:00" maxDate="2025-12-09T00:00:00"/>
    </cacheField>
    <cacheField name="DELIVERY" numFmtId="14">
      <sharedItems containsSemiMixedTypes="0" containsNonDate="0" containsDate="1" containsString="0" minDate="2015-02-06T00:00:00" maxDate="2025-12-10T00:00:00"/>
    </cacheField>
    <cacheField name="CUSTOMERKEY" numFmtId="14">
      <sharedItems containsSemiMixedTypes="0" containsNonDate="0" containsDate="1" containsString="0" minDate="1899-12-31T00:00:00" maxDate="1900-01-23T00:00:00"/>
    </cacheField>
    <cacheField name="od_dd-d" numFmtId="0">
      <sharedItems containsSemiMixedTypes="0" containsString="0" containsNumber="1" containsInteger="1" minValue="3" maxValue="12"/>
    </cacheField>
    <cacheField name="Late_Delivery " numFmtId="14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0">
  <r>
    <x v="0"/>
    <s v="ACER"/>
    <s v="Predator Helios"/>
    <s v="S1001"/>
    <n v="5"/>
    <n v="62011"/>
    <n v="310055"/>
    <s v="Trivandrum"/>
    <x v="0"/>
    <n v="11"/>
    <n v="9"/>
    <n v="2019"/>
    <x v="0"/>
    <d v="2019-09-15T00:00:00"/>
    <d v="2019-09-16T00:00:00"/>
    <d v="2019-09-20T00:00:00"/>
    <d v="1900-01-21T00:00:00"/>
    <n v="9"/>
    <s v="Late_Delivery"/>
  </r>
  <r>
    <x v="1"/>
    <s v="Nothing"/>
    <s v="Nothing Phone 2"/>
    <s v="S1110"/>
    <n v="5"/>
    <n v="56642"/>
    <n v="283210"/>
    <s v="Bangalore"/>
    <x v="1"/>
    <n v="13"/>
    <n v="5"/>
    <n v="2020"/>
    <x v="1"/>
    <d v="2020-05-16T00:00:00"/>
    <d v="2020-05-18T00:00:00"/>
    <d v="2020-05-19T00:00:00"/>
    <d v="1900-01-20T00:00:00"/>
    <n v="6"/>
    <s v="In_Time"/>
  </r>
  <r>
    <x v="1"/>
    <s v="Xiaomi"/>
    <s v="Redmi Note 12"/>
    <s v="S1131"/>
    <n v="5"/>
    <n v="53967"/>
    <n v="269835"/>
    <s v="Kochi"/>
    <x v="0"/>
    <n v="2"/>
    <n v="2"/>
    <n v="2018"/>
    <x v="2"/>
    <d v="2018-02-05T00:00:00"/>
    <d v="2018-02-07T00:00:00"/>
    <d v="2018-02-08T00:00:00"/>
    <d v="1900-01-06T00:00:00"/>
    <n v="6"/>
    <s v="In_Time"/>
  </r>
  <r>
    <x v="2"/>
    <s v="ASUS"/>
    <s v="ROG Zephyrus"/>
    <s v="S1009"/>
    <n v="5"/>
    <n v="91084"/>
    <n v="455420"/>
    <s v="Coimbatore"/>
    <x v="1"/>
    <n v="1"/>
    <n v="3"/>
    <n v="2024"/>
    <x v="3"/>
    <d v="2024-03-04T00:00:00"/>
    <d v="2024-03-05T00:00:00"/>
    <d v="2024-03-09T00:00:00"/>
    <d v="1900-01-19T00:00:00"/>
    <n v="8"/>
    <s v="Late_Delivery"/>
  </r>
  <r>
    <x v="2"/>
    <s v="ASUS"/>
    <s v="ROG Zephyrus"/>
    <s v="S1031"/>
    <n v="5"/>
    <n v="104901"/>
    <n v="524505"/>
    <s v="Vijayawada"/>
    <x v="2"/>
    <n v="8"/>
    <n v="8"/>
    <n v="2020"/>
    <x v="4"/>
    <d v="2020-08-11T00:00:00"/>
    <d v="2020-08-14T00:00:00"/>
    <d v="2020-08-15T00:00:00"/>
    <d v="1900-01-17T00:00:00"/>
    <n v="7"/>
    <s v="In_Time"/>
  </r>
  <r>
    <x v="2"/>
    <s v="LENOVO"/>
    <s v="ThinkPad E14"/>
    <s v="S1040"/>
    <n v="5"/>
    <n v="87400"/>
    <n v="437000"/>
    <s v="Madurai"/>
    <x v="1"/>
    <n v="13"/>
    <n v="3"/>
    <n v="2017"/>
    <x v="5"/>
    <d v="2017-03-15T00:00:00"/>
    <d v="2017-03-17T00:00:00"/>
    <d v="2017-03-21T00:00:00"/>
    <d v="1900-01-17T00:00:00"/>
    <n v="8"/>
    <s v="Late_Delivery"/>
  </r>
  <r>
    <x v="2"/>
    <s v="ASUS"/>
    <s v="ROG Zephyrus"/>
    <s v="S1090"/>
    <n v="5"/>
    <n v="79624"/>
    <n v="398120"/>
    <s v="Hyderabad"/>
    <x v="3"/>
    <n v="28"/>
    <n v="3"/>
    <n v="2020"/>
    <x v="6"/>
    <d v="2020-03-30T00:00:00"/>
    <d v="2020-04-03T00:00:00"/>
    <d v="2020-04-06T00:00:00"/>
    <d v="1900-01-15T00:00:00"/>
    <n v="9"/>
    <s v="Late_Delivery"/>
  </r>
  <r>
    <x v="1"/>
    <s v="Oppo"/>
    <s v="Oppo Reno 10"/>
    <s v="S1143"/>
    <n v="5"/>
    <n v="26045"/>
    <n v="130225"/>
    <s v="Bangalore"/>
    <x v="4"/>
    <n v="20"/>
    <n v="3"/>
    <n v="2023"/>
    <x v="7"/>
    <d v="2023-03-23T00:00:00"/>
    <d v="2023-03-26T00:00:00"/>
    <d v="2023-03-28T00:00:00"/>
    <d v="1900-01-07T00:00:00"/>
    <n v="8"/>
    <s v="Late_Delivery"/>
  </r>
  <r>
    <x v="2"/>
    <s v="DELL"/>
    <s v="Inspiron 15"/>
    <s v="S1014"/>
    <n v="5"/>
    <n v="67954"/>
    <n v="339770"/>
    <s v="Bangalore"/>
    <x v="4"/>
    <n v="20"/>
    <n v="7"/>
    <n v="2017"/>
    <x v="8"/>
    <d v="2017-07-22T00:00:00"/>
    <d v="2017-07-24T00:00:00"/>
    <d v="2017-07-25T00:00:00"/>
    <d v="1899-12-31T00:00:00"/>
    <n v="5"/>
    <s v="In_Time"/>
  </r>
  <r>
    <x v="2"/>
    <s v="ASUS"/>
    <s v="Vivobook 15"/>
    <s v="S1037"/>
    <n v="5"/>
    <n v="95837"/>
    <n v="479185"/>
    <s v="Visakhapatnam"/>
    <x v="2"/>
    <n v="17"/>
    <n v="1"/>
    <n v="2020"/>
    <x v="9"/>
    <d v="2020-01-21T00:00:00"/>
    <d v="2020-01-23T00:00:00"/>
    <d v="2020-01-24T00:00:00"/>
    <d v="1900-01-06T00:00:00"/>
    <n v="7"/>
    <s v="In_Time"/>
  </r>
  <r>
    <x v="2"/>
    <s v="HP"/>
    <s v="Pavilion 14"/>
    <s v="S1045"/>
    <n v="5"/>
    <n v="55340"/>
    <n v="276700"/>
    <s v="Madurai"/>
    <x v="1"/>
    <n v="29"/>
    <n v="11"/>
    <n v="2015"/>
    <x v="10"/>
    <d v="2015-11-30T00:00:00"/>
    <d v="2015-12-02T00:00:00"/>
    <d v="2015-12-05T00:00:00"/>
    <d v="1900-01-10T00:00:00"/>
    <n v="6"/>
    <s v="In_Time"/>
  </r>
  <r>
    <x v="2"/>
    <s v="ASUS"/>
    <s v="Vivobook 15"/>
    <s v="S1046"/>
    <n v="5"/>
    <n v="71100"/>
    <n v="355500"/>
    <s v="Visakhapatnam"/>
    <x v="2"/>
    <n v="8"/>
    <n v="9"/>
    <n v="2020"/>
    <x v="11"/>
    <d v="2020-09-11T00:00:00"/>
    <d v="2020-09-12T00:00:00"/>
    <d v="2020-09-16T00:00:00"/>
    <d v="1900-01-04T00:00:00"/>
    <n v="8"/>
    <s v="Late_Delivery"/>
  </r>
  <r>
    <x v="2"/>
    <s v="HP"/>
    <s v="Pavilion 14"/>
    <s v="S1053"/>
    <n v="5"/>
    <n v="113267"/>
    <n v="566335"/>
    <s v="Madurai"/>
    <x v="1"/>
    <n v="22"/>
    <n v="3"/>
    <n v="2023"/>
    <x v="12"/>
    <d v="2023-03-25T00:00:00"/>
    <d v="2023-03-27T00:00:00"/>
    <d v="2023-03-30T00:00:00"/>
    <d v="1900-01-13T00:00:00"/>
    <n v="8"/>
    <s v="Late_Delivery"/>
  </r>
  <r>
    <x v="2"/>
    <s v="ASUS"/>
    <s v="Vivobook 15"/>
    <s v="S1067"/>
    <n v="5"/>
    <n v="110308"/>
    <n v="551540"/>
    <s v="Trivandrum"/>
    <x v="0"/>
    <n v="21"/>
    <n v="12"/>
    <n v="2023"/>
    <x v="13"/>
    <d v="2023-12-24T00:00:00"/>
    <d v="2023-12-25T00:00:00"/>
    <d v="2023-12-29T00:00:00"/>
    <d v="1900-01-20T00:00:00"/>
    <n v="8"/>
    <s v="Late_Delivery"/>
  </r>
  <r>
    <x v="2"/>
    <s v="DELL"/>
    <s v="DELL"/>
    <s v="S1091"/>
    <n v="5"/>
    <n v="45458"/>
    <n v="227290"/>
    <s v="Madurai"/>
    <x v="1"/>
    <n v="4"/>
    <n v="8"/>
    <n v="2017"/>
    <x v="14"/>
    <d v="2017-08-06T00:00:00"/>
    <d v="2017-08-10T00:00:00"/>
    <d v="2017-08-12T00:00:00"/>
    <d v="1900-01-04T00:00:00"/>
    <n v="8"/>
    <s v="Late_Delivery"/>
  </r>
  <r>
    <x v="1"/>
    <s v="Samsung"/>
    <s v="Galaxy S23"/>
    <s v="S1104"/>
    <n v="5"/>
    <n v="57429"/>
    <n v="287145"/>
    <s v="Chennai"/>
    <x v="0"/>
    <n v="17"/>
    <n v="9"/>
    <n v="2025"/>
    <x v="15"/>
    <d v="2025-09-19T00:00:00"/>
    <d v="2025-09-23T00:00:00"/>
    <d v="2025-09-26T00:00:00"/>
    <d v="1900-01-05T00:00:00"/>
    <n v="9"/>
    <s v="Late_Delivery"/>
  </r>
  <r>
    <x v="1"/>
    <s v="Samsung"/>
    <s v="Galaxy S23"/>
    <s v="S1122"/>
    <n v="5"/>
    <n v="33402"/>
    <n v="167010"/>
    <s v="Kochi"/>
    <x v="3"/>
    <n v="2"/>
    <n v="7"/>
    <n v="2019"/>
    <x v="16"/>
    <d v="2019-07-03T00:00:00"/>
    <d v="2019-07-04T00:00:00"/>
    <d v="2019-07-07T00:00:00"/>
    <d v="1900-01-05T00:00:00"/>
    <n v="5"/>
    <s v="In_Time"/>
  </r>
  <r>
    <x v="1"/>
    <s v="OnePlus"/>
    <s v="OnePlus 13"/>
    <s v="S1150"/>
    <n v="5"/>
    <n v="57381"/>
    <n v="286905"/>
    <s v="Hyderabad"/>
    <x v="4"/>
    <n v="17"/>
    <n v="3"/>
    <n v="2018"/>
    <x v="17"/>
    <d v="2018-03-21T00:00:00"/>
    <d v="2018-03-25T00:00:00"/>
    <d v="2018-03-27T00:00:00"/>
    <d v="1900-01-08T00:00:00"/>
    <n v="10"/>
    <s v="Late_Delivery"/>
  </r>
  <r>
    <x v="1"/>
    <s v="OnePlus"/>
    <s v="OnePlus 11"/>
    <s v="S1152"/>
    <n v="5"/>
    <n v="28161"/>
    <n v="140805"/>
    <s v="Bangalore"/>
    <x v="0"/>
    <n v="3"/>
    <n v="6"/>
    <n v="2018"/>
    <x v="18"/>
    <d v="2018-06-07T00:00:00"/>
    <d v="2018-06-10T00:00:00"/>
    <d v="2018-06-14T00:00:00"/>
    <d v="1899-12-31T00:00:00"/>
    <n v="11"/>
    <s v="Late_Delivery"/>
  </r>
  <r>
    <x v="2"/>
    <s v="MSI"/>
    <s v="Modern 14"/>
    <s v="S1010"/>
    <n v="5"/>
    <n v="100663"/>
    <n v="503315"/>
    <s v="Kochi"/>
    <x v="0"/>
    <n v="23"/>
    <n v="6"/>
    <n v="2015"/>
    <x v="19"/>
    <d v="2015-06-26T00:00:00"/>
    <d v="2015-06-27T00:00:00"/>
    <d v="2015-06-28T00:00:00"/>
    <d v="1900-01-04T00:00:00"/>
    <n v="5"/>
    <s v="In_Time"/>
  </r>
  <r>
    <x v="2"/>
    <s v="MSI"/>
    <s v="GF63 Thin"/>
    <s v="S1021"/>
    <n v="5"/>
    <n v="107793"/>
    <n v="538965"/>
    <s v="Madurai"/>
    <x v="1"/>
    <n v="8"/>
    <n v="1"/>
    <n v="2016"/>
    <x v="20"/>
    <d v="2016-01-11T00:00:00"/>
    <d v="2016-01-12T00:00:00"/>
    <d v="2016-01-16T00:00:00"/>
    <d v="1900-01-21T00:00:00"/>
    <n v="8"/>
    <s v="Late_Delivery"/>
  </r>
  <r>
    <x v="2"/>
    <s v="MSI"/>
    <s v="GF63 Thin"/>
    <s v="S1056"/>
    <n v="5"/>
    <n v="95552"/>
    <n v="477760"/>
    <s v="Kochi"/>
    <x v="0"/>
    <n v="24"/>
    <n v="2"/>
    <n v="2024"/>
    <x v="21"/>
    <d v="2024-02-26T00:00:00"/>
    <d v="2024-02-29T00:00:00"/>
    <d v="2024-03-04T00:00:00"/>
    <d v="1900-01-16T00:00:00"/>
    <n v="9"/>
    <s v="Late_Delivery"/>
  </r>
  <r>
    <x v="2"/>
    <s v="MSI"/>
    <s v="Modern 14"/>
    <s v="S1061"/>
    <n v="5"/>
    <n v="89611"/>
    <n v="448055"/>
    <s v="Mysore"/>
    <x v="4"/>
    <n v="4"/>
    <n v="4"/>
    <n v="2021"/>
    <x v="22"/>
    <d v="2021-04-07T00:00:00"/>
    <d v="2021-04-11T00:00:00"/>
    <d v="2021-04-14T00:00:00"/>
    <d v="1900-01-07T00:00:00"/>
    <n v="10"/>
    <s v="Late_Delivery"/>
  </r>
  <r>
    <x v="2"/>
    <s v="ACER"/>
    <s v="Aspire 5"/>
    <s v="S1012"/>
    <n v="5"/>
    <n v="62573"/>
    <n v="312865"/>
    <s v="Madurai"/>
    <x v="1"/>
    <n v="6"/>
    <n v="7"/>
    <n v="2021"/>
    <x v="23"/>
    <d v="2021-07-08T00:00:00"/>
    <d v="2021-07-09T00:00:00"/>
    <d v="2021-07-13T00:00:00"/>
    <d v="1900-01-22T00:00:00"/>
    <n v="7"/>
    <s v="In_Time"/>
  </r>
  <r>
    <x v="2"/>
    <s v="ACER"/>
    <s v="Aspire 5"/>
    <s v="S1051"/>
    <n v="5"/>
    <n v="87968"/>
    <n v="439840"/>
    <s v="Bangalore"/>
    <x v="4"/>
    <n v="17"/>
    <n v="4"/>
    <n v="2018"/>
    <x v="24"/>
    <d v="2018-04-18T00:00:00"/>
    <d v="2018-04-19T00:00:00"/>
    <d v="2018-04-23T00:00:00"/>
    <d v="1899-12-31T00:00:00"/>
    <n v="6"/>
    <s v="In_Time"/>
  </r>
  <r>
    <x v="2"/>
    <s v="ACER"/>
    <s v="Aspire 5"/>
    <s v="S1086"/>
    <n v="5"/>
    <n v="58053"/>
    <n v="290265"/>
    <s v="Chennai"/>
    <x v="1"/>
    <n v="13"/>
    <n v="11"/>
    <n v="2024"/>
    <x v="25"/>
    <d v="2024-11-17T00:00:00"/>
    <d v="2024-11-18T00:00:00"/>
    <d v="2024-11-21T00:00:00"/>
    <d v="1900-01-19T00:00:00"/>
    <n v="8"/>
    <s v="Late_Delivery"/>
  </r>
  <r>
    <x v="2"/>
    <s v="HP"/>
    <s v="Omen 16"/>
    <s v="S1011"/>
    <n v="5"/>
    <n v="116551"/>
    <n v="582755"/>
    <s v="Visakhapatnam"/>
    <x v="2"/>
    <n v="9"/>
    <n v="2"/>
    <n v="2024"/>
    <x v="26"/>
    <d v="2024-02-10T00:00:00"/>
    <d v="2024-02-12T00:00:00"/>
    <d v="2024-02-15T00:00:00"/>
    <d v="1900-01-16T00:00:00"/>
    <n v="6"/>
    <s v="In_Time"/>
  </r>
  <r>
    <x v="2"/>
    <s v="HP"/>
    <s v="Omen 16"/>
    <s v="S1098"/>
    <n v="5"/>
    <n v="62500"/>
    <n v="312500"/>
    <s v="Chennai"/>
    <x v="1"/>
    <n v="1"/>
    <n v="6"/>
    <n v="2024"/>
    <x v="27"/>
    <d v="2024-06-04T00:00:00"/>
    <d v="2024-06-06T00:00:00"/>
    <d v="2024-06-08T00:00:00"/>
    <d v="1900-01-20T00:00:00"/>
    <n v="7"/>
    <s v="In_Time"/>
  </r>
  <r>
    <x v="1"/>
    <s v="Google"/>
    <s v="Pixel 7"/>
    <s v="S1124"/>
    <n v="5"/>
    <n v="13403"/>
    <n v="67015"/>
    <s v="Bangalore"/>
    <x v="0"/>
    <n v="10"/>
    <n v="6"/>
    <n v="2020"/>
    <x v="28"/>
    <d v="2020-06-14T00:00:00"/>
    <d v="2020-06-18T00:00:00"/>
    <d v="2020-06-22T00:00:00"/>
    <d v="1900-01-04T00:00:00"/>
    <n v="12"/>
    <s v="Late_Delivery"/>
  </r>
  <r>
    <x v="2"/>
    <s v="DELL"/>
    <s v="XPS 13"/>
    <s v="S1042"/>
    <n v="5"/>
    <n v="71406"/>
    <n v="357030"/>
    <s v="Vijayawada"/>
    <x v="2"/>
    <n v="21"/>
    <n v="4"/>
    <n v="2025"/>
    <x v="29"/>
    <d v="2025-04-23T00:00:00"/>
    <d v="2025-04-27T00:00:00"/>
    <d v="2025-04-29T00:00:00"/>
    <d v="1900-01-19T00:00:00"/>
    <n v="8"/>
    <s v="Late_Delivery"/>
  </r>
  <r>
    <x v="2"/>
    <s v="DELL"/>
    <s v="XPS 13"/>
    <s v="S1072"/>
    <n v="5"/>
    <n v="68983"/>
    <n v="344915"/>
    <s v="Hyderabad"/>
    <x v="3"/>
    <n v="19"/>
    <n v="6"/>
    <n v="2022"/>
    <x v="30"/>
    <d v="2022-06-21T00:00:00"/>
    <d v="2022-06-24T00:00:00"/>
    <d v="2022-06-27T00:00:00"/>
    <d v="1900-01-06T00:00:00"/>
    <n v="8"/>
    <s v="Late_Delivery"/>
  </r>
  <r>
    <x v="3"/>
    <s v="ACER"/>
    <s v="Predator Helios"/>
    <s v="S1025"/>
    <n v="4"/>
    <n v="54984"/>
    <n v="219936"/>
    <s v="Trivandrum"/>
    <x v="0"/>
    <n v="11"/>
    <n v="11"/>
    <n v="2015"/>
    <x v="31"/>
    <d v="2015-11-13T00:00:00"/>
    <d v="2015-11-16T00:00:00"/>
    <d v="2015-11-18T00:00:00"/>
    <d v="1900-01-15T00:00:00"/>
    <n v="7"/>
    <s v="In_Time"/>
  </r>
  <r>
    <x v="1"/>
    <s v="Nothing"/>
    <s v="Nothing Phone 2"/>
    <s v="S1115"/>
    <n v="4"/>
    <n v="23594"/>
    <n v="94376"/>
    <s v="Chennai"/>
    <x v="1"/>
    <n v="28"/>
    <n v="8"/>
    <n v="2023"/>
    <x v="32"/>
    <d v="2023-09-01T00:00:00"/>
    <d v="2023-09-02T00:00:00"/>
    <d v="2023-09-05T00:00:00"/>
    <d v="1900-01-04T00:00:00"/>
    <n v="8"/>
    <s v="Late_Delivery"/>
  </r>
  <r>
    <x v="1"/>
    <s v="Realme"/>
    <s v="Realme GT Neo3"/>
    <s v="S1157"/>
    <n v="4"/>
    <n v="22456"/>
    <n v="89824"/>
    <s v="Kochi"/>
    <x v="4"/>
    <n v="10"/>
    <n v="5"/>
    <n v="2020"/>
    <x v="33"/>
    <d v="2020-05-13T00:00:00"/>
    <d v="2020-05-17T00:00:00"/>
    <d v="2020-05-21T00:00:00"/>
    <d v="1900-01-20T00:00:00"/>
    <n v="11"/>
    <s v="Late_Delivery"/>
  </r>
  <r>
    <x v="2"/>
    <s v="LENOVO"/>
    <s v="IdeaPad Slim 5"/>
    <s v="S1066"/>
    <n v="4"/>
    <n v="65659"/>
    <n v="262636"/>
    <s v="Hyderabad"/>
    <x v="3"/>
    <n v="19"/>
    <n v="11"/>
    <n v="2025"/>
    <x v="34"/>
    <d v="2025-11-20T00:00:00"/>
    <d v="2025-11-23T00:00:00"/>
    <d v="2025-11-24T00:00:00"/>
    <d v="1900-01-18T00:00:00"/>
    <n v="5"/>
    <s v="In_Time"/>
  </r>
  <r>
    <x v="2"/>
    <s v="LENOVO"/>
    <s v="IdeaPad Slim 5"/>
    <s v="S1093"/>
    <n v="4"/>
    <n v="103163"/>
    <n v="412652"/>
    <s v="Visakhapatnam"/>
    <x v="2"/>
    <n v="28"/>
    <n v="10"/>
    <n v="2017"/>
    <x v="35"/>
    <d v="2017-10-30T00:00:00"/>
    <d v="2017-11-01T00:00:00"/>
    <d v="2017-11-05T00:00:00"/>
    <d v="1900-01-17T00:00:00"/>
    <n v="8"/>
    <s v="Late_Delivery"/>
  </r>
  <r>
    <x v="1"/>
    <s v="Xiaomi"/>
    <s v="Redmi Note 12"/>
    <s v="S1127"/>
    <n v="4"/>
    <n v="61702"/>
    <n v="246808"/>
    <s v="Chennai"/>
    <x v="3"/>
    <n v="30"/>
    <n v="3"/>
    <n v="2022"/>
    <x v="36"/>
    <d v="2022-04-02T00:00:00"/>
    <d v="2022-04-03T00:00:00"/>
    <d v="2022-04-07T00:00:00"/>
    <d v="1900-01-04T00:00:00"/>
    <n v="8"/>
    <s v="Late_Delivery"/>
  </r>
  <r>
    <x v="2"/>
    <s v="LENOVO"/>
    <s v="ThinkPad E14"/>
    <s v="S1060"/>
    <n v="4"/>
    <n v="95916"/>
    <n v="383664"/>
    <s v="Hyderabad"/>
    <x v="3"/>
    <n v="6"/>
    <n v="6"/>
    <n v="2019"/>
    <x v="37"/>
    <d v="2019-06-10T00:00:00"/>
    <d v="2019-06-13T00:00:00"/>
    <d v="2019-06-14T00:00:00"/>
    <d v="1900-01-01T00:00:00"/>
    <n v="8"/>
    <s v="Late_Delivery"/>
  </r>
  <r>
    <x v="2"/>
    <s v="ASUS"/>
    <s v="ROG Zephyrus"/>
    <s v="S1068"/>
    <n v="4"/>
    <n v="66725"/>
    <n v="266900"/>
    <s v="Bangalore"/>
    <x v="4"/>
    <n v="12"/>
    <n v="12"/>
    <n v="2022"/>
    <x v="38"/>
    <d v="2022-12-13T00:00:00"/>
    <d v="2022-12-15T00:00:00"/>
    <d v="2022-12-18T00:00:00"/>
    <d v="1900-01-12T00:00:00"/>
    <n v="6"/>
    <s v="In_Time"/>
  </r>
  <r>
    <x v="2"/>
    <s v="LENOVO"/>
    <s v="ThinkPad E14"/>
    <s v="S1084"/>
    <n v="4"/>
    <n v="79393"/>
    <n v="317572"/>
    <s v="Bangalore"/>
    <x v="4"/>
    <n v="25"/>
    <n v="1"/>
    <n v="2023"/>
    <x v="39"/>
    <d v="2023-01-26T00:00:00"/>
    <d v="2023-01-29T00:00:00"/>
    <d v="2023-01-31T00:00:00"/>
    <d v="1900-01-20T00:00:00"/>
    <n v="6"/>
    <s v="In_Time"/>
  </r>
  <r>
    <x v="1"/>
    <s v="Motorola"/>
    <s v="Moto Edge 40"/>
    <s v="S1103"/>
    <n v="4"/>
    <n v="26124"/>
    <n v="104496"/>
    <s v="Kochi"/>
    <x v="3"/>
    <n v="16"/>
    <n v="2"/>
    <n v="2015"/>
    <x v="40"/>
    <d v="2015-02-18T00:00:00"/>
    <d v="2015-02-22T00:00:00"/>
    <d v="2015-02-24T00:00:00"/>
    <d v="1900-01-16T00:00:00"/>
    <n v="8"/>
    <s v="Late_Delivery"/>
  </r>
  <r>
    <x v="1"/>
    <s v="Oppo"/>
    <s v="Oppo Reno 10"/>
    <s v="S1123"/>
    <n v="4"/>
    <n v="25166"/>
    <n v="100664"/>
    <s v="Chennai"/>
    <x v="0"/>
    <n v="15"/>
    <n v="1"/>
    <n v="2018"/>
    <x v="41"/>
    <d v="2018-01-17T00:00:00"/>
    <d v="2018-01-19T00:00:00"/>
    <d v="2018-01-20T00:00:00"/>
    <d v="1900-01-10T00:00:00"/>
    <n v="5"/>
    <s v="In_Time"/>
  </r>
  <r>
    <x v="1"/>
    <s v="Motorola"/>
    <s v="Moto Edge 40"/>
    <s v="S1132"/>
    <n v="4"/>
    <n v="87933"/>
    <n v="351732"/>
    <s v="Bangalore"/>
    <x v="4"/>
    <n v="1"/>
    <n v="8"/>
    <n v="2018"/>
    <x v="42"/>
    <d v="2018-08-05T00:00:00"/>
    <d v="2018-08-06T00:00:00"/>
    <d v="2018-08-10T00:00:00"/>
    <d v="1899-12-31T00:00:00"/>
    <n v="9"/>
    <s v="Late_Delivery"/>
  </r>
  <r>
    <x v="1"/>
    <s v="Motorola"/>
    <s v="Moto Edge 40"/>
    <s v="S1142"/>
    <n v="4"/>
    <n v="23297"/>
    <n v="93188"/>
    <s v="Chennai"/>
    <x v="4"/>
    <n v="30"/>
    <n v="1"/>
    <n v="2021"/>
    <x v="43"/>
    <d v="2021-02-01T00:00:00"/>
    <d v="2021-02-03T00:00:00"/>
    <d v="2021-02-07T00:00:00"/>
    <d v="1900-01-09T00:00:00"/>
    <n v="8"/>
    <s v="Late_Delivery"/>
  </r>
  <r>
    <x v="2"/>
    <s v="ASUS"/>
    <s v="Vivobook 15"/>
    <s v="S1006"/>
    <n v="4"/>
    <n v="87672"/>
    <n v="350688"/>
    <s v="Madurai"/>
    <x v="1"/>
    <n v="21"/>
    <n v="9"/>
    <n v="2019"/>
    <x v="44"/>
    <d v="2019-09-25T00:00:00"/>
    <d v="2019-09-28T00:00:00"/>
    <d v="2019-10-02T00:00:00"/>
    <d v="1900-01-06T00:00:00"/>
    <n v="11"/>
    <s v="Late_Delivery"/>
  </r>
  <r>
    <x v="2"/>
    <s v="HP"/>
    <s v="Pavilion 14"/>
    <s v="S1007"/>
    <n v="4"/>
    <n v="84444"/>
    <n v="337776"/>
    <s v="Chennai"/>
    <x v="1"/>
    <n v="11"/>
    <n v="5"/>
    <n v="2019"/>
    <x v="45"/>
    <d v="2019-05-12T00:00:00"/>
    <d v="2019-05-16T00:00:00"/>
    <d v="2019-05-19T00:00:00"/>
    <d v="1899-12-31T00:00:00"/>
    <n v="8"/>
    <s v="Late_Delivery"/>
  </r>
  <r>
    <x v="2"/>
    <s v="HP"/>
    <s v="Pavilion 14"/>
    <s v="S1008"/>
    <n v="4"/>
    <n v="96499"/>
    <n v="385996"/>
    <s v="Mysore"/>
    <x v="4"/>
    <n v="4"/>
    <n v="11"/>
    <n v="2022"/>
    <x v="46"/>
    <d v="2022-11-07T00:00:00"/>
    <d v="2022-11-10T00:00:00"/>
    <d v="2022-11-14T00:00:00"/>
    <d v="1900-01-09T00:00:00"/>
    <n v="10"/>
    <s v="Late_Delivery"/>
  </r>
  <r>
    <x v="2"/>
    <s v="ASUS"/>
    <s v="Vivobook 15"/>
    <s v="S1074"/>
    <n v="4"/>
    <n v="92592"/>
    <n v="370368"/>
    <s v="Madurai"/>
    <x v="1"/>
    <n v="24"/>
    <n v="3"/>
    <n v="2025"/>
    <x v="47"/>
    <d v="2025-03-26T00:00:00"/>
    <d v="2025-03-29T00:00:00"/>
    <d v="2025-04-01T00:00:00"/>
    <d v="1900-01-21T00:00:00"/>
    <n v="8"/>
    <s v="Late_Delivery"/>
  </r>
  <r>
    <x v="2"/>
    <s v="HP"/>
    <s v="Pavilion 14"/>
    <s v="S1076"/>
    <n v="4"/>
    <n v="65907"/>
    <n v="263628"/>
    <s v="Trivandrum"/>
    <x v="0"/>
    <n v="15"/>
    <n v="10"/>
    <n v="2022"/>
    <x v="48"/>
    <d v="2022-10-18T00:00:00"/>
    <d v="2022-10-20T00:00:00"/>
    <d v="2022-10-21T00:00:00"/>
    <d v="1900-01-03T00:00:00"/>
    <n v="6"/>
    <s v="In_Time"/>
  </r>
  <r>
    <x v="2"/>
    <s v="HP"/>
    <s v="Pavilion 14"/>
    <s v="S1092"/>
    <n v="4"/>
    <n v="60349"/>
    <n v="241396"/>
    <s v="Vijayawada"/>
    <x v="2"/>
    <n v="25"/>
    <n v="1"/>
    <n v="2025"/>
    <x v="49"/>
    <d v="2025-01-26T00:00:00"/>
    <d v="2025-01-29T00:00:00"/>
    <d v="2025-01-31T00:00:00"/>
    <d v="1900-01-02T00:00:00"/>
    <n v="6"/>
    <s v="In_Time"/>
  </r>
  <r>
    <x v="2"/>
    <s v="ASUS"/>
    <s v="Vivobook 15"/>
    <s v="S1097"/>
    <n v="4"/>
    <n v="115162"/>
    <n v="460648"/>
    <s v="Trivandrum"/>
    <x v="0"/>
    <n v="19"/>
    <n v="2"/>
    <n v="2018"/>
    <x v="50"/>
    <d v="2018-02-23T00:00:00"/>
    <d v="2018-02-24T00:00:00"/>
    <d v="2018-02-28T00:00:00"/>
    <d v="1900-01-08T00:00:00"/>
    <n v="9"/>
    <s v="Late_Delivery"/>
  </r>
  <r>
    <x v="1"/>
    <s v="Samsung"/>
    <s v="Galaxy S23"/>
    <s v="S1106"/>
    <n v="4"/>
    <n v="30710"/>
    <n v="122840"/>
    <s v="Chennai"/>
    <x v="1"/>
    <n v="11"/>
    <n v="11"/>
    <n v="2021"/>
    <x v="51"/>
    <d v="2021-11-15T00:00:00"/>
    <d v="2021-11-16T00:00:00"/>
    <d v="2021-11-19T00:00:00"/>
    <d v="1900-01-09T00:00:00"/>
    <n v="8"/>
    <s v="Late_Delivery"/>
  </r>
  <r>
    <x v="1"/>
    <s v="Samsung"/>
    <s v="Galaxy S23"/>
    <s v="S1118"/>
    <n v="4"/>
    <n v="22816"/>
    <n v="91264"/>
    <s v="Coimbatore"/>
    <x v="0"/>
    <n v="12"/>
    <n v="2"/>
    <n v="2022"/>
    <x v="52"/>
    <d v="2022-02-16T00:00:00"/>
    <d v="2022-02-20T00:00:00"/>
    <d v="2022-02-24T00:00:00"/>
    <d v="1900-01-18T00:00:00"/>
    <n v="12"/>
    <s v="Late_Delivery"/>
  </r>
  <r>
    <x v="2"/>
    <s v="MSI"/>
    <s v="Modern 14"/>
    <s v="S1052"/>
    <n v="4"/>
    <n v="119589"/>
    <n v="478356"/>
    <s v="Visakhapatnam"/>
    <x v="2"/>
    <n v="27"/>
    <n v="12"/>
    <n v="2024"/>
    <x v="53"/>
    <d v="2024-12-28T00:00:00"/>
    <d v="2024-12-31T00:00:00"/>
    <d v="2025-01-03T00:00:00"/>
    <d v="1899-12-31T00:00:00"/>
    <n v="7"/>
    <s v="In_Time"/>
  </r>
  <r>
    <x v="2"/>
    <s v="MSI"/>
    <s v="GF63 Thin"/>
    <s v="S1062"/>
    <n v="4"/>
    <n v="117107"/>
    <n v="468428"/>
    <s v="Hyderabad"/>
    <x v="3"/>
    <n v="13"/>
    <n v="4"/>
    <n v="2017"/>
    <x v="54"/>
    <d v="2017-04-15T00:00:00"/>
    <d v="2017-04-16T00:00:00"/>
    <d v="2017-04-18T00:00:00"/>
    <d v="1900-01-17T00:00:00"/>
    <n v="5"/>
    <s v="In_Time"/>
  </r>
  <r>
    <x v="2"/>
    <s v="MSI"/>
    <s v="GF63 Thin"/>
    <s v="S1073"/>
    <n v="4"/>
    <n v="83072"/>
    <n v="332288"/>
    <s v="Madurai"/>
    <x v="1"/>
    <n v="3"/>
    <n v="8"/>
    <n v="2024"/>
    <x v="55"/>
    <d v="2024-08-05T00:00:00"/>
    <d v="2024-08-07T00:00:00"/>
    <d v="2024-08-11T00:00:00"/>
    <d v="1900-01-15T00:00:00"/>
    <n v="8"/>
    <s v="Late_Delivery"/>
  </r>
  <r>
    <x v="1"/>
    <s v="Vivo"/>
    <s v="Vivo V27"/>
    <s v="S1155"/>
    <n v="4"/>
    <n v="50654"/>
    <n v="202616"/>
    <s v="Kochi"/>
    <x v="1"/>
    <n v="30"/>
    <n v="5"/>
    <n v="2015"/>
    <x v="56"/>
    <d v="2015-05-31T00:00:00"/>
    <d v="2015-06-04T00:00:00"/>
    <d v="2015-06-07T00:00:00"/>
    <d v="1900-01-13T00:00:00"/>
    <n v="8"/>
    <s v="Late_Delivery"/>
  </r>
  <r>
    <x v="1"/>
    <s v="Vivo"/>
    <m/>
    <s v="S1160"/>
    <n v="4"/>
    <n v="71760"/>
    <n v="287040"/>
    <s v="Hyderabad"/>
    <x v="0"/>
    <n v="23"/>
    <n v="10"/>
    <n v="2017"/>
    <x v="57"/>
    <d v="2017-10-24T00:00:00"/>
    <d v="2017-10-26T00:00:00"/>
    <d v="2017-10-29T00:00:00"/>
    <d v="1900-01-07T00:00:00"/>
    <n v="6"/>
    <s v="In_Time"/>
  </r>
  <r>
    <x v="2"/>
    <s v="HP"/>
    <s v="Omen 16"/>
    <s v="S1016"/>
    <n v="4"/>
    <n v="95618"/>
    <n v="382472"/>
    <s v="Chennai"/>
    <x v="1"/>
    <n v="18"/>
    <n v="10"/>
    <n v="2017"/>
    <x v="58"/>
    <d v="2017-10-20T00:00:00"/>
    <d v="2017-10-23T00:00:00"/>
    <d v="2017-10-25T00:00:00"/>
    <d v="1900-01-08T00:00:00"/>
    <n v="7"/>
    <s v="In_Time"/>
  </r>
  <r>
    <x v="2"/>
    <s v="HP"/>
    <s v="Omen 16"/>
    <s v="S1075"/>
    <n v="4"/>
    <n v="52476"/>
    <n v="209904"/>
    <s v="Mysore"/>
    <x v="4"/>
    <n v="7"/>
    <n v="9"/>
    <n v="2016"/>
    <x v="59"/>
    <d v="2016-09-10T00:00:00"/>
    <d v="2016-09-14T00:00:00"/>
    <d v="2016-09-16T00:00:00"/>
    <d v="1900-01-08T00:00:00"/>
    <n v="9"/>
    <s v="Late_Delivery"/>
  </r>
  <r>
    <x v="1"/>
    <s v="Google"/>
    <s v="Pixel 7"/>
    <s v="S1113"/>
    <n v="4"/>
    <n v="77679"/>
    <n v="310716"/>
    <s v="Kochi"/>
    <x v="3"/>
    <n v="27"/>
    <n v="2"/>
    <n v="2019"/>
    <x v="60"/>
    <d v="2019-02-28T00:00:00"/>
    <d v="2019-03-01T00:00:00"/>
    <d v="2019-03-02T00:00:00"/>
    <d v="1900-01-16T00:00:00"/>
    <n v="3"/>
    <s v="In_Time"/>
  </r>
  <r>
    <x v="2"/>
    <s v="DELL"/>
    <s v="XPS 13"/>
    <s v="S1055"/>
    <n v="4"/>
    <n v="53632"/>
    <n v="214528"/>
    <s v="Visakhapatnam"/>
    <x v="2"/>
    <n v="30"/>
    <n v="11"/>
    <n v="2024"/>
    <x v="61"/>
    <d v="2024-12-01T00:00:00"/>
    <d v="2024-12-02T00:00:00"/>
    <d v="2024-12-05T00:00:00"/>
    <d v="1900-01-09T00:00:00"/>
    <n v="5"/>
    <s v="In_Time"/>
  </r>
  <r>
    <x v="2"/>
    <s v="DELL"/>
    <s v="XPS 13"/>
    <s v="S1063"/>
    <n v="4"/>
    <n v="63622"/>
    <n v="254488"/>
    <s v="Chennai"/>
    <x v="1"/>
    <n v="15"/>
    <n v="3"/>
    <n v="2025"/>
    <x v="62"/>
    <d v="2025-03-19T00:00:00"/>
    <d v="2025-03-22T00:00:00"/>
    <d v="2025-03-25T00:00:00"/>
    <d v="1900-01-21T00:00:00"/>
    <n v="10"/>
    <s v="Late_Delivery"/>
  </r>
  <r>
    <x v="2"/>
    <s v="DELL"/>
    <s v="XPS 13"/>
    <s v="S1085"/>
    <n v="4"/>
    <n v="81670"/>
    <n v="326680"/>
    <s v="Mysore"/>
    <x v="4"/>
    <n v="24"/>
    <n v="6"/>
    <n v="2025"/>
    <x v="63"/>
    <d v="2025-06-26T00:00:00"/>
    <d v="2025-06-28T00:00:00"/>
    <d v="2025-06-30T00:00:00"/>
    <d v="1900-01-12T00:00:00"/>
    <n v="6"/>
    <s v="In_Time"/>
  </r>
  <r>
    <x v="2"/>
    <s v="ACER"/>
    <s v="Predator Helios"/>
    <s v="S1038"/>
    <n v="3"/>
    <n v="48970"/>
    <n v="146910"/>
    <s v="Visakhapatnam"/>
    <x v="2"/>
    <n v="5"/>
    <n v="3"/>
    <n v="2018"/>
    <x v="64"/>
    <d v="2018-03-09T00:00:00"/>
    <d v="2018-03-10T00:00:00"/>
    <d v="2018-03-14T00:00:00"/>
    <d v="1900-01-11T00:00:00"/>
    <n v="9"/>
    <s v="Late_Delivery"/>
  </r>
  <r>
    <x v="2"/>
    <s v="ACER"/>
    <s v="Predator Helios"/>
    <s v="S1039"/>
    <n v="3"/>
    <n v="99447"/>
    <n v="298341"/>
    <s v="Mysore"/>
    <x v="4"/>
    <n v="30"/>
    <n v="4"/>
    <n v="2020"/>
    <x v="65"/>
    <d v="2020-05-04T00:00:00"/>
    <d v="2020-05-06T00:00:00"/>
    <d v="2020-05-09T00:00:00"/>
    <d v="1900-01-16T00:00:00"/>
    <n v="9"/>
    <s v="Late_Delivery"/>
  </r>
  <r>
    <x v="2"/>
    <s v="ACER"/>
    <s v="Predator Helios"/>
    <s v="S1044"/>
    <n v="3"/>
    <n v="49573"/>
    <n v="148719"/>
    <s v="Mysore"/>
    <x v="4"/>
    <n v="6"/>
    <n v="12"/>
    <n v="2019"/>
    <x v="66"/>
    <d v="2019-12-09T00:00:00"/>
    <d v="2019-12-11T00:00:00"/>
    <d v="2019-12-15T00:00:00"/>
    <d v="1900-01-14T00:00:00"/>
    <n v="9"/>
    <s v="Late_Delivery"/>
  </r>
  <r>
    <x v="1"/>
    <s v="Realme"/>
    <s v="Realme GT Neo3"/>
    <s v="S1119"/>
    <n v="3"/>
    <n v="61792"/>
    <n v="185376"/>
    <s v="Hyderabad"/>
    <x v="1"/>
    <n v="10"/>
    <n v="6"/>
    <n v="2021"/>
    <x v="67"/>
    <d v="2021-06-14T00:00:00"/>
    <d v="2021-06-16T00:00:00"/>
    <d v="2021-06-19T00:00:00"/>
    <d v="1900-01-11T00:00:00"/>
    <n v="9"/>
    <s v="Late_Delivery"/>
  </r>
  <r>
    <x v="1"/>
    <s v="Nothing"/>
    <s v="Nothing Phone 2"/>
    <s v="S1141"/>
    <n v="3"/>
    <n v="44283"/>
    <n v="132849"/>
    <s v="Chennai"/>
    <x v="4"/>
    <n v="1"/>
    <n v="6"/>
    <n v="2020"/>
    <x v="68"/>
    <d v="2020-06-04T00:00:00"/>
    <d v="2020-06-07T00:00:00"/>
    <d v="2020-06-09T00:00:00"/>
    <d v="1900-01-19T00:00:00"/>
    <n v="8"/>
    <s v="Late_Delivery"/>
  </r>
  <r>
    <x v="1"/>
    <s v="Nothing"/>
    <s v="Nothing Phone 2"/>
    <s v="S1146"/>
    <n v="3"/>
    <n v="44188"/>
    <n v="132564"/>
    <s v="Kochi"/>
    <x v="0"/>
    <n v="21"/>
    <n v="7"/>
    <n v="2016"/>
    <x v="69"/>
    <d v="2016-07-24T00:00:00"/>
    <d v="2016-07-26T00:00:00"/>
    <d v="2016-07-30T00:00:00"/>
    <d v="1900-01-03T00:00:00"/>
    <n v="9"/>
    <s v="Late_Delivery"/>
  </r>
  <r>
    <x v="1"/>
    <s v="Realme"/>
    <s v="Realme GT Neo3"/>
    <s v="S1149"/>
    <n v="3"/>
    <n v="50840"/>
    <n v="152520"/>
    <s v="Kochi"/>
    <x v="4"/>
    <n v="28"/>
    <n v="1"/>
    <n v="2015"/>
    <x v="70"/>
    <d v="2015-01-30T00:00:00"/>
    <d v="2015-02-02T00:00:00"/>
    <d v="2015-02-06T00:00:00"/>
    <d v="1900-01-10T00:00:00"/>
    <n v="9"/>
    <s v="Late_Delivery"/>
  </r>
  <r>
    <x v="2"/>
    <s v="LENOVO"/>
    <s v="IdeaPad Slim 5"/>
    <s v="S1065"/>
    <n v="3"/>
    <n v="49533"/>
    <n v="148599"/>
    <s v="Mysore"/>
    <x v="4"/>
    <n v="29"/>
    <n v="6"/>
    <n v="2025"/>
    <x v="71"/>
    <d v="2025-07-02T00:00:00"/>
    <d v="2025-07-05T00:00:00"/>
    <d v="2025-07-08T00:00:00"/>
    <d v="1900-01-09T00:00:00"/>
    <n v="9"/>
    <s v="Late_Delivery"/>
  </r>
  <r>
    <x v="2"/>
    <s v="LENOVO"/>
    <s v="IdeaPad Slim 5"/>
    <s v="S1083"/>
    <n v="3"/>
    <n v="54509"/>
    <n v="163527"/>
    <s v="Coimbatore"/>
    <x v="1"/>
    <n v="10"/>
    <n v="12"/>
    <n v="2019"/>
    <x v="72"/>
    <d v="2019-12-14T00:00:00"/>
    <d v="2019-12-16T00:00:00"/>
    <d v="2019-12-17T00:00:00"/>
    <d v="1900-01-13T00:00:00"/>
    <n v="7"/>
    <s v="In_Time"/>
  </r>
  <r>
    <x v="2"/>
    <s v="ASUS"/>
    <s v="ROG Zephyrus"/>
    <s v="S1027"/>
    <n v="3"/>
    <n v="67976"/>
    <n v="203928"/>
    <s v="Visakhapatnam"/>
    <x v="2"/>
    <n v="23"/>
    <n v="2"/>
    <n v="2018"/>
    <x v="73"/>
    <d v="2018-02-26T00:00:00"/>
    <d v="2018-03-01T00:00:00"/>
    <d v="2018-03-03T00:00:00"/>
    <d v="1900-01-08T00:00:00"/>
    <n v="8"/>
    <s v="Late_Delivery"/>
  </r>
  <r>
    <x v="2"/>
    <s v="LENOVO"/>
    <s v="ThinkPad E14"/>
    <s v="S1079"/>
    <n v="3"/>
    <n v="45942"/>
    <n v="137826"/>
    <s v="Chennai"/>
    <x v="1"/>
    <n v="25"/>
    <n v="12"/>
    <n v="2018"/>
    <x v="74"/>
    <d v="2018-12-27T00:00:00"/>
    <d v="2018-12-30T00:00:00"/>
    <d v="2019-01-03T00:00:00"/>
    <d v="1900-01-04T00:00:00"/>
    <n v="9"/>
    <s v="Late_Delivery"/>
  </r>
  <r>
    <x v="2"/>
    <s v="ASUS"/>
    <s v="ROG Zephyrus"/>
    <s v="S1087"/>
    <n v="3"/>
    <n v="115336"/>
    <n v="346008"/>
    <s v="Hyderabad"/>
    <x v="3"/>
    <n v="7"/>
    <n v="11"/>
    <n v="2020"/>
    <x v="75"/>
    <d v="2020-11-09T00:00:00"/>
    <d v="2020-11-10T00:00:00"/>
    <d v="2020-11-12T00:00:00"/>
    <d v="1900-01-19T00:00:00"/>
    <n v="5"/>
    <s v="In_Time"/>
  </r>
  <r>
    <x v="1"/>
    <s v="Motorola"/>
    <s v="Moto Edge 40"/>
    <s v="S1108"/>
    <n v="3"/>
    <n v="41447"/>
    <n v="124341"/>
    <s v="Kochi"/>
    <x v="3"/>
    <n v="30"/>
    <n v="7"/>
    <n v="2021"/>
    <x v="76"/>
    <d v="2021-08-02T00:00:00"/>
    <d v="2021-08-05T00:00:00"/>
    <d v="2021-08-09T00:00:00"/>
    <d v="1900-01-05T00:00:00"/>
    <n v="10"/>
    <s v="Late_Delivery"/>
  </r>
  <r>
    <x v="1"/>
    <s v="Motorola"/>
    <s v="Moto Edge 40"/>
    <s v="S1128"/>
    <n v="3"/>
    <n v="87888"/>
    <n v="263664"/>
    <s v="Hyderabad"/>
    <x v="1"/>
    <n v="4"/>
    <n v="8"/>
    <n v="2021"/>
    <x v="77"/>
    <d v="2021-08-05T00:00:00"/>
    <d v="2021-08-06T00:00:00"/>
    <d v="2021-08-07T00:00:00"/>
    <d v="1900-01-19T00:00:00"/>
    <n v="3"/>
    <s v="In_Time"/>
  </r>
  <r>
    <x v="1"/>
    <s v="Oppo"/>
    <s v="Oppo Reno 10"/>
    <s v="S1159"/>
    <n v="3"/>
    <n v="58146"/>
    <n v="174438"/>
    <s v="Bangalore"/>
    <x v="3"/>
    <n v="8"/>
    <n v="7"/>
    <n v="2023"/>
    <x v="78"/>
    <d v="2023-07-12T00:00:00"/>
    <d v="2023-07-14T00:00:00"/>
    <d v="2023-07-17T00:00:00"/>
    <d v="1900-01-17T00:00:00"/>
    <n v="9"/>
    <s v="Late_Delivery"/>
  </r>
  <r>
    <x v="2"/>
    <s v="DELL"/>
    <s v="Inspiron 15"/>
    <s v="S1004"/>
    <n v="3"/>
    <n v="96072"/>
    <n v="288216"/>
    <s v="Trivandrum"/>
    <x v="0"/>
    <n v="19"/>
    <n v="2"/>
    <n v="2020"/>
    <x v="79"/>
    <d v="2020-02-20T00:00:00"/>
    <d v="2020-02-22T00:00:00"/>
    <d v="2020-02-25T00:00:00"/>
    <d v="1900-01-21T00:00:00"/>
    <n v="6"/>
    <s v="In_Time"/>
  </r>
  <r>
    <x v="2"/>
    <s v="DELL"/>
    <s v="Inspiron 15"/>
    <s v="S1024"/>
    <n v="3"/>
    <n v="69461"/>
    <n v="208383"/>
    <s v="Chennai"/>
    <x v="1"/>
    <n v="17"/>
    <n v="7"/>
    <n v="2022"/>
    <x v="80"/>
    <d v="2022-07-21T00:00:00"/>
    <d v="2022-07-24T00:00:00"/>
    <d v="2022-07-28T00:00:00"/>
    <d v="1900-01-07T00:00:00"/>
    <n v="11"/>
    <s v="Late_Delivery"/>
  </r>
  <r>
    <x v="2"/>
    <s v="ASUS"/>
    <s v="Vivobook 15"/>
    <s v="S1032"/>
    <n v="3"/>
    <n v="83539"/>
    <n v="250617"/>
    <s v="Coimbatore"/>
    <x v="1"/>
    <n v="9"/>
    <n v="10"/>
    <n v="2021"/>
    <x v="81"/>
    <d v="2021-10-10T00:00:00"/>
    <d v="2021-10-14T00:00:00"/>
    <d v="2021-10-16T00:00:00"/>
    <d v="1900-01-20T00:00:00"/>
    <n v="7"/>
    <s v="In_Time"/>
  </r>
  <r>
    <x v="2"/>
    <s v="HP"/>
    <s v="Pavilion 14"/>
    <s v="S1049"/>
    <n v="3"/>
    <n v="100948"/>
    <n v="302844"/>
    <s v="Mysore"/>
    <x v="4"/>
    <n v="27"/>
    <n v="8"/>
    <n v="2025"/>
    <x v="82"/>
    <d v="2025-08-28T00:00:00"/>
    <d v="2025-08-30T00:00:00"/>
    <d v="2025-09-02T00:00:00"/>
    <d v="1900-01-08T00:00:00"/>
    <n v="6"/>
    <s v="In_Time"/>
  </r>
  <r>
    <x v="2"/>
    <s v="ASUS"/>
    <s v="Vivobook 15"/>
    <s v="S1064"/>
    <n v="3"/>
    <n v="93983"/>
    <n v="281949"/>
    <s v="Mysore"/>
    <x v="4"/>
    <n v="26"/>
    <n v="11"/>
    <n v="2015"/>
    <x v="83"/>
    <d v="2015-11-27T00:00:00"/>
    <d v="2015-11-28T00:00:00"/>
    <d v="2015-12-02T00:00:00"/>
    <d v="1900-01-08T00:00:00"/>
    <n v="6"/>
    <s v="In_Time"/>
  </r>
  <r>
    <x v="1"/>
    <s v="OnePlus"/>
    <s v="OnePlus 11"/>
    <s v="S1114"/>
    <n v="3"/>
    <n v="15212"/>
    <n v="45636"/>
    <s v="Madurai"/>
    <x v="0"/>
    <n v="22"/>
    <n v="12"/>
    <n v="2024"/>
    <x v="84"/>
    <d v="2024-12-24T00:00:00"/>
    <d v="2024-12-27T00:00:00"/>
    <d v="2024-12-31T00:00:00"/>
    <d v="1900-01-13T00:00:00"/>
    <n v="9"/>
    <s v="Late_Delivery"/>
  </r>
  <r>
    <x v="2"/>
    <s v="MSI"/>
    <s v="GF63 Thin"/>
    <s v="S1034"/>
    <n v="3"/>
    <n v="45613"/>
    <n v="136839"/>
    <s v="Chennai"/>
    <x v="1"/>
    <n v="5"/>
    <n v="10"/>
    <n v="2017"/>
    <x v="85"/>
    <d v="2017-10-09T00:00:00"/>
    <d v="2017-10-10T00:00:00"/>
    <d v="2017-10-14T00:00:00"/>
    <d v="1900-01-03T00:00:00"/>
    <n v="9"/>
    <s v="Late_Delivery"/>
  </r>
  <r>
    <x v="2"/>
    <s v="MSI"/>
    <s v="GF63 Thin"/>
    <s v="S1082"/>
    <n v="3"/>
    <n v="100961"/>
    <n v="302883"/>
    <s v="Visakhapatnam"/>
    <x v="2"/>
    <n v="26"/>
    <n v="1"/>
    <n v="2025"/>
    <x v="86"/>
    <d v="2025-01-30T00:00:00"/>
    <d v="2025-01-31T00:00:00"/>
    <d v="2025-02-04T00:00:00"/>
    <d v="1900-01-13T00:00:00"/>
    <n v="9"/>
    <s v="Late_Delivery"/>
  </r>
  <r>
    <x v="2"/>
    <s v="ACER"/>
    <s v="Aspire 5"/>
    <s v="S1002"/>
    <n v="3"/>
    <n v="98041"/>
    <n v="294123"/>
    <s v="Madurai"/>
    <x v="1"/>
    <n v="30"/>
    <n v="11"/>
    <n v="2019"/>
    <x v="87"/>
    <d v="2019-12-01T00:00:00"/>
    <d v="2019-12-02T00:00:00"/>
    <d v="2019-12-06T00:00:00"/>
    <d v="1900-01-18T00:00:00"/>
    <n v="6"/>
    <s v="In_Time"/>
  </r>
  <r>
    <x v="2"/>
    <s v="ACER"/>
    <s v="Aspire 5"/>
    <s v="S1018"/>
    <n v="3"/>
    <n v="70126"/>
    <n v="210378"/>
    <s v="Vijayawada"/>
    <x v="2"/>
    <n v="7"/>
    <n v="7"/>
    <n v="2018"/>
    <x v="88"/>
    <d v="2018-07-08T00:00:00"/>
    <d v="2018-07-11T00:00:00"/>
    <d v="2018-07-14T00:00:00"/>
    <d v="1900-01-19T00:00:00"/>
    <n v="7"/>
    <s v="In_Time"/>
  </r>
  <r>
    <x v="2"/>
    <s v="HP"/>
    <s v="Omen 16"/>
    <s v="S1057"/>
    <n v="3"/>
    <n v="81687"/>
    <n v="245061"/>
    <s v="Trivandrum"/>
    <x v="0"/>
    <n v="20"/>
    <n v="8"/>
    <n v="2019"/>
    <x v="89"/>
    <d v="2019-08-22T00:00:00"/>
    <d v="2019-08-24T00:00:00"/>
    <d v="2019-08-27T00:00:00"/>
    <d v="1900-01-18T00:00:00"/>
    <n v="7"/>
    <s v="In_Time"/>
  </r>
  <r>
    <x v="1"/>
    <s v="Google"/>
    <s v="Pixel 7"/>
    <s v="S1125"/>
    <n v="3"/>
    <n v="80420"/>
    <n v="241260"/>
    <s v="Bangalore"/>
    <x v="4"/>
    <n v="15"/>
    <n v="4"/>
    <n v="2019"/>
    <x v="90"/>
    <d v="2019-04-18T00:00:00"/>
    <d v="2019-04-22T00:00:00"/>
    <d v="2019-04-24T00:00:00"/>
    <d v="1900-01-19T00:00:00"/>
    <n v="9"/>
    <s v="Late_Delivery"/>
  </r>
  <r>
    <x v="1"/>
    <s v="Google"/>
    <s v="Pixel 7"/>
    <s v="S1130"/>
    <n v="3"/>
    <n v="68782"/>
    <n v="206346"/>
    <s v="Chennai"/>
    <x v="4"/>
    <n v="14"/>
    <n v="9"/>
    <n v="2024"/>
    <x v="91"/>
    <d v="2024-09-17T00:00:00"/>
    <d v="2024-09-18T00:00:00"/>
    <d v="2024-09-19T00:00:00"/>
    <d v="1899-12-31T00:00:00"/>
    <n v="5"/>
    <s v="In_Time"/>
  </r>
  <r>
    <x v="4"/>
    <s v="ACER"/>
    <s v="Predator Helios"/>
    <s v="S1019"/>
    <n v="2"/>
    <n v="57240"/>
    <n v="114480"/>
    <s v="Visakhapatnam"/>
    <x v="2"/>
    <n v="18"/>
    <n v="5"/>
    <n v="2017"/>
    <x v="92"/>
    <d v="2017-05-20T00:00:00"/>
    <d v="2017-05-23T00:00:00"/>
    <d v="2017-05-25T00:00:00"/>
    <d v="1900-01-16T00:00:00"/>
    <n v="7"/>
    <s v="In_Time"/>
  </r>
  <r>
    <x v="2"/>
    <s v="ACER"/>
    <s v="Predator Helios"/>
    <s v="S1058"/>
    <n v="2"/>
    <n v="63680"/>
    <n v="127360"/>
    <s v="Visakhapatnam"/>
    <x v="2"/>
    <n v="23"/>
    <n v="4"/>
    <n v="2015"/>
    <x v="93"/>
    <d v="2015-04-27T00:00:00"/>
    <d v="2015-04-29T00:00:00"/>
    <d v="2015-04-30T00:00:00"/>
    <d v="1900-01-14T00:00:00"/>
    <n v="7"/>
    <s v="In_Time"/>
  </r>
  <r>
    <x v="1"/>
    <s v="Realme"/>
    <s v="Realme GT Neo3"/>
    <s v="S1107"/>
    <n v="2"/>
    <n v="45254"/>
    <n v="90508"/>
    <s v="Madurai"/>
    <x v="0"/>
    <n v="15"/>
    <n v="8"/>
    <n v="2021"/>
    <x v="94"/>
    <d v="2021-08-16T00:00:00"/>
    <d v="2021-08-18T00:00:00"/>
    <d v="2021-08-22T00:00:00"/>
    <d v="1900-01-06T00:00:00"/>
    <n v="7"/>
    <s v="In_Time"/>
  </r>
  <r>
    <x v="1"/>
    <s v="Realme"/>
    <s v="Realme GT Neo3"/>
    <s v="S1109"/>
    <n v="2"/>
    <n v="50220"/>
    <n v="100440"/>
    <s v="Kochi"/>
    <x v="0"/>
    <n v="18"/>
    <n v="7"/>
    <n v="2024"/>
    <x v="95"/>
    <d v="2024-07-21T00:00:00"/>
    <d v="2024-07-25T00:00:00"/>
    <d v="2024-07-29T00:00:00"/>
    <d v="1900-01-04T00:00:00"/>
    <n v="11"/>
    <s v="Late_Delivery"/>
  </r>
  <r>
    <x v="1"/>
    <s v="Nothing"/>
    <s v="Nothing Phone 2"/>
    <s v="S1112"/>
    <n v="2"/>
    <n v="41980"/>
    <n v="83960"/>
    <s v="Hyderabad"/>
    <x v="0"/>
    <n v="27"/>
    <n v="7"/>
    <n v="2020"/>
    <x v="96"/>
    <d v="2020-07-29T00:00:00"/>
    <d v="2020-07-31T00:00:00"/>
    <d v="2020-08-01T00:00:00"/>
    <d v="1900-01-02T00:00:00"/>
    <n v="5"/>
    <s v="In_Time"/>
  </r>
  <r>
    <x v="2"/>
    <s v="LENOVO"/>
    <s v="IdeaPad Slim 5"/>
    <s v="S1013"/>
    <n v="2"/>
    <n v="85445"/>
    <n v="170890"/>
    <s v="Madurai"/>
    <x v="1"/>
    <n v="2"/>
    <n v="1"/>
    <n v="2024"/>
    <x v="97"/>
    <d v="2024-01-05T00:00:00"/>
    <d v="2024-01-08T00:00:00"/>
    <d v="2024-01-11T00:00:00"/>
    <d v="1900-01-20T00:00:00"/>
    <n v="9"/>
    <s v="Late_Delivery"/>
  </r>
  <r>
    <x v="1"/>
    <s v="Xiaomi"/>
    <s v="Redmi Note 12"/>
    <s v="S1139"/>
    <n v="2"/>
    <n v="69619"/>
    <n v="139238"/>
    <s v="Kochi"/>
    <x v="4"/>
    <n v="19"/>
    <n v="10"/>
    <n v="2023"/>
    <x v="98"/>
    <d v="2023-10-21T00:00:00"/>
    <d v="2023-10-22T00:00:00"/>
    <d v="2023-10-25T00:00:00"/>
    <d v="1900-01-17T00:00:00"/>
    <n v="6"/>
    <s v="In_Time"/>
  </r>
  <r>
    <x v="1"/>
    <s v="Xiaomi"/>
    <s v="Redmi Note 12"/>
    <s v="S1144"/>
    <n v="2"/>
    <n v="33125"/>
    <n v="66250"/>
    <s v="Bangalore"/>
    <x v="4"/>
    <n v="1"/>
    <n v="10"/>
    <n v="2021"/>
    <x v="99"/>
    <d v="2021-10-02T00:00:00"/>
    <d v="2021-10-06T00:00:00"/>
    <d v="2021-10-07T00:00:00"/>
    <d v="1900-01-22T00:00:00"/>
    <n v="6"/>
    <s v="In_Time"/>
  </r>
  <r>
    <x v="1"/>
    <s v="Xiaomi"/>
    <s v="Redmi Note 12"/>
    <s v="S1151"/>
    <n v="2"/>
    <n v="19109"/>
    <n v="38218"/>
    <s v="Coimbatore"/>
    <x v="4"/>
    <n v="17"/>
    <n v="9"/>
    <n v="2025"/>
    <x v="15"/>
    <d v="2025-09-18T00:00:00"/>
    <d v="2025-09-19T00:00:00"/>
    <d v="2025-09-20T00:00:00"/>
    <d v="1900-01-22T00:00:00"/>
    <n v="3"/>
    <s v="In_Time"/>
  </r>
  <r>
    <x v="2"/>
    <s v="ASUS"/>
    <s v="ROG Zephyrus"/>
    <s v="S1029"/>
    <n v="2"/>
    <n v="82353"/>
    <n v="164706"/>
    <s v="Hyderabad"/>
    <x v="3"/>
    <n v="12"/>
    <n v="9"/>
    <n v="2019"/>
    <x v="100"/>
    <d v="2019-09-13T00:00:00"/>
    <d v="2019-09-14T00:00:00"/>
    <d v="2019-09-18T00:00:00"/>
    <d v="1900-01-12T00:00:00"/>
    <n v="6"/>
    <s v="In_Time"/>
  </r>
  <r>
    <x v="2"/>
    <s v="LENOVO"/>
    <s v="ThinkPad E14"/>
    <s v="S1030"/>
    <n v="2"/>
    <n v="65285"/>
    <n v="130570"/>
    <s v="Chennai"/>
    <x v="1"/>
    <n v="2"/>
    <n v="10"/>
    <n v="2020"/>
    <x v="101"/>
    <d v="2020-10-06T00:00:00"/>
    <d v="2020-10-08T00:00:00"/>
    <d v="2020-10-11T00:00:00"/>
    <d v="1899-12-31T00:00:00"/>
    <n v="9"/>
    <s v="Late_Delivery"/>
  </r>
  <r>
    <x v="2"/>
    <s v="LENOVO"/>
    <s v="ThinkPad E14"/>
    <s v="S1035"/>
    <n v="2"/>
    <n v="68107"/>
    <n v="136214"/>
    <s v="Hyderabad"/>
    <x v="3"/>
    <n v="4"/>
    <n v="7"/>
    <n v="2019"/>
    <x v="102"/>
    <d v="2019-07-05T00:00:00"/>
    <d v="2019-07-07T00:00:00"/>
    <d v="2019-07-09T00:00:00"/>
    <d v="1900-01-02T00:00:00"/>
    <n v="5"/>
    <s v="In_Time"/>
  </r>
  <r>
    <x v="2"/>
    <s v="ASUS"/>
    <s v="ROG Zephyrus"/>
    <s v="S1048"/>
    <n v="2"/>
    <n v="105836"/>
    <n v="211672"/>
    <s v="Visakhapatnam"/>
    <x v="2"/>
    <n v="23"/>
    <n v="11"/>
    <n v="2020"/>
    <x v="103"/>
    <d v="2020-11-27T00:00:00"/>
    <d v="2020-11-30T00:00:00"/>
    <d v="2020-12-03T00:00:00"/>
    <d v="1900-01-15T00:00:00"/>
    <n v="10"/>
    <s v="Late_Delivery"/>
  </r>
  <r>
    <x v="1"/>
    <s v="Oppo"/>
    <s v="Oppo Reno 10"/>
    <s v="S1121"/>
    <n v="2"/>
    <n v="82795"/>
    <n v="165590"/>
    <s v="Bangalore"/>
    <x v="3"/>
    <n v="12"/>
    <n v="5"/>
    <n v="2023"/>
    <x v="104"/>
    <d v="2023-05-16T00:00:00"/>
    <d v="2023-05-20T00:00:00"/>
    <d v="2023-05-23T00:00:00"/>
    <d v="1900-01-11T00:00:00"/>
    <n v="11"/>
    <s v="Late_Delivery"/>
  </r>
  <r>
    <x v="2"/>
    <s v="HP"/>
    <s v="Pavilion 14"/>
    <s v="S1005"/>
    <n v="2"/>
    <n v="100311"/>
    <n v="200622"/>
    <s v="Visakhapatnam"/>
    <x v="2"/>
    <n v="30"/>
    <n v="12"/>
    <n v="2015"/>
    <x v="105"/>
    <d v="2015-12-31T00:00:00"/>
    <d v="2016-01-03T00:00:00"/>
    <d v="2016-01-04T00:00:00"/>
    <d v="1900-01-19T00:00:00"/>
    <n v="5"/>
    <s v="In_Time"/>
  </r>
  <r>
    <x v="2"/>
    <s v="ASUS"/>
    <s v="Vivobook 15"/>
    <s v="S1015"/>
    <n v="2"/>
    <n v="72979"/>
    <n v="145958"/>
    <s v="Visakhapatnam"/>
    <x v="2"/>
    <n v="6"/>
    <n v="6"/>
    <n v="2024"/>
    <x v="106"/>
    <d v="2024-06-08T00:00:00"/>
    <d v="2024-06-11T00:00:00"/>
    <d v="2024-06-15T00:00:00"/>
    <d v="1900-01-01T00:00:00"/>
    <n v="9"/>
    <s v="Late_Delivery"/>
  </r>
  <r>
    <x v="2"/>
    <s v="ASUS"/>
    <s v="Vivobook 15"/>
    <s v="S1028"/>
    <n v="2"/>
    <n v="108534"/>
    <n v="217068"/>
    <s v="Vijayawada"/>
    <x v="2"/>
    <n v="29"/>
    <n v="7"/>
    <n v="2020"/>
    <x v="107"/>
    <d v="2020-07-31T00:00:00"/>
    <d v="2020-08-04T00:00:00"/>
    <d v="2020-08-05T00:00:00"/>
    <d v="1900-01-01T00:00:00"/>
    <n v="7"/>
    <s v="In_Time"/>
  </r>
  <r>
    <x v="2"/>
    <s v="HP"/>
    <s v="Pavilion 14"/>
    <s v="S1033"/>
    <n v="2"/>
    <n v="102302"/>
    <n v="204604"/>
    <s v="Chennai"/>
    <x v="1"/>
    <n v="9"/>
    <n v="12"/>
    <n v="2017"/>
    <x v="108"/>
    <d v="2017-12-13T00:00:00"/>
    <d v="2017-12-17T00:00:00"/>
    <d v="2017-12-21T00:00:00"/>
    <d v="1900-01-11T00:00:00"/>
    <n v="12"/>
    <s v="Late_Delivery"/>
  </r>
  <r>
    <x v="2"/>
    <s v="ASUS"/>
    <s v="Vivobook 15"/>
    <s v="S1077"/>
    <n v="2"/>
    <n v="95160"/>
    <n v="190320"/>
    <s v="Bangalore"/>
    <x v="4"/>
    <n v="6"/>
    <n v="2"/>
    <n v="2021"/>
    <x v="109"/>
    <d v="2021-02-07T00:00:00"/>
    <d v="2021-02-08T00:00:00"/>
    <d v="2021-02-10T00:00:00"/>
    <d v="1900-01-02T00:00:00"/>
    <n v="4"/>
    <s v="In_Time"/>
  </r>
  <r>
    <x v="1"/>
    <s v="OnePlus"/>
    <s v="OnePlus 11"/>
    <s v="S1111"/>
    <n v="2"/>
    <n v="47995"/>
    <n v="95990"/>
    <s v="Kochi"/>
    <x v="4"/>
    <n v="25"/>
    <n v="12"/>
    <n v="2016"/>
    <x v="110"/>
    <d v="2016-12-27T00:00:00"/>
    <d v="2016-12-28T00:00:00"/>
    <d v="2016-12-29T00:00:00"/>
    <d v="1899-12-31T00:00:00"/>
    <n v="4"/>
    <s v="In_Time"/>
  </r>
  <r>
    <x v="1"/>
    <s v="OnePlus"/>
    <s v="OnePlus 11"/>
    <s v="S1133"/>
    <n v="2"/>
    <n v="47277"/>
    <n v="94554"/>
    <s v="Hyderabad"/>
    <x v="4"/>
    <n v="11"/>
    <n v="5"/>
    <n v="2022"/>
    <x v="111"/>
    <d v="2022-05-14T00:00:00"/>
    <d v="2022-05-16T00:00:00"/>
    <d v="2022-05-19T00:00:00"/>
    <d v="1900-01-10T00:00:00"/>
    <n v="8"/>
    <s v="Late_Delivery"/>
  </r>
  <r>
    <x v="2"/>
    <s v="MSI"/>
    <s v="GF63 Thin"/>
    <s v="S1026"/>
    <n v="2"/>
    <n v="77624"/>
    <n v="155248"/>
    <s v="Chennai"/>
    <x v="1"/>
    <n v="6"/>
    <n v="9"/>
    <n v="2020"/>
    <x v="112"/>
    <d v="2020-09-08T00:00:00"/>
    <d v="2020-09-12T00:00:00"/>
    <d v="2020-09-16T00:00:00"/>
    <d v="1900-01-19T00:00:00"/>
    <n v="10"/>
    <s v="Late_Delivery"/>
  </r>
  <r>
    <x v="2"/>
    <s v="MSI"/>
    <s v="GF63 Thin"/>
    <s v="S1069"/>
    <n v="2"/>
    <n v="102776"/>
    <n v="205552"/>
    <s v="Trivandrum"/>
    <x v="0"/>
    <n v="16"/>
    <n v="4"/>
    <n v="2022"/>
    <x v="113"/>
    <d v="2022-04-18T00:00:00"/>
    <d v="2022-04-21T00:00:00"/>
    <d v="2022-04-24T00:00:00"/>
    <d v="1900-01-14T00:00:00"/>
    <n v="8"/>
    <s v="Late_Delivery"/>
  </r>
  <r>
    <x v="2"/>
    <s v="MSI"/>
    <s v="Modern 14"/>
    <s v="S1081"/>
    <n v="2"/>
    <n v="110876"/>
    <n v="221752"/>
    <s v="Trivandrum"/>
    <x v="0"/>
    <n v="16"/>
    <n v="5"/>
    <n v="2023"/>
    <x v="114"/>
    <d v="2023-05-17T00:00:00"/>
    <d v="2023-05-20T00:00:00"/>
    <d v="2023-05-23T00:00:00"/>
    <d v="1900-01-22T00:00:00"/>
    <n v="7"/>
    <s v="In_Time"/>
  </r>
  <r>
    <x v="1"/>
    <s v="Apple"/>
    <s v="iPhone 14"/>
    <s v="S1105"/>
    <n v="2"/>
    <n v="89091"/>
    <n v="178182"/>
    <s v="Kochi"/>
    <x v="4"/>
    <n v="12"/>
    <n v="5"/>
    <n v="2023"/>
    <x v="104"/>
    <d v="2023-05-14T00:00:00"/>
    <d v="2023-05-18T00:00:00"/>
    <d v="2023-05-19T00:00:00"/>
    <d v="1900-01-21T00:00:00"/>
    <n v="7"/>
    <s v="In_Time"/>
  </r>
  <r>
    <x v="1"/>
    <s v="Apple"/>
    <s v="iPhone 14"/>
    <s v="S1129"/>
    <n v="2"/>
    <n v="43797"/>
    <n v="87594"/>
    <s v="Madurai"/>
    <x v="4"/>
    <n v="26"/>
    <n v="11"/>
    <n v="2023"/>
    <x v="115"/>
    <d v="2023-11-30T00:00:00"/>
    <d v="2023-12-04T00:00:00"/>
    <d v="2023-12-06T00:00:00"/>
    <d v="1900-01-21T00:00:00"/>
    <n v="10"/>
    <s v="Late_Delivery"/>
  </r>
  <r>
    <x v="1"/>
    <s v="Apple"/>
    <s v="iPhone 14"/>
    <s v="S1148"/>
    <n v="2"/>
    <n v="81376"/>
    <n v="162752"/>
    <s v="Bangalore"/>
    <x v="0"/>
    <n v="20"/>
    <n v="7"/>
    <n v="2023"/>
    <x v="116"/>
    <d v="2023-07-24T00:00:00"/>
    <d v="2023-07-26T00:00:00"/>
    <d v="2023-07-30T00:00:00"/>
    <d v="1900-01-03T00:00:00"/>
    <n v="10"/>
    <s v="Late_Delivery"/>
  </r>
  <r>
    <x v="2"/>
    <s v="ACER"/>
    <s v="Aspire 5"/>
    <s v="S1023"/>
    <n v="2"/>
    <n v="56557"/>
    <n v="113114"/>
    <s v="Vijayawada"/>
    <x v="2"/>
    <n v="30"/>
    <n v="5"/>
    <n v="2022"/>
    <x v="117"/>
    <d v="2022-05-31T00:00:00"/>
    <d v="2022-06-02T00:00:00"/>
    <d v="2022-06-06T00:00:00"/>
    <d v="1900-01-17T00:00:00"/>
    <n v="7"/>
    <s v="In_Time"/>
  </r>
  <r>
    <x v="2"/>
    <s v="ACER"/>
    <s v="Aspire 5"/>
    <s v="S1047"/>
    <n v="2"/>
    <n v="79084"/>
    <n v="158168"/>
    <s v="Vijayawada"/>
    <x v="2"/>
    <n v="26"/>
    <n v="10"/>
    <n v="2017"/>
    <x v="118"/>
    <d v="2017-10-28T00:00:00"/>
    <d v="2017-11-01T00:00:00"/>
    <d v="2017-11-04T00:00:00"/>
    <d v="1900-01-10T00:00:00"/>
    <n v="9"/>
    <s v="Late_Delivery"/>
  </r>
  <r>
    <x v="2"/>
    <s v="ACER"/>
    <s v="Aspire 5"/>
    <s v="S1059"/>
    <n v="2"/>
    <n v="97934"/>
    <n v="195868"/>
    <s v="Hyderabad"/>
    <x v="3"/>
    <n v="7"/>
    <n v="4"/>
    <n v="2020"/>
    <x v="119"/>
    <d v="2020-04-09T00:00:00"/>
    <d v="2020-04-12T00:00:00"/>
    <d v="2020-04-16T00:00:00"/>
    <d v="1900-01-06T00:00:00"/>
    <n v="9"/>
    <s v="Late_Delivery"/>
  </r>
  <r>
    <x v="1"/>
    <s v="Vivo"/>
    <s v="Vivo V27"/>
    <s v="S1102"/>
    <n v="2"/>
    <n v="66123"/>
    <n v="132246"/>
    <s v="Chennai"/>
    <x v="1"/>
    <n v="6"/>
    <n v="4"/>
    <n v="2018"/>
    <x v="120"/>
    <d v="2018-04-08T00:00:00"/>
    <d v="2018-04-11T00:00:00"/>
    <d v="2018-04-12T00:00:00"/>
    <d v="1900-01-17T00:00:00"/>
    <n v="6"/>
    <s v="In_Time"/>
  </r>
  <r>
    <x v="1"/>
    <s v="Vivo"/>
    <s v="Vivo V27"/>
    <s v="S1116"/>
    <n v="2"/>
    <n v="39135"/>
    <n v="78270"/>
    <s v="Madurai"/>
    <x v="4"/>
    <n v="3"/>
    <n v="12"/>
    <n v="2025"/>
    <x v="121"/>
    <d v="2025-12-05T00:00:00"/>
    <d v="2025-12-08T00:00:00"/>
    <d v="2025-12-09T00:00:00"/>
    <d v="1900-01-12T00:00:00"/>
    <n v="6"/>
    <s v="In_Time"/>
  </r>
  <r>
    <x v="1"/>
    <s v="Vivo"/>
    <s v="Vivo V27"/>
    <s v="S1156"/>
    <n v="2"/>
    <n v="62646"/>
    <n v="125292"/>
    <s v="Bangalore"/>
    <x v="4"/>
    <n v="14"/>
    <n v="9"/>
    <n v="2019"/>
    <x v="122"/>
    <d v="2019-09-18T00:00:00"/>
    <d v="2019-09-19T00:00:00"/>
    <d v="2019-09-23T00:00:00"/>
    <d v="1900-01-17T00:00:00"/>
    <n v="9"/>
    <s v="Late_Delivery"/>
  </r>
  <r>
    <x v="2"/>
    <s v="HP"/>
    <s v="Omen 16"/>
    <s v="S1070"/>
    <n v="2"/>
    <n v="89014"/>
    <n v="178028"/>
    <s v="Hyderabad"/>
    <x v="3"/>
    <n v="12"/>
    <n v="4"/>
    <n v="2023"/>
    <x v="123"/>
    <d v="2023-04-13T00:00:00"/>
    <d v="2023-04-16T00:00:00"/>
    <d v="2023-04-20T00:00:00"/>
    <d v="1900-01-03T00:00:00"/>
    <n v="8"/>
    <s v="Late_Delivery"/>
  </r>
  <r>
    <x v="2"/>
    <s v="ACER"/>
    <s v="Predator Helios"/>
    <s v="S1095"/>
    <n v="1"/>
    <n v="67281"/>
    <n v="67281"/>
    <s v="Kochi"/>
    <x v="0"/>
    <n v="8"/>
    <n v="7"/>
    <n v="2020"/>
    <x v="124"/>
    <d v="2020-07-11T00:00:00"/>
    <d v="2020-07-12T00:00:00"/>
    <d v="2020-07-15T00:00:00"/>
    <d v="1900-01-21T00:00:00"/>
    <n v="7"/>
    <s v="In_Time"/>
  </r>
  <r>
    <x v="1"/>
    <s v="Nothing"/>
    <s v="Nothing Phone 2"/>
    <s v="S1101"/>
    <n v="1"/>
    <n v="15624"/>
    <n v="15624"/>
    <s v="Coimbatore"/>
    <x v="3"/>
    <n v="23"/>
    <n v="5"/>
    <n v="2015"/>
    <x v="125"/>
    <d v="2015-05-26T00:00:00"/>
    <d v="2015-05-27T00:00:00"/>
    <d v="2015-05-28T00:00:00"/>
    <d v="1900-01-19T00:00:00"/>
    <n v="5"/>
    <s v="In_Time"/>
  </r>
  <r>
    <x v="1"/>
    <s v="Realme"/>
    <s v="Realme GT Neo3"/>
    <s v="S1117"/>
    <n v="1"/>
    <n v="78139"/>
    <n v="78139"/>
    <s v="Bangalore"/>
    <x v="0"/>
    <n v="29"/>
    <n v="8"/>
    <n v="2019"/>
    <x v="126"/>
    <d v="2019-08-30T00:00:00"/>
    <d v="2019-09-03T00:00:00"/>
    <d v="2019-09-05T00:00:00"/>
    <d v="1900-01-09T00:00:00"/>
    <n v="7"/>
    <s v="In_Time"/>
  </r>
  <r>
    <x v="1"/>
    <s v="Nothing"/>
    <s v="Nothing Phone 2"/>
    <s v="S1135"/>
    <n v="1"/>
    <n v="62355"/>
    <n v="62355"/>
    <s v="Kochi"/>
    <x v="3"/>
    <n v="9"/>
    <n v="1"/>
    <n v="2024"/>
    <x v="127"/>
    <d v="2024-01-12T00:00:00"/>
    <d v="2024-01-15T00:00:00"/>
    <d v="2024-01-17T00:00:00"/>
    <d v="1900-01-13T00:00:00"/>
    <n v="8"/>
    <s v="Late_Delivery"/>
  </r>
  <r>
    <x v="1"/>
    <s v="Nothing"/>
    <s v="Nothing Phone 2"/>
    <s v="S1138"/>
    <n v="1"/>
    <n v="67121"/>
    <n v="67121"/>
    <s v="Hyderabad"/>
    <x v="1"/>
    <n v="29"/>
    <n v="11"/>
    <n v="2016"/>
    <x v="128"/>
    <d v="2016-12-02T00:00:00"/>
    <d v="2016-12-04T00:00:00"/>
    <d v="2016-12-05T00:00:00"/>
    <d v="1900-01-20T00:00:00"/>
    <n v="6"/>
    <s v="In_Time"/>
  </r>
  <r>
    <x v="2"/>
    <s v="LENOVO"/>
    <s v="IdeaPad Slim 5"/>
    <s v="S1080"/>
    <n v="1"/>
    <n v="56224"/>
    <n v="56224"/>
    <s v="Trivandrum"/>
    <x v="0"/>
    <n v="17"/>
    <n v="5"/>
    <n v="2019"/>
    <x v="129"/>
    <d v="2019-05-21T00:00:00"/>
    <d v="2019-05-24T00:00:00"/>
    <d v="2019-05-27T00:00:00"/>
    <d v="1900-01-16T00:00:00"/>
    <n v="10"/>
    <s v="Late_Delivery"/>
  </r>
  <r>
    <x v="1"/>
    <s v="Xiaomi"/>
    <s v="Redmi Note 12"/>
    <s v="S1154"/>
    <n v="1"/>
    <n v="88989"/>
    <n v="88989"/>
    <s v="Coimbatore"/>
    <x v="0"/>
    <n v="25"/>
    <n v="1"/>
    <n v="2023"/>
    <x v="39"/>
    <d v="2023-01-29T00:00:00"/>
    <d v="2023-02-02T00:00:00"/>
    <d v="2023-02-05T00:00:00"/>
    <d v="1900-01-18T00:00:00"/>
    <n v="11"/>
    <s v="Late_Delivery"/>
  </r>
  <r>
    <x v="2"/>
    <s v="ASUS"/>
    <s v="ROG Zephyrus"/>
    <s v="S1099"/>
    <n v="1"/>
    <n v="114507"/>
    <n v="114507"/>
    <s v="Visakhapatnam"/>
    <x v="2"/>
    <n v="23"/>
    <n v="12"/>
    <n v="2017"/>
    <x v="130"/>
    <d v="2017-12-27T00:00:00"/>
    <d v="2017-12-28T00:00:00"/>
    <d v="2017-12-29T00:00:00"/>
    <d v="1900-01-16T00:00:00"/>
    <n v="6"/>
    <s v="In_Time"/>
  </r>
  <r>
    <x v="2"/>
    <s v="LENOVO"/>
    <s v="ThinkPad E14"/>
    <s v="S1100"/>
    <n v="1"/>
    <n v="105811"/>
    <n v="105811"/>
    <s v="Coimbatore"/>
    <x v="1"/>
    <n v="2"/>
    <n v="5"/>
    <n v="2021"/>
    <x v="131"/>
    <d v="2021-05-05T00:00:00"/>
    <d v="2021-05-09T00:00:00"/>
    <d v="2021-05-11T00:00:00"/>
    <d v="1900-01-02T00:00:00"/>
    <n v="9"/>
    <s v="Late_Delivery"/>
  </r>
  <r>
    <x v="1"/>
    <s v="Motorola"/>
    <s v="Moto Edge 40"/>
    <s v="S1126"/>
    <n v="1"/>
    <n v="42564"/>
    <n v="42564"/>
    <s v="Chennai"/>
    <x v="3"/>
    <n v="1"/>
    <n v="12"/>
    <n v="2023"/>
    <x v="132"/>
    <d v="2023-12-04T00:00:00"/>
    <d v="2023-12-08T00:00:00"/>
    <d v="2023-12-10T00:00:00"/>
    <d v="1900-01-03T00:00:00"/>
    <n v="9"/>
    <s v="Late_Delivery"/>
  </r>
  <r>
    <x v="1"/>
    <s v="Oppo"/>
    <s v="Oppo Reno 10"/>
    <s v="S1134"/>
    <n v="1"/>
    <n v="17461"/>
    <n v="17461"/>
    <s v="Madurai"/>
    <x v="3"/>
    <n v="21"/>
    <n v="11"/>
    <n v="2019"/>
    <x v="133"/>
    <d v="2019-11-24T00:00:00"/>
    <d v="2019-11-25T00:00:00"/>
    <d v="2019-11-29T00:00:00"/>
    <d v="1900-01-02T00:00:00"/>
    <n v="8"/>
    <s v="Late_Delivery"/>
  </r>
  <r>
    <x v="1"/>
    <s v="Motorola"/>
    <s v="Moto Edge 40"/>
    <s v="S1147"/>
    <n v="1"/>
    <n v="26059"/>
    <n v="26059"/>
    <s v="Madurai"/>
    <x v="0"/>
    <n v="23"/>
    <n v="8"/>
    <n v="2019"/>
    <x v="134"/>
    <d v="2019-08-26T00:00:00"/>
    <d v="2019-08-30T00:00:00"/>
    <d v="2019-09-01T00:00:00"/>
    <d v="1900-01-03T00:00:00"/>
    <n v="9"/>
    <s v="Late_Delivery"/>
  </r>
  <r>
    <x v="1"/>
    <s v="Motorola"/>
    <s v="Moto Edge 40"/>
    <s v="S1158"/>
    <n v="1"/>
    <n v="27872"/>
    <n v="27872"/>
    <s v="Chennai"/>
    <x v="3"/>
    <n v="14"/>
    <n v="5"/>
    <n v="2020"/>
    <x v="135"/>
    <d v="2020-05-17T00:00:00"/>
    <d v="2020-05-19T00:00:00"/>
    <d v="2020-05-22T00:00:00"/>
    <d v="1900-01-20T00:00:00"/>
    <n v="8"/>
    <s v="Late_Delivery"/>
  </r>
  <r>
    <x v="2"/>
    <s v="DELL"/>
    <s v="Inspiron 15"/>
    <s v="S1017"/>
    <n v="1"/>
    <n v="73160"/>
    <n v="73160"/>
    <s v="Trivandrum"/>
    <x v="0"/>
    <n v="7"/>
    <n v="5"/>
    <n v="2021"/>
    <x v="136"/>
    <d v="2021-05-08T00:00:00"/>
    <d v="2021-05-09T00:00:00"/>
    <d v="2021-05-10T00:00:00"/>
    <d v="1900-01-11T00:00:00"/>
    <n v="3"/>
    <s v="In_Time"/>
  </r>
  <r>
    <x v="2"/>
    <s v="HP"/>
    <s v="Pavilion 14"/>
    <s v="S1036"/>
    <n v="1"/>
    <n v="81879"/>
    <n v="81879"/>
    <s v="Vijayawada"/>
    <x v="2"/>
    <n v="10"/>
    <n v="4"/>
    <n v="2017"/>
    <x v="137"/>
    <d v="2017-04-13T00:00:00"/>
    <d v="2017-04-16T00:00:00"/>
    <d v="2017-04-19T00:00:00"/>
    <d v="1900-01-17T00:00:00"/>
    <n v="9"/>
    <s v="Late_Delivery"/>
  </r>
  <r>
    <x v="2"/>
    <s v="HP"/>
    <s v="Pavilion 14"/>
    <s v="S1088"/>
    <n v="1"/>
    <n v="77223"/>
    <n v="77223"/>
    <s v="Mysore"/>
    <x v="4"/>
    <n v="20"/>
    <n v="2"/>
    <n v="2017"/>
    <x v="138"/>
    <d v="2017-02-21T00:00:00"/>
    <d v="2017-02-24T00:00:00"/>
    <d v="2017-02-27T00:00:00"/>
    <d v="1899-12-31T00:00:00"/>
    <n v="7"/>
    <s v="In_Time"/>
  </r>
  <r>
    <x v="2"/>
    <s v="ASUS"/>
    <s v="Vivobook 15"/>
    <s v="S1094"/>
    <n v="1"/>
    <n v="52724"/>
    <n v="52724"/>
    <s v="Madurai"/>
    <x v="1"/>
    <n v="14"/>
    <n v="5"/>
    <n v="2020"/>
    <x v="135"/>
    <d v="2020-05-17T00:00:00"/>
    <d v="2020-05-21T00:00:00"/>
    <d v="2020-05-22T00:00:00"/>
    <d v="1900-01-08T00:00:00"/>
    <n v="8"/>
    <s v="Late_Delivery"/>
  </r>
  <r>
    <x v="1"/>
    <s v="Samsung"/>
    <s v="Galaxy S23"/>
    <s v="S1145"/>
    <n v="1"/>
    <n v="51361"/>
    <n v="51361"/>
    <s v="Bangalore"/>
    <x v="3"/>
    <n v="2"/>
    <n v="4"/>
    <n v="2025"/>
    <x v="139"/>
    <d v="2025-04-06T00:00:00"/>
    <d v="2025-04-08T00:00:00"/>
    <d v="2025-04-10T00:00:00"/>
    <d v="1900-01-18T00:00:00"/>
    <n v="8"/>
    <s v="Late_Delivery"/>
  </r>
  <r>
    <x v="1"/>
    <s v="Samsung"/>
    <s v="Galaxy S23"/>
    <s v="S1153"/>
    <n v="1"/>
    <n v="68987"/>
    <n v="68987"/>
    <s v="Hyderabad"/>
    <x v="0"/>
    <n v="22"/>
    <n v="1"/>
    <n v="2023"/>
    <x v="140"/>
    <d v="2023-01-26T00:00:00"/>
    <d v="2023-01-30T00:00:00"/>
    <d v="2023-02-02T00:00:00"/>
    <d v="1900-01-09T00:00:00"/>
    <n v="11"/>
    <s v="Late_Delivery"/>
  </r>
  <r>
    <x v="2"/>
    <s v="MSI"/>
    <s v="GF63 Thin"/>
    <s v="S1022"/>
    <n v="1"/>
    <n v="57087"/>
    <n v="57087"/>
    <s v="Vijayawada"/>
    <x v="2"/>
    <n v="22"/>
    <n v="3"/>
    <n v="2017"/>
    <x v="141"/>
    <d v="2017-03-26T00:00:00"/>
    <d v="2017-03-30T00:00:00"/>
    <d v="2017-03-31T00:00:00"/>
    <d v="1900-01-06T00:00:00"/>
    <n v="9"/>
    <s v="Late_Delivery"/>
  </r>
  <r>
    <x v="2"/>
    <s v="MSI"/>
    <s v="GF63 Thin"/>
    <s v="S1041"/>
    <n v="1"/>
    <n v="94011"/>
    <n v="94011"/>
    <s v="Coimbatore"/>
    <x v="1"/>
    <n v="12"/>
    <n v="9"/>
    <n v="2019"/>
    <x v="100"/>
    <d v="2019-09-14T00:00:00"/>
    <d v="2019-09-18T00:00:00"/>
    <d v="2019-09-21T00:00:00"/>
    <d v="1900-01-04T00:00:00"/>
    <n v="9"/>
    <s v="Late_Delivery"/>
  </r>
  <r>
    <x v="2"/>
    <s v="MSI"/>
    <s v="Modern 14"/>
    <s v="S1054"/>
    <n v="1"/>
    <n v="113879"/>
    <n v="113879"/>
    <s v="Coimbatore"/>
    <x v="1"/>
    <n v="24"/>
    <n v="7"/>
    <n v="2016"/>
    <x v="142"/>
    <d v="2016-07-26T00:00:00"/>
    <d v="2016-07-27T00:00:00"/>
    <d v="2016-07-29T00:00:00"/>
    <d v="1900-01-18T00:00:00"/>
    <n v="5"/>
    <s v="In_Time"/>
  </r>
  <r>
    <x v="2"/>
    <s v="MSI"/>
    <s v="GF63 Thin"/>
    <s v="S1078"/>
    <n v="1"/>
    <n v="45868"/>
    <n v="45868"/>
    <s v="Coimbatore"/>
    <x v="1"/>
    <n v="29"/>
    <n v="4"/>
    <n v="2025"/>
    <x v="143"/>
    <d v="2025-05-03T00:00:00"/>
    <d v="2025-05-05T00:00:00"/>
    <d v="2025-05-06T00:00:00"/>
    <d v="1900-01-09T00:00:00"/>
    <n v="7"/>
    <s v="In_Time"/>
  </r>
  <r>
    <x v="2"/>
    <s v="MSI"/>
    <s v="GF63 Thin"/>
    <s v="S1096"/>
    <n v="1"/>
    <n v="47082"/>
    <n v="47082"/>
    <s v="Chennai"/>
    <x v="1"/>
    <n v="14"/>
    <n v="11"/>
    <n v="2024"/>
    <x v="144"/>
    <d v="2024-11-17T00:00:00"/>
    <d v="2024-11-20T00:00:00"/>
    <d v="2024-11-22T00:00:00"/>
    <d v="1900-01-06T00:00:00"/>
    <n v="8"/>
    <s v="Late_Delivery"/>
  </r>
  <r>
    <x v="1"/>
    <s v="Apple"/>
    <s v="iPhone 14"/>
    <s v="S1137"/>
    <n v="1"/>
    <n v="32893"/>
    <n v="32893"/>
    <s v="Bangalore"/>
    <x v="1"/>
    <n v="12"/>
    <n v="7"/>
    <n v="2025"/>
    <x v="145"/>
    <d v="2025-07-14T00:00:00"/>
    <d v="2025-07-17T00:00:00"/>
    <d v="2025-07-21T00:00:00"/>
    <d v="1900-01-01T00:00:00"/>
    <n v="9"/>
    <s v="Late_Delivery"/>
  </r>
  <r>
    <x v="1"/>
    <s v="Vivo"/>
    <s v="Vivo V27"/>
    <s v="S1136"/>
    <n v="1"/>
    <n v="31273"/>
    <n v="31273"/>
    <s v="Kochi"/>
    <x v="1"/>
    <n v="26"/>
    <n v="5"/>
    <n v="2023"/>
    <x v="146"/>
    <d v="2023-05-28T00:00:00"/>
    <d v="2023-05-30T00:00:00"/>
    <d v="2023-06-01T00:00:00"/>
    <d v="1900-01-22T00:00:00"/>
    <n v="6"/>
    <s v="In_Time"/>
  </r>
  <r>
    <x v="1"/>
    <s v="Vivo"/>
    <s v="Vivo V27"/>
    <s v="S1140"/>
    <n v="1"/>
    <n v="69307"/>
    <n v="69307"/>
    <s v="Madurai"/>
    <x v="1"/>
    <n v="13"/>
    <n v="12"/>
    <n v="2022"/>
    <x v="147"/>
    <d v="2022-12-14T00:00:00"/>
    <d v="2022-12-18T00:00:00"/>
    <d v="2022-12-19T00:00:00"/>
    <d v="1900-01-15T00:00:00"/>
    <n v="6"/>
    <s v="In_Time"/>
  </r>
  <r>
    <x v="2"/>
    <s v="HP"/>
    <s v="Omen 16"/>
    <s v="S1003"/>
    <n v="1"/>
    <n v="88403"/>
    <n v="88403"/>
    <s v="Madurai"/>
    <x v="1"/>
    <n v="12"/>
    <n v="2"/>
    <n v="2020"/>
    <x v="148"/>
    <d v="2020-02-13T00:00:00"/>
    <d v="2020-02-15T00:00:00"/>
    <d v="2020-02-19T00:00:00"/>
    <d v="1900-01-21T00:00:00"/>
    <n v="7"/>
    <s v="In_Time"/>
  </r>
  <r>
    <x v="2"/>
    <s v="HP"/>
    <s v="Omen 16"/>
    <s v="S1043"/>
    <n v="1"/>
    <n v="72235"/>
    <n v="72235"/>
    <s v="Mysore"/>
    <x v="4"/>
    <n v="27"/>
    <n v="3"/>
    <n v="2024"/>
    <x v="149"/>
    <d v="2024-03-31T00:00:00"/>
    <d v="2024-04-01T00:00:00"/>
    <d v="2024-04-05T00:00:00"/>
    <d v="1900-01-22T00:00:00"/>
    <n v="9"/>
    <s v="Late_Delivery"/>
  </r>
  <r>
    <x v="2"/>
    <s v="HP"/>
    <s v="Omen 16"/>
    <s v="S1089"/>
    <n v="1"/>
    <n v="61574"/>
    <n v="61574"/>
    <s v="Madurai"/>
    <x v="1"/>
    <n v="2"/>
    <n v="6"/>
    <n v="2024"/>
    <x v="150"/>
    <d v="2024-06-06T00:00:00"/>
    <d v="2024-06-09T00:00:00"/>
    <d v="2024-06-12T00:00:00"/>
    <d v="1900-01-16T00:00:00"/>
    <n v="10"/>
    <s v="Late_Delivery"/>
  </r>
  <r>
    <x v="1"/>
    <s v="Google"/>
    <s v="Pixel 7"/>
    <s v="S1120"/>
    <n v="1"/>
    <n v="57884"/>
    <n v="57884"/>
    <s v="Madurai"/>
    <x v="4"/>
    <n v="16"/>
    <n v="7"/>
    <n v="2025"/>
    <x v="151"/>
    <d v="2025-07-18T00:00:00"/>
    <d v="2025-07-20T00:00:00"/>
    <d v="2025-07-23T00:00:00"/>
    <d v="1900-01-08T00:00:00"/>
    <n v="7"/>
    <s v="In_Time"/>
  </r>
  <r>
    <x v="2"/>
    <s v="DELL"/>
    <s v="XPS 13"/>
    <s v="S1020"/>
    <n v="1"/>
    <n v="119905"/>
    <n v="119905"/>
    <s v="Hyderabad"/>
    <x v="3"/>
    <n v="21"/>
    <n v="1"/>
    <n v="2017"/>
    <x v="152"/>
    <d v="2017-01-25T00:00:00"/>
    <d v="2017-01-28T00:00:00"/>
    <d v="2017-01-29T00:00:00"/>
    <d v="1900-01-01T00:00:00"/>
    <n v="8"/>
    <s v="Late_Delivery"/>
  </r>
  <r>
    <x v="2"/>
    <s v="DELL"/>
    <s v="XPS 13"/>
    <s v="S1050"/>
    <n v="1"/>
    <n v="100493"/>
    <n v="100493"/>
    <s v="Vijayawada"/>
    <x v="2"/>
    <n v="6"/>
    <n v="2"/>
    <n v="2019"/>
    <x v="153"/>
    <d v="2019-02-08T00:00:00"/>
    <d v="2019-02-11T00:00:00"/>
    <d v="2019-02-13T00:00:00"/>
    <d v="1900-01-10T00:00:00"/>
    <n v="7"/>
    <s v="In_Time"/>
  </r>
  <r>
    <x v="2"/>
    <s v="DELL"/>
    <s v="XPS 13"/>
    <s v="S1071"/>
    <n v="1"/>
    <n v="84305"/>
    <n v="84305"/>
    <s v="Vijayawada"/>
    <x v="2"/>
    <n v="12"/>
    <n v="7"/>
    <n v="2024"/>
    <x v="154"/>
    <d v="2024-07-14T00:00:00"/>
    <d v="2024-07-18T00:00:00"/>
    <d v="2024-07-22T00:00:00"/>
    <d v="1900-01-09T00:00:00"/>
    <n v="10"/>
    <s v="Late_Delivery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96707E-6BE5-425D-BC2C-DBC78ED3FFA8}" name="STATE_REVENUE" cacheId="68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9" firstHeaderRow="1" firstDataRow="1" firstDataCol="1"/>
  <pivotFields count="19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axis="axisRow" compact="0" outline="0" showAll="0">
      <items count="6">
        <item x="2"/>
        <item x="4"/>
        <item x="0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numFmtId="14" outline="0" showAll="0"/>
    <pivotField compact="0" numFmtId="14" outline="0" showAll="0"/>
    <pivotField compact="0" numFmtId="14" outline="0" showAll="0"/>
    <pivotField compact="0" numFmtId="14" outline="0" showAll="0"/>
    <pivotField compact="0" numFmtId="14" outline="0" showAll="0"/>
    <pivotField compact="0" outline="0" showAll="0"/>
    <pivotField compact="0" outline="0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Reven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C7AA2D-868D-4B2E-8FAB-2A6435508897}" name="Quantity" cacheId="68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9" firstHeaderRow="1" firstDataRow="1" firstDataCol="1"/>
  <pivotFields count="19">
    <pivotField axis="axisRow" compact="0" outline="0" showAll="0">
      <items count="6">
        <item x="0"/>
        <item x="2"/>
        <item x="1"/>
        <item x="4"/>
        <item x="3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numFmtId="14" outline="0" showAll="0"/>
    <pivotField compact="0" numFmtId="14" outline="0" showAll="0"/>
    <pivotField compact="0" numFmtId="14" outline="0" showAll="0"/>
    <pivotField compact="0" numFmtId="14" outline="0" showAll="0"/>
    <pivotField compact="0" outline="0" showAll="0"/>
    <pivotField compact="0" outline="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QUANTITY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513E8D-1758-42BC-9B3A-333F7175DB00}" name="PivotTable1" cacheId="68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:B157" firstHeaderRow="1" firstDataRow="1" firstDataCol="1"/>
  <pivotFields count="19"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numFmtId="14" outline="0" showAll="0">
      <items count="156">
        <item x="70"/>
        <item x="40"/>
        <item x="93"/>
        <item x="125"/>
        <item x="56"/>
        <item x="19"/>
        <item x="31"/>
        <item x="83"/>
        <item x="10"/>
        <item x="105"/>
        <item x="20"/>
        <item x="69"/>
        <item x="142"/>
        <item x="59"/>
        <item x="128"/>
        <item x="110"/>
        <item x="152"/>
        <item x="138"/>
        <item x="5"/>
        <item x="141"/>
        <item x="137"/>
        <item x="54"/>
        <item x="92"/>
        <item x="8"/>
        <item x="14"/>
        <item x="85"/>
        <item x="58"/>
        <item x="57"/>
        <item x="118"/>
        <item x="35"/>
        <item x="108"/>
        <item x="130"/>
        <item x="41"/>
        <item x="2"/>
        <item x="50"/>
        <item x="73"/>
        <item x="64"/>
        <item x="17"/>
        <item x="120"/>
        <item x="24"/>
        <item x="18"/>
        <item x="88"/>
        <item x="42"/>
        <item x="74"/>
        <item x="153"/>
        <item x="60"/>
        <item x="90"/>
        <item x="45"/>
        <item x="129"/>
        <item x="37"/>
        <item x="16"/>
        <item x="102"/>
        <item x="89"/>
        <item x="134"/>
        <item x="126"/>
        <item x="0"/>
        <item x="100"/>
        <item x="122"/>
        <item x="44"/>
        <item x="133"/>
        <item x="87"/>
        <item x="66"/>
        <item x="72"/>
        <item x="9"/>
        <item x="148"/>
        <item x="79"/>
        <item x="6"/>
        <item x="119"/>
        <item x="65"/>
        <item x="33"/>
        <item x="1"/>
        <item x="135"/>
        <item x="68"/>
        <item x="28"/>
        <item x="124"/>
        <item x="96"/>
        <item x="107"/>
        <item x="4"/>
        <item x="112"/>
        <item x="11"/>
        <item x="101"/>
        <item x="75"/>
        <item x="103"/>
        <item x="43"/>
        <item x="109"/>
        <item x="22"/>
        <item x="131"/>
        <item x="136"/>
        <item x="67"/>
        <item x="23"/>
        <item x="76"/>
        <item x="77"/>
        <item x="94"/>
        <item x="99"/>
        <item x="81"/>
        <item x="51"/>
        <item x="52"/>
        <item x="36"/>
        <item x="113"/>
        <item x="111"/>
        <item x="117"/>
        <item x="30"/>
        <item x="80"/>
        <item x="48"/>
        <item x="46"/>
        <item x="38"/>
        <item x="147"/>
        <item x="140"/>
        <item x="39"/>
        <item x="7"/>
        <item x="12"/>
        <item x="123"/>
        <item x="104"/>
        <item x="114"/>
        <item x="146"/>
        <item x="78"/>
        <item x="116"/>
        <item x="32"/>
        <item x="98"/>
        <item x="115"/>
        <item x="132"/>
        <item x="13"/>
        <item x="97"/>
        <item x="127"/>
        <item x="26"/>
        <item x="21"/>
        <item x="3"/>
        <item x="149"/>
        <item x="27"/>
        <item x="150"/>
        <item x="106"/>
        <item x="154"/>
        <item x="95"/>
        <item x="55"/>
        <item x="91"/>
        <item x="25"/>
        <item x="144"/>
        <item x="61"/>
        <item x="84"/>
        <item x="53"/>
        <item x="49"/>
        <item x="86"/>
        <item x="62"/>
        <item x="47"/>
        <item x="139"/>
        <item x="29"/>
        <item x="143"/>
        <item x="63"/>
        <item x="71"/>
        <item x="145"/>
        <item x="151"/>
        <item x="82"/>
        <item x="15"/>
        <item x="34"/>
        <item x="121"/>
        <item t="default"/>
      </items>
    </pivotField>
    <pivotField compact="0" numFmtId="14" outline="0" showAll="0"/>
    <pivotField compact="0" numFmtId="14" outline="0" showAll="0"/>
    <pivotField compact="0" numFmtId="14" outline="0" showAll="0"/>
    <pivotField compact="0" numFmtId="14" outline="0" showAll="0"/>
    <pivotField compact="0" outline="0" showAll="0"/>
    <pivotField compact="0" outline="0" showAll="0"/>
  </pivotFields>
  <rowFields count="1">
    <field x="12"/>
  </rowFields>
  <rowItems count="15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 t="grand">
      <x/>
    </i>
  </rowItems>
  <colItems count="1">
    <i/>
  </colItems>
  <dataFields count="1">
    <dataField name="Sum of QUANTITY" fld="4" baseField="0" baseItem="0"/>
  </dataFields>
  <formats count="18">
    <format dxfId="79">
      <pivotArea field="12" type="button" dataOnly="0" labelOnly="1" outline="0" axis="axisRow" fieldPosition="0"/>
    </format>
    <format dxfId="80">
      <pivotArea dataOnly="0" labelOnly="1" outline="0" fieldPosition="0">
        <references count="1">
          <reference field="12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81">
      <pivotArea dataOnly="0" labelOnly="1" outline="0" fieldPosition="0">
        <references count="1">
          <reference field="12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82">
      <pivotArea dataOnly="0" labelOnly="1" outline="0" fieldPosition="0">
        <references count="1">
          <reference field="12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83">
      <pivotArea dataOnly="0" labelOnly="1" outline="0" fieldPosition="0">
        <references count="1">
          <reference field="12" count="5">
            <x v="150"/>
            <x v="151"/>
            <x v="152"/>
            <x v="153"/>
            <x v="154"/>
          </reference>
        </references>
      </pivotArea>
    </format>
    <format dxfId="84">
      <pivotArea dataOnly="0" labelOnly="1" grandRow="1" outline="0" fieldPosition="0"/>
    </format>
    <format dxfId="85">
      <pivotArea field="12" type="button" dataOnly="0" labelOnly="1" outline="0" axis="axisRow" fieldPosition="0"/>
    </format>
    <format dxfId="86">
      <pivotArea dataOnly="0" labelOnly="1" outline="0" fieldPosition="0">
        <references count="1">
          <reference field="12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87">
      <pivotArea dataOnly="0" labelOnly="1" outline="0" fieldPosition="0">
        <references count="1">
          <reference field="12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88">
      <pivotArea dataOnly="0" labelOnly="1" outline="0" fieldPosition="0">
        <references count="1">
          <reference field="12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89">
      <pivotArea dataOnly="0" labelOnly="1" outline="0" fieldPosition="0">
        <references count="1">
          <reference field="12" count="5">
            <x v="150"/>
            <x v="151"/>
            <x v="152"/>
            <x v="153"/>
            <x v="154"/>
          </reference>
        </references>
      </pivotArea>
    </format>
    <format dxfId="90">
      <pivotArea dataOnly="0" labelOnly="1" grandRow="1" outline="0" fieldPosition="0"/>
    </format>
    <format dxfId="91">
      <pivotArea field="12" type="button" dataOnly="0" labelOnly="1" outline="0" axis="axisRow" fieldPosition="0"/>
    </format>
    <format dxfId="92">
      <pivotArea dataOnly="0" labelOnly="1" outline="0" fieldPosition="0">
        <references count="1">
          <reference field="12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93">
      <pivotArea dataOnly="0" labelOnly="1" outline="0" fieldPosition="0">
        <references count="1">
          <reference field="12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94">
      <pivotArea dataOnly="0" labelOnly="1" outline="0" fieldPosition="0">
        <references count="1">
          <reference field="12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95">
      <pivotArea dataOnly="0" labelOnly="1" outline="0" fieldPosition="0">
        <references count="1">
          <reference field="12" count="5">
            <x v="150"/>
            <x v="151"/>
            <x v="152"/>
            <x v="153"/>
            <x v="154"/>
          </reference>
        </references>
      </pivotArea>
    </format>
    <format dxfId="96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8</v>
    <v>24</v>
    <v>1</v>
  </rv>
  <rv s="1">
    <v>8</v>
    <v>1</v>
  </rv>
</rvData>
</file>

<file path=xl/richData/rdrichvaluestructure.xml><?xml version="1.0" encoding="utf-8"?>
<rvStructures xmlns="http://schemas.microsoft.com/office/spreadsheetml/2017/richdata" count="2">
  <s t="_error">
    <k n="colOffset" t="i"/>
    <k n="errorType" t="i"/>
    <k n="rwOffset" t="i"/>
    <k n="subType" t="i"/>
  </s>
  <s t="_error">
    <k n="errorType" t="i"/>
    <k n="propagated" t="b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F17B702-4CC4-4CC2-8BB0-26A350EE4E9C}" name="Sales" displayName="Sales" ref="A1:S161" totalsRowShown="0" headerRowDxfId="78" dataDxfId="77" tableBorderDxfId="76">
  <autoFilter ref="A1:S161" xr:uid="{AF17B702-4CC4-4CC2-8BB0-26A350EE4E9C}"/>
  <sortState xmlns:xlrd2="http://schemas.microsoft.com/office/spreadsheetml/2017/richdata2" ref="A2:Q161">
    <sortCondition descending="1" ref="E1:E161"/>
  </sortState>
  <tableColumns count="19">
    <tableColumn id="2" xr3:uid="{F5161299-4330-4100-BE08-49D62E307DAF}" name="PRODUCT_CTG" dataDxfId="75"/>
    <tableColumn id="3" xr3:uid="{2AC2FB85-CCFC-4BDF-B51E-4F1399417D7A}" name="BRAND_NAME" dataDxfId="74"/>
    <tableColumn id="4" xr3:uid="{81D422D0-7E92-4035-B9EA-C1A0805FF495}" name="PRODUCT_NAME" dataDxfId="73"/>
    <tableColumn id="1" xr3:uid="{0844645A-AD4D-46B4-87A7-EC3D7C543CDB}" name="SALEID" dataDxfId="72"/>
    <tableColumn id="5" xr3:uid="{95CF7553-5822-4D08-8C67-76A3EDDCD19E}" name="QUANTITY" dataDxfId="71"/>
    <tableColumn id="6" xr3:uid="{FE8950E2-8B05-4B14-8BEF-DC459A154BA4}" name="PRICE_PER_UNIT" dataDxfId="70"/>
    <tableColumn id="19" xr3:uid="{E3900F7F-B81F-420E-891C-A03685D26D06}" name="Invoice Price" dataDxfId="69">
      <calculatedColumnFormula>Sales[[#This Row],[QUANTITY]]*Sales[[#This Row],[PRICE_PER_UNIT]]</calculatedColumnFormula>
    </tableColumn>
    <tableColumn id="7" xr3:uid="{F473E6B5-B87F-4B69-8C41-DDBD12B39008}" name="CITY" dataDxfId="68"/>
    <tableColumn id="8" xr3:uid="{2DF48739-E8F3-4FB5-8CAE-8AD156AF4196}" name="STATE" dataDxfId="67"/>
    <tableColumn id="9" xr3:uid="{15AD0410-BA0E-4AC4-8714-1CFFDC0D7B79}" name="DAY" dataDxfId="66"/>
    <tableColumn id="10" xr3:uid="{6D6B5143-40A6-45D4-8A8E-6BCF0A9E3074}" name="MONTH" dataDxfId="65"/>
    <tableColumn id="11" xr3:uid="{A9D9A306-D839-4F02-A990-9273B68FCB76}" name="YEAR" dataDxfId="64"/>
    <tableColumn id="12" xr3:uid="{ED6D1A8B-A5B1-4D0A-B972-F2A90C454FFA}" name="ORDERDATE" dataDxfId="63"/>
    <tableColumn id="13" xr3:uid="{E18790CC-E564-4F61-8FF5-3E8A9F86A1DA}" name="SHIPEDDATE" dataDxfId="62"/>
    <tableColumn id="14" xr3:uid="{9FE2F0EA-716B-4AB2-BC8C-DFBAC77B4272}" name="OUTFORDELIVERY" dataDxfId="61"/>
    <tableColumn id="15" xr3:uid="{2364337F-2A77-47AD-9E90-33C7ED18F735}" name="DELIVERY" dataDxfId="60"/>
    <tableColumn id="16" xr3:uid="{AAA6E72C-90C4-4F57-B485-6156619827CF}" name="CUSTOMERKEY" dataDxfId="59"/>
    <tableColumn id="17" xr3:uid="{5536CDB4-C72F-4394-B81D-459B14194E42}" name="od_dd-d" dataDxfId="58">
      <calculatedColumnFormula>P2-M2</calculatedColumnFormula>
    </tableColumn>
    <tableColumn id="18" xr3:uid="{8D37FD42-5335-43D9-B1FD-3D4CA20D62F0}" name="Late_Delivery " dataDxfId="57">
      <calculatedColumnFormula>IF(Sales[[#This Row],[od_dd-d]]&gt;7,"Late_Delivery","In_Time")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BC93CB9-911D-4E43-9E60-F078541DFD2D}" name="TBL_SALE_ID" displayName="TBL_SALE_ID" ref="Y148:Z308" totalsRowShown="0" headerRowDxfId="56" dataDxfId="55" headerRowBorderDxfId="53" tableBorderDxfId="54" totalsRowBorderDxfId="52">
  <autoFilter ref="Y148:Z308" xr:uid="{2BC93CB9-911D-4E43-9E60-F078541DFD2D}"/>
  <tableColumns count="2">
    <tableColumn id="1" xr3:uid="{CD1DF5CE-1CDA-4470-B166-6FAD0A21D281}" name="PRODUCT_NAME" dataDxfId="51"/>
    <tableColumn id="2" xr3:uid="{65ED9ED0-126B-4783-9124-5EF70000CE86}" name="SALEID" dataDxfId="50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4A1A09B-7475-4A66-BB12-3E2A362F4EE8}" name="FACT_SALES" displayName="FACT_SALES" ref="A1:M161" totalsRowShown="0" headerRowDxfId="49" dataDxfId="48">
  <autoFilter ref="A1:M161" xr:uid="{04A1A09B-7475-4A66-BB12-3E2A362F4EE8}"/>
  <tableColumns count="13">
    <tableColumn id="1" xr3:uid="{64749C2C-CF7D-4070-BCEB-E2E1ECAB93C2}" name="SALEID" dataDxfId="47"/>
    <tableColumn id="2" xr3:uid="{BA4124EA-B404-49C1-9811-630E9AA65283}" name="PRODUCT_CTG" dataDxfId="46"/>
    <tableColumn id="3" xr3:uid="{8951A65E-C6C8-4D72-8655-E748BA027A51}" name="BRANDKEY" dataDxfId="45"/>
    <tableColumn id="4" xr3:uid="{30DBADB9-ED61-4164-A3AC-170011C73804}" name="PRODUCTKEY" dataDxfId="44"/>
    <tableColumn id="5" xr3:uid="{326B7CDB-5BC7-4140-AEED-E3ED7085ACBC}" name="STATEKEY" dataDxfId="43"/>
    <tableColumn id="6" xr3:uid="{70C29ED7-3EBF-4D67-9000-6CA66F6843B9}" name="CITYKEY" dataDxfId="42"/>
    <tableColumn id="7" xr3:uid="{CEB279A7-FEAB-4019-9F20-6415B221906A}" name="ORDERDATEKEY" dataDxfId="41"/>
    <tableColumn id="8" xr3:uid="{BC4C9A6D-A862-4A5B-BEA0-1E6E1B6ECE13}" name="SHIPPEDKEY" dataDxfId="40"/>
    <tableColumn id="9" xr3:uid="{DF2ABF1E-1659-4F75-936E-27E30A7C7B34}" name="OUTFORDELIVERYKEY" dataDxfId="39"/>
    <tableColumn id="10" xr3:uid="{D695E0D4-9AF6-4F8A-9FBF-E322BECBDAE5}" name="DELIVEYDATEKEY" dataDxfId="38"/>
    <tableColumn id="11" xr3:uid="{0366F18F-7B34-4970-AB27-2747D68236A3}" name="QUANTITY" dataDxfId="37"/>
    <tableColumn id="12" xr3:uid="{3C313231-0558-4EF7-8768-5BA11D06F774}" name="PRICE_PER_UNIT" dataDxfId="36"/>
    <tableColumn id="14" xr3:uid="{F5D9CFE8-7312-43C7-8FBC-5F0F6B9F6311}" name="CUSTOMERKEY" dataDxfId="3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5A6CAFE-31E4-4AB4-937D-78ADCDB44E37}" name="DIM_BRAND" displayName="DIM_BRAND" ref="A2:B18" totalsRowShown="0" headerRowDxfId="34" dataDxfId="33">
  <autoFilter ref="A2:B18" xr:uid="{65A6CAFE-31E4-4AB4-937D-78ADCDB44E37}"/>
  <tableColumns count="2">
    <tableColumn id="1" xr3:uid="{4372ED5C-B0E2-4891-B145-6F26C3369F1A}" name="BRANDKEY" dataDxfId="32"/>
    <tableColumn id="2" xr3:uid="{37049DD3-92AC-4766-9E48-E8A18FFF56AB}" name="BRAND_NAME" dataDxfId="3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AB6F722-2D67-4487-9B4C-7443208CD57A}" name="DIM_CATG" displayName="DIM_CATG" ref="D2:E4" totalsRowShown="0" headerRowDxfId="30" dataDxfId="29">
  <autoFilter ref="D2:E4" xr:uid="{EAB6F722-2D67-4487-9B4C-7443208CD57A}"/>
  <tableColumns count="2">
    <tableColumn id="1" xr3:uid="{C0F7198D-944D-4BB5-8B78-3EBF95065E27}" name="CATG_ID" dataDxfId="28"/>
    <tableColumn id="2" xr3:uid="{86AD15EB-C32E-4698-BA1A-F7D9D6230D2C}" name="CATG_NAME" dataDxfId="27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F6F0C64D-89CB-4737-ABC3-EAFAD0BF771E}" name="DIM_CITY" displayName="DIM_CITY" ref="G2:H12" totalsRowShown="0" headerRowDxfId="26" dataDxfId="25">
  <autoFilter ref="G2:H12" xr:uid="{F6F0C64D-89CB-4737-ABC3-EAFAD0BF771E}"/>
  <tableColumns count="2">
    <tableColumn id="1" xr3:uid="{251878BB-EC3D-408C-9850-16A11D604BA8}" name="CITYKEY" dataDxfId="24"/>
    <tableColumn id="2" xr3:uid="{832C60D6-7B2F-47AB-9AC0-D353A72F9161}" name="CITY" dataDxfId="23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DD01B572-466D-4E2B-AA78-A84145847EB5}" name="DIM_PRODUCT" displayName="DIM_PRODUCT" ref="J2:K24" totalsRowShown="0" headerRowDxfId="22" dataDxfId="21">
  <autoFilter ref="J2:K24" xr:uid="{DD01B572-466D-4E2B-AA78-A84145847EB5}"/>
  <tableColumns count="2">
    <tableColumn id="1" xr3:uid="{FED6D8DB-91A6-415B-90E5-47D1333EEEA5}" name="PRODUCTKEY" dataDxfId="20"/>
    <tableColumn id="2" xr3:uid="{6CA5D169-1F31-472F-9DFD-66349AF0C71F}" name="PRODUCT_NAME" dataDxfId="19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D79D80C5-82E2-4214-82C7-4E3A17CCECE1}" name="DIM_STATE" displayName="DIM_STATE" ref="N2:O7" totalsRowShown="0" headerRowDxfId="18" dataDxfId="17">
  <autoFilter ref="N2:O7" xr:uid="{D79D80C5-82E2-4214-82C7-4E3A17CCECE1}"/>
  <tableColumns count="2">
    <tableColumn id="1" xr3:uid="{CA65E294-D17F-494D-B9AC-CD4D8850D13A}" name="STATEKEY" dataDxfId="16"/>
    <tableColumn id="2" xr3:uid="{306569C1-F7EC-4975-9597-F942765BFCB0}" name="STATE" dataDxfId="15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97CDC9-D1D3-4E10-A86F-866B979680A9}" name="DIM_CUSTOMER" displayName="DIM_CUSTOMER" ref="A23:E46" totalsRowShown="0" headerRowDxfId="14" dataDxfId="13" headerRowBorderDxfId="11" tableBorderDxfId="12" totalsRowBorderDxfId="10">
  <autoFilter ref="A23:E46" xr:uid="{E497CDC9-D1D3-4E10-A86F-866B979680A9}"/>
  <tableColumns count="5">
    <tableColumn id="1" xr3:uid="{492D0641-4DF8-429E-A3C7-B365B2168D5B}" name="EMPID" dataDxfId="9"/>
    <tableColumn id="2" xr3:uid="{1917883D-02D0-4860-B929-9F968D35A9B0}" name="FIRSTNAME" dataDxfId="8"/>
    <tableColumn id="3" xr3:uid="{C99672AB-43B6-46B2-ABE0-DDB99D7E2284}" name="LASTNAME" dataDxfId="7"/>
    <tableColumn id="4" xr3:uid="{908DC7ED-DC95-4290-9C8A-3589F2431860}" name="GENDER" dataDxfId="6"/>
    <tableColumn id="5" xr3:uid="{DBC2176B-B47A-4153-A5E9-CFA004183585}" name="DATEOFBIRTH" dataDxfId="5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D0B7A3D-70C1-43DD-935E-32D35D672E87}" name="DIM_DATE" displayName="DIM_DATE" ref="B2:C4020" totalsRowShown="0" headerRowDxfId="4" dataDxfId="3">
  <autoFilter ref="B2:C4020" xr:uid="{ED0B7A3D-70C1-43DD-935E-32D35D672E87}"/>
  <tableColumns count="2">
    <tableColumn id="1" xr3:uid="{8EAF4D3E-08B7-4AC8-BE99-5F7CFCCE642D}" name="Date" dataDxfId="2"/>
    <tableColumn id="2" xr3:uid="{F46404D8-A730-44C8-9E8E-85B75D6600C5}" name="DATEKEY" dataDxfId="1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BE75566-0218-42B7-90E4-E6F3B930F10D}" name="Table4" displayName="Table4" ref="A251:B254" totalsRowShown="0">
  <autoFilter ref="A251:B254" xr:uid="{3BE75566-0218-42B7-90E4-E6F3B930F10D}"/>
  <tableColumns count="2">
    <tableColumn id="1" xr3:uid="{EA3959A7-0CB1-46FC-A1C4-40188F24E39D}" name="PriceGroup"/>
    <tableColumn id="2" xr3:uid="{C3115B0A-44B0-4858-865E-D8FF2713467E}" name="category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6" Type="http://schemas.openxmlformats.org/officeDocument/2006/relationships/table" Target="../tables/table9.xml"/><Relationship Id="rId5" Type="http://schemas.openxmlformats.org/officeDocument/2006/relationships/table" Target="../tables/table8.xml"/><Relationship Id="rId4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96E2A-2C88-4794-B64D-8CDEE084F65D}">
  <dimension ref="A3:B9"/>
  <sheetViews>
    <sheetView workbookViewId="0">
      <selection activeCell="B3" sqref="B3"/>
    </sheetView>
  </sheetViews>
  <sheetFormatPr defaultRowHeight="15"/>
  <cols>
    <col min="1" max="1" width="14.42578125" bestFit="1" customWidth="1"/>
    <col min="2" max="2" width="9.5703125" bestFit="1" customWidth="1"/>
    <col min="3" max="3" width="18.85546875" bestFit="1" customWidth="1"/>
    <col min="4" max="4" width="11.42578125" bestFit="1" customWidth="1"/>
    <col min="5" max="5" width="10.5703125" bestFit="1" customWidth="1"/>
    <col min="6" max="7" width="8.42578125" bestFit="1" customWidth="1"/>
    <col min="8" max="8" width="7.42578125" bestFit="1" customWidth="1"/>
    <col min="9" max="10" width="11" bestFit="1" customWidth="1"/>
    <col min="11" max="11" width="14.7109375" bestFit="1" customWidth="1"/>
    <col min="12" max="12" width="11.140625" bestFit="1" customWidth="1"/>
  </cols>
  <sheetData>
    <row r="3" spans="1:2">
      <c r="A3" s="92" t="s">
        <v>0</v>
      </c>
      <c r="B3" t="s">
        <v>1</v>
      </c>
    </row>
    <row r="4" spans="1:2">
      <c r="A4" t="s">
        <v>2</v>
      </c>
      <c r="B4" s="93">
        <v>6236719</v>
      </c>
    </row>
    <row r="5" spans="1:2">
      <c r="A5" t="s">
        <v>3</v>
      </c>
      <c r="B5" s="93">
        <v>6901268</v>
      </c>
    </row>
    <row r="6" spans="1:2">
      <c r="A6" t="s">
        <v>4</v>
      </c>
      <c r="B6" s="93">
        <v>6065930</v>
      </c>
    </row>
    <row r="7" spans="1:2">
      <c r="A7" t="s">
        <v>5</v>
      </c>
      <c r="B7" s="93">
        <v>9392321</v>
      </c>
    </row>
    <row r="8" spans="1:2">
      <c r="A8" t="s">
        <v>6</v>
      </c>
      <c r="B8" s="93">
        <v>4509128</v>
      </c>
    </row>
    <row r="9" spans="1:2">
      <c r="A9" t="s">
        <v>7</v>
      </c>
      <c r="B9" s="93">
        <v>33105366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29623-9580-4E76-827D-2B2900E89FB4}">
  <dimension ref="A3:B9"/>
  <sheetViews>
    <sheetView workbookViewId="0">
      <selection activeCell="B3" sqref="B3"/>
    </sheetView>
  </sheetViews>
  <sheetFormatPr defaultRowHeight="15"/>
  <cols>
    <col min="1" max="1" width="17.42578125" bestFit="1" customWidth="1"/>
    <col min="2" max="2" width="16.28515625" bestFit="1" customWidth="1"/>
  </cols>
  <sheetData>
    <row r="3" spans="1:2">
      <c r="A3" s="92" t="s">
        <v>8</v>
      </c>
      <c r="B3" t="s">
        <v>9</v>
      </c>
    </row>
    <row r="4" spans="1:2">
      <c r="A4" t="s">
        <v>10</v>
      </c>
      <c r="B4" s="93">
        <v>5</v>
      </c>
    </row>
    <row r="5" spans="1:2">
      <c r="A5" t="s">
        <v>11</v>
      </c>
      <c r="B5" s="93">
        <v>299</v>
      </c>
    </row>
    <row r="6" spans="1:2">
      <c r="A6" t="s">
        <v>12</v>
      </c>
      <c r="B6" s="93">
        <v>163</v>
      </c>
    </row>
    <row r="7" spans="1:2">
      <c r="A7" t="s">
        <v>13</v>
      </c>
      <c r="B7" s="93">
        <v>2</v>
      </c>
    </row>
    <row r="8" spans="1:2">
      <c r="A8" t="s">
        <v>14</v>
      </c>
      <c r="B8" s="93">
        <v>4</v>
      </c>
    </row>
    <row r="9" spans="1:2">
      <c r="A9" t="s">
        <v>7</v>
      </c>
      <c r="B9" s="93">
        <v>473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DA246-1A70-432F-AF80-BFE87C59ACF6}">
  <dimension ref="A1:B157"/>
  <sheetViews>
    <sheetView workbookViewId="0">
      <selection activeCell="B7" sqref="B7"/>
    </sheetView>
  </sheetViews>
  <sheetFormatPr defaultRowHeight="15"/>
  <cols>
    <col min="1" max="1" width="14.85546875" style="100" bestFit="1" customWidth="1"/>
    <col min="2" max="2" width="16.28515625" bestFit="1" customWidth="1"/>
  </cols>
  <sheetData>
    <row r="1" spans="1:2">
      <c r="A1" s="99" t="s">
        <v>15</v>
      </c>
      <c r="B1" t="s">
        <v>9</v>
      </c>
    </row>
    <row r="2" spans="1:2">
      <c r="A2" s="100">
        <v>42032</v>
      </c>
      <c r="B2" s="93">
        <v>3</v>
      </c>
    </row>
    <row r="3" spans="1:2">
      <c r="A3" s="100">
        <v>42051</v>
      </c>
      <c r="B3" s="93">
        <v>4</v>
      </c>
    </row>
    <row r="4" spans="1:2">
      <c r="A4" s="100">
        <v>42117</v>
      </c>
      <c r="B4" s="93">
        <v>2</v>
      </c>
    </row>
    <row r="5" spans="1:2">
      <c r="A5" s="100">
        <v>42147</v>
      </c>
      <c r="B5" s="93">
        <v>1</v>
      </c>
    </row>
    <row r="6" spans="1:2">
      <c r="A6" s="100">
        <v>42154</v>
      </c>
      <c r="B6" s="93">
        <v>4</v>
      </c>
    </row>
    <row r="7" spans="1:2">
      <c r="A7" s="100">
        <v>42178</v>
      </c>
      <c r="B7" s="93">
        <v>5</v>
      </c>
    </row>
    <row r="8" spans="1:2">
      <c r="A8" s="100">
        <v>42319</v>
      </c>
      <c r="B8" s="93">
        <v>4</v>
      </c>
    </row>
    <row r="9" spans="1:2">
      <c r="A9" s="100">
        <v>42334</v>
      </c>
      <c r="B9" s="93">
        <v>3</v>
      </c>
    </row>
    <row r="10" spans="1:2">
      <c r="A10" s="100">
        <v>42337</v>
      </c>
      <c r="B10" s="93">
        <v>5</v>
      </c>
    </row>
    <row r="11" spans="1:2">
      <c r="A11" s="100">
        <v>42368</v>
      </c>
      <c r="B11" s="93">
        <v>2</v>
      </c>
    </row>
    <row r="12" spans="1:2">
      <c r="A12" s="100">
        <v>42377</v>
      </c>
      <c r="B12" s="93">
        <v>5</v>
      </c>
    </row>
    <row r="13" spans="1:2">
      <c r="A13" s="100">
        <v>42572</v>
      </c>
      <c r="B13" s="93">
        <v>3</v>
      </c>
    </row>
    <row r="14" spans="1:2">
      <c r="A14" s="100">
        <v>42575</v>
      </c>
      <c r="B14" s="93">
        <v>1</v>
      </c>
    </row>
    <row r="15" spans="1:2">
      <c r="A15" s="100">
        <v>42620</v>
      </c>
      <c r="B15" s="93">
        <v>4</v>
      </c>
    </row>
    <row r="16" spans="1:2">
      <c r="A16" s="100">
        <v>42703</v>
      </c>
      <c r="B16" s="93">
        <v>1</v>
      </c>
    </row>
    <row r="17" spans="1:2">
      <c r="A17" s="100">
        <v>42729</v>
      </c>
      <c r="B17" s="93">
        <v>2</v>
      </c>
    </row>
    <row r="18" spans="1:2">
      <c r="A18" s="100">
        <v>42756</v>
      </c>
      <c r="B18" s="93">
        <v>1</v>
      </c>
    </row>
    <row r="19" spans="1:2">
      <c r="A19" s="100">
        <v>42786</v>
      </c>
      <c r="B19" s="93">
        <v>1</v>
      </c>
    </row>
    <row r="20" spans="1:2">
      <c r="A20" s="100">
        <v>42807</v>
      </c>
      <c r="B20" s="93">
        <v>5</v>
      </c>
    </row>
    <row r="21" spans="1:2">
      <c r="A21" s="100">
        <v>42816</v>
      </c>
      <c r="B21" s="93">
        <v>1</v>
      </c>
    </row>
    <row r="22" spans="1:2">
      <c r="A22" s="100">
        <v>42835</v>
      </c>
      <c r="B22" s="93">
        <v>1</v>
      </c>
    </row>
    <row r="23" spans="1:2">
      <c r="A23" s="100">
        <v>42838</v>
      </c>
      <c r="B23" s="93">
        <v>4</v>
      </c>
    </row>
    <row r="24" spans="1:2">
      <c r="A24" s="100">
        <v>42873</v>
      </c>
      <c r="B24" s="93">
        <v>2</v>
      </c>
    </row>
    <row r="25" spans="1:2">
      <c r="A25" s="100">
        <v>42936</v>
      </c>
      <c r="B25" s="93">
        <v>5</v>
      </c>
    </row>
    <row r="26" spans="1:2">
      <c r="A26" s="100">
        <v>42951</v>
      </c>
      <c r="B26" s="93">
        <v>5</v>
      </c>
    </row>
    <row r="27" spans="1:2">
      <c r="A27" s="100">
        <v>43013</v>
      </c>
      <c r="B27" s="93">
        <v>3</v>
      </c>
    </row>
    <row r="28" spans="1:2">
      <c r="A28" s="100">
        <v>43026</v>
      </c>
      <c r="B28" s="93">
        <v>4</v>
      </c>
    </row>
    <row r="29" spans="1:2">
      <c r="A29" s="100">
        <v>43031</v>
      </c>
      <c r="B29" s="93">
        <v>4</v>
      </c>
    </row>
    <row r="30" spans="1:2">
      <c r="A30" s="100">
        <v>43034</v>
      </c>
      <c r="B30" s="93">
        <v>2</v>
      </c>
    </row>
    <row r="31" spans="1:2">
      <c r="A31" s="100">
        <v>43036</v>
      </c>
      <c r="B31" s="93">
        <v>4</v>
      </c>
    </row>
    <row r="32" spans="1:2">
      <c r="A32" s="100">
        <v>43078</v>
      </c>
      <c r="B32" s="93">
        <v>2</v>
      </c>
    </row>
    <row r="33" spans="1:2">
      <c r="A33" s="100">
        <v>43092</v>
      </c>
      <c r="B33" s="93">
        <v>1</v>
      </c>
    </row>
    <row r="34" spans="1:2">
      <c r="A34" s="100">
        <v>43115</v>
      </c>
      <c r="B34" s="93">
        <v>4</v>
      </c>
    </row>
    <row r="35" spans="1:2">
      <c r="A35" s="100">
        <v>43133</v>
      </c>
      <c r="B35" s="93">
        <v>5</v>
      </c>
    </row>
    <row r="36" spans="1:2">
      <c r="A36" s="100">
        <v>43150</v>
      </c>
      <c r="B36" s="93">
        <v>4</v>
      </c>
    </row>
    <row r="37" spans="1:2">
      <c r="A37" s="100">
        <v>43154</v>
      </c>
      <c r="B37" s="93">
        <v>3</v>
      </c>
    </row>
    <row r="38" spans="1:2">
      <c r="A38" s="100">
        <v>43164</v>
      </c>
      <c r="B38" s="93">
        <v>3</v>
      </c>
    </row>
    <row r="39" spans="1:2">
      <c r="A39" s="100">
        <v>43176</v>
      </c>
      <c r="B39" s="93">
        <v>5</v>
      </c>
    </row>
    <row r="40" spans="1:2">
      <c r="A40" s="100">
        <v>43196</v>
      </c>
      <c r="B40" s="93">
        <v>2</v>
      </c>
    </row>
    <row r="41" spans="1:2">
      <c r="A41" s="100">
        <v>43207</v>
      </c>
      <c r="B41" s="93">
        <v>5</v>
      </c>
    </row>
    <row r="42" spans="1:2">
      <c r="A42" s="100">
        <v>43254</v>
      </c>
      <c r="B42" s="93">
        <v>5</v>
      </c>
    </row>
    <row r="43" spans="1:2">
      <c r="A43" s="100">
        <v>43288</v>
      </c>
      <c r="B43" s="93">
        <v>3</v>
      </c>
    </row>
    <row r="44" spans="1:2">
      <c r="A44" s="100">
        <v>43313</v>
      </c>
      <c r="B44" s="93">
        <v>4</v>
      </c>
    </row>
    <row r="45" spans="1:2">
      <c r="A45" s="100">
        <v>43459</v>
      </c>
      <c r="B45" s="93">
        <v>3</v>
      </c>
    </row>
    <row r="46" spans="1:2">
      <c r="A46" s="100">
        <v>43502</v>
      </c>
      <c r="B46" s="93">
        <v>1</v>
      </c>
    </row>
    <row r="47" spans="1:2">
      <c r="A47" s="100">
        <v>43523</v>
      </c>
      <c r="B47" s="93">
        <v>4</v>
      </c>
    </row>
    <row r="48" spans="1:2">
      <c r="A48" s="100">
        <v>43570</v>
      </c>
      <c r="B48" s="93">
        <v>3</v>
      </c>
    </row>
    <row r="49" spans="1:2">
      <c r="A49" s="100">
        <v>43596</v>
      </c>
      <c r="B49" s="93">
        <v>4</v>
      </c>
    </row>
    <row r="50" spans="1:2">
      <c r="A50" s="100">
        <v>43602</v>
      </c>
      <c r="B50" s="93">
        <v>1</v>
      </c>
    </row>
    <row r="51" spans="1:2">
      <c r="A51" s="100">
        <v>43622</v>
      </c>
      <c r="B51" s="93">
        <v>4</v>
      </c>
    </row>
    <row r="52" spans="1:2">
      <c r="A52" s="100">
        <v>43648</v>
      </c>
      <c r="B52" s="93">
        <v>5</v>
      </c>
    </row>
    <row r="53" spans="1:2">
      <c r="A53" s="100">
        <v>43650</v>
      </c>
      <c r="B53" s="93">
        <v>2</v>
      </c>
    </row>
    <row r="54" spans="1:2">
      <c r="A54" s="100">
        <v>43697</v>
      </c>
      <c r="B54" s="93">
        <v>3</v>
      </c>
    </row>
    <row r="55" spans="1:2">
      <c r="A55" s="100">
        <v>43700</v>
      </c>
      <c r="B55" s="93">
        <v>1</v>
      </c>
    </row>
    <row r="56" spans="1:2">
      <c r="A56" s="100">
        <v>43706</v>
      </c>
      <c r="B56" s="93">
        <v>1</v>
      </c>
    </row>
    <row r="57" spans="1:2">
      <c r="A57" s="100">
        <v>43719</v>
      </c>
      <c r="B57" s="93">
        <v>5</v>
      </c>
    </row>
    <row r="58" spans="1:2">
      <c r="A58" s="100">
        <v>43720</v>
      </c>
      <c r="B58" s="93">
        <v>3</v>
      </c>
    </row>
    <row r="59" spans="1:2">
      <c r="A59" s="100">
        <v>43722</v>
      </c>
      <c r="B59" s="93">
        <v>2</v>
      </c>
    </row>
    <row r="60" spans="1:2">
      <c r="A60" s="100">
        <v>43729</v>
      </c>
      <c r="B60" s="93">
        <v>4</v>
      </c>
    </row>
    <row r="61" spans="1:2">
      <c r="A61" s="100">
        <v>43790</v>
      </c>
      <c r="B61" s="93">
        <v>1</v>
      </c>
    </row>
    <row r="62" spans="1:2">
      <c r="A62" s="100">
        <v>43799</v>
      </c>
      <c r="B62" s="93">
        <v>3</v>
      </c>
    </row>
    <row r="63" spans="1:2">
      <c r="A63" s="100">
        <v>43805</v>
      </c>
      <c r="B63" s="93">
        <v>3</v>
      </c>
    </row>
    <row r="64" spans="1:2">
      <c r="A64" s="100">
        <v>43809</v>
      </c>
      <c r="B64" s="93">
        <v>3</v>
      </c>
    </row>
    <row r="65" spans="1:2">
      <c r="A65" s="100">
        <v>43847</v>
      </c>
      <c r="B65" s="93">
        <v>5</v>
      </c>
    </row>
    <row r="66" spans="1:2">
      <c r="A66" s="100">
        <v>43873</v>
      </c>
      <c r="B66" s="93">
        <v>1</v>
      </c>
    </row>
    <row r="67" spans="1:2">
      <c r="A67" s="100">
        <v>43880</v>
      </c>
      <c r="B67" s="93">
        <v>3</v>
      </c>
    </row>
    <row r="68" spans="1:2">
      <c r="A68" s="100">
        <v>43918</v>
      </c>
      <c r="B68" s="93">
        <v>5</v>
      </c>
    </row>
    <row r="69" spans="1:2">
      <c r="A69" s="100">
        <v>43928</v>
      </c>
      <c r="B69" s="93">
        <v>2</v>
      </c>
    </row>
    <row r="70" spans="1:2">
      <c r="A70" s="100">
        <v>43951</v>
      </c>
      <c r="B70" s="93">
        <v>3</v>
      </c>
    </row>
    <row r="71" spans="1:2">
      <c r="A71" s="100">
        <v>43961</v>
      </c>
      <c r="B71" s="93">
        <v>4</v>
      </c>
    </row>
    <row r="72" spans="1:2">
      <c r="A72" s="100">
        <v>43964</v>
      </c>
      <c r="B72" s="93">
        <v>5</v>
      </c>
    </row>
    <row r="73" spans="1:2">
      <c r="A73" s="100">
        <v>43965</v>
      </c>
      <c r="B73" s="93">
        <v>2</v>
      </c>
    </row>
    <row r="74" spans="1:2">
      <c r="A74" s="100">
        <v>43983</v>
      </c>
      <c r="B74" s="93">
        <v>3</v>
      </c>
    </row>
    <row r="75" spans="1:2">
      <c r="A75" s="100">
        <v>43992</v>
      </c>
      <c r="B75" s="93">
        <v>5</v>
      </c>
    </row>
    <row r="76" spans="1:2">
      <c r="A76" s="100">
        <v>44020</v>
      </c>
      <c r="B76" s="93">
        <v>1</v>
      </c>
    </row>
    <row r="77" spans="1:2">
      <c r="A77" s="100">
        <v>44039</v>
      </c>
      <c r="B77" s="93">
        <v>2</v>
      </c>
    </row>
    <row r="78" spans="1:2">
      <c r="A78" s="100">
        <v>44041</v>
      </c>
      <c r="B78" s="93">
        <v>2</v>
      </c>
    </row>
    <row r="79" spans="1:2">
      <c r="A79" s="100">
        <v>44051</v>
      </c>
      <c r="B79" s="93">
        <v>5</v>
      </c>
    </row>
    <row r="80" spans="1:2">
      <c r="A80" s="100">
        <v>44080</v>
      </c>
      <c r="B80" s="93">
        <v>2</v>
      </c>
    </row>
    <row r="81" spans="1:2">
      <c r="A81" s="100">
        <v>44082</v>
      </c>
      <c r="B81" s="93">
        <v>5</v>
      </c>
    </row>
    <row r="82" spans="1:2">
      <c r="A82" s="100">
        <v>44106</v>
      </c>
      <c r="B82" s="93">
        <v>2</v>
      </c>
    </row>
    <row r="83" spans="1:2">
      <c r="A83" s="100">
        <v>44142</v>
      </c>
      <c r="B83" s="93">
        <v>3</v>
      </c>
    </row>
    <row r="84" spans="1:2">
      <c r="A84" s="100">
        <v>44158</v>
      </c>
      <c r="B84" s="93">
        <v>2</v>
      </c>
    </row>
    <row r="85" spans="1:2">
      <c r="A85" s="100">
        <v>44226</v>
      </c>
      <c r="B85" s="93">
        <v>4</v>
      </c>
    </row>
    <row r="86" spans="1:2">
      <c r="A86" s="100">
        <v>44233</v>
      </c>
      <c r="B86" s="93">
        <v>2</v>
      </c>
    </row>
    <row r="87" spans="1:2">
      <c r="A87" s="100">
        <v>44290</v>
      </c>
      <c r="B87" s="93">
        <v>5</v>
      </c>
    </row>
    <row r="88" spans="1:2">
      <c r="A88" s="100">
        <v>44318</v>
      </c>
      <c r="B88" s="93">
        <v>1</v>
      </c>
    </row>
    <row r="89" spans="1:2">
      <c r="A89" s="100">
        <v>44323</v>
      </c>
      <c r="B89" s="93">
        <v>1</v>
      </c>
    </row>
    <row r="90" spans="1:2">
      <c r="A90" s="100">
        <v>44357</v>
      </c>
      <c r="B90" s="93">
        <v>3</v>
      </c>
    </row>
    <row r="91" spans="1:2">
      <c r="A91" s="100">
        <v>44383</v>
      </c>
      <c r="B91" s="93">
        <v>5</v>
      </c>
    </row>
    <row r="92" spans="1:2">
      <c r="A92" s="100">
        <v>44407</v>
      </c>
      <c r="B92" s="93">
        <v>3</v>
      </c>
    </row>
    <row r="93" spans="1:2">
      <c r="A93" s="100">
        <v>44412</v>
      </c>
      <c r="B93" s="93">
        <v>3</v>
      </c>
    </row>
    <row r="94" spans="1:2">
      <c r="A94" s="100">
        <v>44423</v>
      </c>
      <c r="B94" s="93">
        <v>2</v>
      </c>
    </row>
    <row r="95" spans="1:2">
      <c r="A95" s="100">
        <v>44470</v>
      </c>
      <c r="B95" s="93">
        <v>2</v>
      </c>
    </row>
    <row r="96" spans="1:2">
      <c r="A96" s="100">
        <v>44478</v>
      </c>
      <c r="B96" s="93">
        <v>3</v>
      </c>
    </row>
    <row r="97" spans="1:2">
      <c r="A97" s="100">
        <v>44511</v>
      </c>
      <c r="B97" s="93">
        <v>4</v>
      </c>
    </row>
    <row r="98" spans="1:2">
      <c r="A98" s="100">
        <v>44604</v>
      </c>
      <c r="B98" s="93">
        <v>4</v>
      </c>
    </row>
    <row r="99" spans="1:2">
      <c r="A99" s="100">
        <v>44650</v>
      </c>
      <c r="B99" s="93">
        <v>4</v>
      </c>
    </row>
    <row r="100" spans="1:2">
      <c r="A100" s="100">
        <v>44667</v>
      </c>
      <c r="B100" s="93">
        <v>2</v>
      </c>
    </row>
    <row r="101" spans="1:2">
      <c r="A101" s="100">
        <v>44692</v>
      </c>
      <c r="B101" s="93">
        <v>2</v>
      </c>
    </row>
    <row r="102" spans="1:2">
      <c r="A102" s="100">
        <v>44711</v>
      </c>
      <c r="B102" s="93">
        <v>2</v>
      </c>
    </row>
    <row r="103" spans="1:2">
      <c r="A103" s="100">
        <v>44731</v>
      </c>
      <c r="B103" s="93">
        <v>5</v>
      </c>
    </row>
    <row r="104" spans="1:2">
      <c r="A104" s="100">
        <v>44759</v>
      </c>
      <c r="B104" s="93">
        <v>3</v>
      </c>
    </row>
    <row r="105" spans="1:2">
      <c r="A105" s="100">
        <v>44849</v>
      </c>
      <c r="B105" s="93">
        <v>4</v>
      </c>
    </row>
    <row r="106" spans="1:2">
      <c r="A106" s="100">
        <v>44869</v>
      </c>
      <c r="B106" s="93">
        <v>4</v>
      </c>
    </row>
    <row r="107" spans="1:2">
      <c r="A107" s="100">
        <v>44907</v>
      </c>
      <c r="B107" s="93">
        <v>4</v>
      </c>
    </row>
    <row r="108" spans="1:2">
      <c r="A108" s="100">
        <v>44908</v>
      </c>
      <c r="B108" s="93">
        <v>1</v>
      </c>
    </row>
    <row r="109" spans="1:2">
      <c r="A109" s="100">
        <v>44948</v>
      </c>
      <c r="B109" s="93">
        <v>1</v>
      </c>
    </row>
    <row r="110" spans="1:2">
      <c r="A110" s="100">
        <v>44951</v>
      </c>
      <c r="B110" s="93">
        <v>5</v>
      </c>
    </row>
    <row r="111" spans="1:2">
      <c r="A111" s="100">
        <v>45005</v>
      </c>
      <c r="B111" s="93">
        <v>5</v>
      </c>
    </row>
    <row r="112" spans="1:2">
      <c r="A112" s="100">
        <v>45007</v>
      </c>
      <c r="B112" s="93">
        <v>5</v>
      </c>
    </row>
    <row r="113" spans="1:2">
      <c r="A113" s="100">
        <v>45028</v>
      </c>
      <c r="B113" s="93">
        <v>2</v>
      </c>
    </row>
    <row r="114" spans="1:2">
      <c r="A114" s="100">
        <v>45058</v>
      </c>
      <c r="B114" s="93">
        <v>4</v>
      </c>
    </row>
    <row r="115" spans="1:2">
      <c r="A115" s="100">
        <v>45062</v>
      </c>
      <c r="B115" s="93">
        <v>2</v>
      </c>
    </row>
    <row r="116" spans="1:2">
      <c r="A116" s="100">
        <v>45072</v>
      </c>
      <c r="B116" s="93">
        <v>1</v>
      </c>
    </row>
    <row r="117" spans="1:2">
      <c r="A117" s="100">
        <v>45115</v>
      </c>
      <c r="B117" s="93">
        <v>3</v>
      </c>
    </row>
    <row r="118" spans="1:2">
      <c r="A118" s="100">
        <v>45127</v>
      </c>
      <c r="B118" s="93">
        <v>2</v>
      </c>
    </row>
    <row r="119" spans="1:2">
      <c r="A119" s="100">
        <v>45166</v>
      </c>
      <c r="B119" s="93">
        <v>4</v>
      </c>
    </row>
    <row r="120" spans="1:2">
      <c r="A120" s="100">
        <v>45218</v>
      </c>
      <c r="B120" s="93">
        <v>2</v>
      </c>
    </row>
    <row r="121" spans="1:2">
      <c r="A121" s="100">
        <v>45256</v>
      </c>
      <c r="B121" s="93">
        <v>2</v>
      </c>
    </row>
    <row r="122" spans="1:2">
      <c r="A122" s="100">
        <v>45261</v>
      </c>
      <c r="B122" s="93">
        <v>1</v>
      </c>
    </row>
    <row r="123" spans="1:2">
      <c r="A123" s="100">
        <v>45281</v>
      </c>
      <c r="B123" s="93">
        <v>5</v>
      </c>
    </row>
    <row r="124" spans="1:2">
      <c r="A124" s="100">
        <v>45293</v>
      </c>
      <c r="B124" s="93">
        <v>2</v>
      </c>
    </row>
    <row r="125" spans="1:2">
      <c r="A125" s="100">
        <v>45300</v>
      </c>
      <c r="B125" s="93">
        <v>1</v>
      </c>
    </row>
    <row r="126" spans="1:2">
      <c r="A126" s="100">
        <v>45331</v>
      </c>
      <c r="B126" s="93">
        <v>5</v>
      </c>
    </row>
    <row r="127" spans="1:2">
      <c r="A127" s="100">
        <v>45346</v>
      </c>
      <c r="B127" s="93">
        <v>5</v>
      </c>
    </row>
    <row r="128" spans="1:2">
      <c r="A128" s="100">
        <v>45352</v>
      </c>
      <c r="B128" s="93">
        <v>5</v>
      </c>
    </row>
    <row r="129" spans="1:2">
      <c r="A129" s="100">
        <v>45378</v>
      </c>
      <c r="B129" s="93">
        <v>1</v>
      </c>
    </row>
    <row r="130" spans="1:2">
      <c r="A130" s="100">
        <v>45444</v>
      </c>
      <c r="B130" s="93">
        <v>5</v>
      </c>
    </row>
    <row r="131" spans="1:2">
      <c r="A131" s="100">
        <v>45445</v>
      </c>
      <c r="B131" s="93">
        <v>1</v>
      </c>
    </row>
    <row r="132" spans="1:2">
      <c r="A132" s="100">
        <v>45449</v>
      </c>
      <c r="B132" s="93">
        <v>2</v>
      </c>
    </row>
    <row r="133" spans="1:2">
      <c r="A133" s="100">
        <v>45485</v>
      </c>
      <c r="B133" s="93">
        <v>1</v>
      </c>
    </row>
    <row r="134" spans="1:2">
      <c r="A134" s="100">
        <v>45491</v>
      </c>
      <c r="B134" s="93">
        <v>2</v>
      </c>
    </row>
    <row r="135" spans="1:2">
      <c r="A135" s="100">
        <v>45507</v>
      </c>
      <c r="B135" s="93">
        <v>4</v>
      </c>
    </row>
    <row r="136" spans="1:2">
      <c r="A136" s="100">
        <v>45549</v>
      </c>
      <c r="B136" s="93">
        <v>3</v>
      </c>
    </row>
    <row r="137" spans="1:2">
      <c r="A137" s="100">
        <v>45609</v>
      </c>
      <c r="B137" s="93">
        <v>5</v>
      </c>
    </row>
    <row r="138" spans="1:2">
      <c r="A138" s="100">
        <v>45610</v>
      </c>
      <c r="B138" s="93">
        <v>1</v>
      </c>
    </row>
    <row r="139" spans="1:2">
      <c r="A139" s="100">
        <v>45626</v>
      </c>
      <c r="B139" s="93">
        <v>4</v>
      </c>
    </row>
    <row r="140" spans="1:2">
      <c r="A140" s="100">
        <v>45648</v>
      </c>
      <c r="B140" s="93">
        <v>3</v>
      </c>
    </row>
    <row r="141" spans="1:2">
      <c r="A141" s="100">
        <v>45653</v>
      </c>
      <c r="B141" s="93">
        <v>4</v>
      </c>
    </row>
    <row r="142" spans="1:2">
      <c r="A142" s="100">
        <v>45682</v>
      </c>
      <c r="B142" s="93">
        <v>4</v>
      </c>
    </row>
    <row r="143" spans="1:2">
      <c r="A143" s="100">
        <v>45683</v>
      </c>
      <c r="B143" s="93">
        <v>3</v>
      </c>
    </row>
    <row r="144" spans="1:2">
      <c r="A144" s="100">
        <v>45731</v>
      </c>
      <c r="B144" s="93">
        <v>4</v>
      </c>
    </row>
    <row r="145" spans="1:2">
      <c r="A145" s="100">
        <v>45740</v>
      </c>
      <c r="B145" s="93">
        <v>4</v>
      </c>
    </row>
    <row r="146" spans="1:2">
      <c r="A146" s="100">
        <v>45749</v>
      </c>
      <c r="B146" s="93">
        <v>1</v>
      </c>
    </row>
    <row r="147" spans="1:2">
      <c r="A147" s="100">
        <v>45768</v>
      </c>
      <c r="B147" s="93">
        <v>5</v>
      </c>
    </row>
    <row r="148" spans="1:2">
      <c r="A148" s="100">
        <v>45776</v>
      </c>
      <c r="B148" s="93">
        <v>1</v>
      </c>
    </row>
    <row r="149" spans="1:2">
      <c r="A149" s="100">
        <v>45832</v>
      </c>
      <c r="B149" s="93">
        <v>4</v>
      </c>
    </row>
    <row r="150" spans="1:2">
      <c r="A150" s="100">
        <v>45837</v>
      </c>
      <c r="B150" s="93">
        <v>3</v>
      </c>
    </row>
    <row r="151" spans="1:2">
      <c r="A151" s="100">
        <v>45850</v>
      </c>
      <c r="B151" s="93">
        <v>1</v>
      </c>
    </row>
    <row r="152" spans="1:2">
      <c r="A152" s="100">
        <v>45854</v>
      </c>
      <c r="B152" s="93">
        <v>1</v>
      </c>
    </row>
    <row r="153" spans="1:2">
      <c r="A153" s="100">
        <v>45896</v>
      </c>
      <c r="B153" s="93">
        <v>3</v>
      </c>
    </row>
    <row r="154" spans="1:2">
      <c r="A154" s="100">
        <v>45917</v>
      </c>
      <c r="B154" s="93">
        <v>7</v>
      </c>
    </row>
    <row r="155" spans="1:2">
      <c r="A155" s="100">
        <v>45980</v>
      </c>
      <c r="B155" s="93">
        <v>4</v>
      </c>
    </row>
    <row r="156" spans="1:2">
      <c r="A156" s="100">
        <v>45994</v>
      </c>
      <c r="B156" s="93">
        <v>2</v>
      </c>
    </row>
    <row r="157" spans="1:2">
      <c r="A157" s="100" t="s">
        <v>7</v>
      </c>
      <c r="B157" s="93">
        <v>473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F055E-3579-4265-9ECC-341CA9A4E732}">
  <dimension ref="A1:Z308"/>
  <sheetViews>
    <sheetView topLeftCell="D1" zoomScaleNormal="100" workbookViewId="0">
      <selection activeCell="O20" sqref="O20"/>
    </sheetView>
  </sheetViews>
  <sheetFormatPr defaultRowHeight="15" customHeight="1"/>
  <cols>
    <col min="1" max="1" width="16.5703125" bestFit="1" customWidth="1"/>
    <col min="2" max="2" width="15.5703125" bestFit="1" customWidth="1"/>
    <col min="3" max="3" width="18" bestFit="1" customWidth="1"/>
    <col min="4" max="4" width="9.5703125" bestFit="1" customWidth="1"/>
    <col min="5" max="5" width="12.140625" bestFit="1" customWidth="1"/>
    <col min="6" max="6" width="18" bestFit="1" customWidth="1"/>
    <col min="7" max="7" width="18" customWidth="1"/>
    <col min="8" max="8" width="14.140625" bestFit="1" customWidth="1"/>
    <col min="9" max="9" width="14.42578125" bestFit="1" customWidth="1"/>
    <col min="10" max="10" width="6.85546875" bestFit="1" customWidth="1"/>
    <col min="11" max="11" width="9.85546875" bestFit="1" customWidth="1"/>
    <col min="12" max="12" width="7.7109375" bestFit="1" customWidth="1"/>
    <col min="13" max="13" width="14" style="98" bestFit="1" customWidth="1"/>
    <col min="14" max="14" width="14.5703125" bestFit="1" customWidth="1"/>
    <col min="15" max="15" width="19.140625" bestFit="1" customWidth="1"/>
    <col min="16" max="16" width="11.85546875" bestFit="1" customWidth="1"/>
    <col min="17" max="17" width="16.7109375" style="1" bestFit="1" customWidth="1"/>
    <col min="18" max="18" width="10.28515625" bestFit="1" customWidth="1"/>
    <col min="19" max="19" width="15.42578125" bestFit="1" customWidth="1"/>
    <col min="25" max="25" width="18.85546875" customWidth="1"/>
    <col min="26" max="26" width="9.5703125" bestFit="1" customWidth="1"/>
  </cols>
  <sheetData>
    <row r="1" spans="1:19">
      <c r="A1" s="24" t="s">
        <v>8</v>
      </c>
      <c r="B1" s="24" t="s">
        <v>16</v>
      </c>
      <c r="C1" s="24" t="s">
        <v>17</v>
      </c>
      <c r="D1" s="24" t="s">
        <v>18</v>
      </c>
      <c r="E1" s="24" t="s">
        <v>19</v>
      </c>
      <c r="F1" s="24" t="s">
        <v>20</v>
      </c>
      <c r="G1" s="24" t="s">
        <v>21</v>
      </c>
      <c r="H1" s="24" t="s">
        <v>22</v>
      </c>
      <c r="I1" s="24" t="s">
        <v>0</v>
      </c>
      <c r="J1" s="24" t="s">
        <v>23</v>
      </c>
      <c r="K1" s="24" t="s">
        <v>24</v>
      </c>
      <c r="L1" s="24" t="s">
        <v>25</v>
      </c>
      <c r="M1" s="94" t="s">
        <v>15</v>
      </c>
      <c r="N1" s="24" t="s">
        <v>26</v>
      </c>
      <c r="O1" s="24" t="s">
        <v>27</v>
      </c>
      <c r="P1" s="25" t="s">
        <v>28</v>
      </c>
      <c r="Q1" s="1" t="s">
        <v>29</v>
      </c>
      <c r="R1" s="64" t="s">
        <v>30</v>
      </c>
      <c r="S1" s="64" t="s">
        <v>31</v>
      </c>
    </row>
    <row r="2" spans="1:19">
      <c r="A2" s="26" t="s">
        <v>10</v>
      </c>
      <c r="B2" s="26" t="s">
        <v>32</v>
      </c>
      <c r="C2" s="26" t="s">
        <v>33</v>
      </c>
      <c r="D2" s="26" t="s">
        <v>34</v>
      </c>
      <c r="E2" s="26">
        <v>5</v>
      </c>
      <c r="F2" s="26">
        <v>62011</v>
      </c>
      <c r="G2" s="26">
        <f>Sales[[#This Row],[QUANTITY]]*Sales[[#This Row],[PRICE_PER_UNIT]]</f>
        <v>310055</v>
      </c>
      <c r="H2" s="26" t="s">
        <v>35</v>
      </c>
      <c r="I2" s="26" t="s">
        <v>4</v>
      </c>
      <c r="J2" s="26">
        <v>11</v>
      </c>
      <c r="K2" s="26">
        <v>9</v>
      </c>
      <c r="L2" s="26">
        <v>2019</v>
      </c>
      <c r="M2" s="95">
        <v>43719</v>
      </c>
      <c r="N2" s="27">
        <v>43723</v>
      </c>
      <c r="O2" s="27">
        <v>43724</v>
      </c>
      <c r="P2" s="28">
        <v>43728</v>
      </c>
      <c r="Q2" s="1">
        <v>22</v>
      </c>
      <c r="R2" s="65">
        <f t="shared" ref="R2:R65" si="0">P2-M2</f>
        <v>9</v>
      </c>
      <c r="S2" s="63" t="str">
        <f>IF(Sales[[#This Row],[od_dd-d]]&gt;7,"Late_Delivery","In_Time")</f>
        <v>Late_Delivery</v>
      </c>
    </row>
    <row r="3" spans="1:19">
      <c r="A3" s="29" t="s">
        <v>12</v>
      </c>
      <c r="B3" s="29" t="s">
        <v>36</v>
      </c>
      <c r="C3" s="29" t="s">
        <v>37</v>
      </c>
      <c r="D3" s="29" t="s">
        <v>38</v>
      </c>
      <c r="E3" s="29">
        <v>5</v>
      </c>
      <c r="F3" s="29">
        <v>56642</v>
      </c>
      <c r="G3" s="29">
        <f>Sales[[#This Row],[QUANTITY]]*Sales[[#This Row],[PRICE_PER_UNIT]]</f>
        <v>283210</v>
      </c>
      <c r="H3" s="29" t="s">
        <v>39</v>
      </c>
      <c r="I3" s="29" t="s">
        <v>5</v>
      </c>
      <c r="J3" s="29">
        <v>13</v>
      </c>
      <c r="K3" s="29">
        <v>5</v>
      </c>
      <c r="L3" s="29">
        <v>2020</v>
      </c>
      <c r="M3" s="96">
        <v>43964</v>
      </c>
      <c r="N3" s="30">
        <v>43967</v>
      </c>
      <c r="O3" s="30">
        <v>43969</v>
      </c>
      <c r="P3" s="31">
        <v>43970</v>
      </c>
      <c r="Q3" s="1">
        <v>21</v>
      </c>
      <c r="R3" s="65">
        <f t="shared" si="0"/>
        <v>6</v>
      </c>
      <c r="S3" s="63" t="str">
        <f>IF(Sales[[#This Row],[od_dd-d]]&gt;7,"Late_Delivery","In_Time")</f>
        <v>In_Time</v>
      </c>
    </row>
    <row r="4" spans="1:19">
      <c r="A4" s="29" t="s">
        <v>12</v>
      </c>
      <c r="B4" s="29" t="s">
        <v>40</v>
      </c>
      <c r="C4" s="29" t="s">
        <v>41</v>
      </c>
      <c r="D4" s="29" t="s">
        <v>42</v>
      </c>
      <c r="E4" s="29">
        <v>5</v>
      </c>
      <c r="F4" s="29">
        <v>53967</v>
      </c>
      <c r="G4" s="29">
        <f>Sales[[#This Row],[QUANTITY]]*Sales[[#This Row],[PRICE_PER_UNIT]]</f>
        <v>269835</v>
      </c>
      <c r="H4" s="29" t="s">
        <v>43</v>
      </c>
      <c r="I4" s="29" t="s">
        <v>4</v>
      </c>
      <c r="J4" s="29">
        <v>2</v>
      </c>
      <c r="K4" s="29">
        <v>2</v>
      </c>
      <c r="L4" s="29">
        <v>2018</v>
      </c>
      <c r="M4" s="96">
        <v>43133</v>
      </c>
      <c r="N4" s="30">
        <v>43136</v>
      </c>
      <c r="O4" s="30">
        <v>43138</v>
      </c>
      <c r="P4" s="31">
        <v>43139</v>
      </c>
      <c r="Q4" s="1">
        <v>7</v>
      </c>
      <c r="R4" s="65">
        <f t="shared" si="0"/>
        <v>6</v>
      </c>
      <c r="S4" s="63" t="str">
        <f>IF(Sales[[#This Row],[od_dd-d]]&gt;7,"Late_Delivery","In_Time")</f>
        <v>In_Time</v>
      </c>
    </row>
    <row r="5" spans="1:19">
      <c r="A5" s="26" t="s">
        <v>11</v>
      </c>
      <c r="B5" s="26" t="s">
        <v>44</v>
      </c>
      <c r="C5" s="26" t="s">
        <v>45</v>
      </c>
      <c r="D5" s="26" t="s">
        <v>46</v>
      </c>
      <c r="E5" s="26">
        <v>5</v>
      </c>
      <c r="F5" s="26">
        <v>91084</v>
      </c>
      <c r="G5" s="26">
        <f>Sales[[#This Row],[QUANTITY]]*Sales[[#This Row],[PRICE_PER_UNIT]]</f>
        <v>455420</v>
      </c>
      <c r="H5" s="26" t="s">
        <v>47</v>
      </c>
      <c r="I5" s="26" t="s">
        <v>5</v>
      </c>
      <c r="J5" s="26">
        <v>1</v>
      </c>
      <c r="K5" s="26">
        <v>3</v>
      </c>
      <c r="L5" s="26">
        <v>2024</v>
      </c>
      <c r="M5" s="95">
        <v>45352</v>
      </c>
      <c r="N5" s="27">
        <v>45355</v>
      </c>
      <c r="O5" s="27">
        <v>45356</v>
      </c>
      <c r="P5" s="28">
        <v>45360</v>
      </c>
      <c r="Q5" s="1">
        <v>20</v>
      </c>
      <c r="R5" s="65">
        <f t="shared" si="0"/>
        <v>8</v>
      </c>
      <c r="S5" s="63" t="str">
        <f>IF(Sales[[#This Row],[od_dd-d]]&gt;7,"Late_Delivery","In_Time")</f>
        <v>Late_Delivery</v>
      </c>
    </row>
    <row r="6" spans="1:19">
      <c r="A6" s="26" t="s">
        <v>11</v>
      </c>
      <c r="B6" s="26" t="s">
        <v>44</v>
      </c>
      <c r="C6" s="26" t="s">
        <v>45</v>
      </c>
      <c r="D6" s="26" t="s">
        <v>48</v>
      </c>
      <c r="E6" s="26">
        <v>5</v>
      </c>
      <c r="F6" s="26">
        <v>104901</v>
      </c>
      <c r="G6" s="26">
        <f>Sales[[#This Row],[QUANTITY]]*Sales[[#This Row],[PRICE_PER_UNIT]]</f>
        <v>524505</v>
      </c>
      <c r="H6" s="26" t="s">
        <v>49</v>
      </c>
      <c r="I6" s="26" t="s">
        <v>2</v>
      </c>
      <c r="J6" s="26">
        <v>8</v>
      </c>
      <c r="K6" s="26">
        <v>8</v>
      </c>
      <c r="L6" s="26">
        <v>2020</v>
      </c>
      <c r="M6" s="95">
        <v>44051</v>
      </c>
      <c r="N6" s="27">
        <v>44054</v>
      </c>
      <c r="O6" s="27">
        <v>44057</v>
      </c>
      <c r="P6" s="28">
        <v>44058</v>
      </c>
      <c r="Q6" s="1">
        <v>18</v>
      </c>
      <c r="R6" s="65">
        <f t="shared" si="0"/>
        <v>7</v>
      </c>
      <c r="S6" s="63" t="str">
        <f>IF(Sales[[#This Row],[od_dd-d]]&gt;7,"Late_Delivery","In_Time")</f>
        <v>In_Time</v>
      </c>
    </row>
    <row r="7" spans="1:19">
      <c r="A7" s="26" t="s">
        <v>11</v>
      </c>
      <c r="B7" s="26" t="s">
        <v>50</v>
      </c>
      <c r="C7" s="26" t="s">
        <v>51</v>
      </c>
      <c r="D7" s="26" t="s">
        <v>52</v>
      </c>
      <c r="E7" s="26">
        <v>5</v>
      </c>
      <c r="F7" s="26">
        <v>87400</v>
      </c>
      <c r="G7" s="26">
        <f>Sales[[#This Row],[QUANTITY]]*Sales[[#This Row],[PRICE_PER_UNIT]]</f>
        <v>437000</v>
      </c>
      <c r="H7" s="26" t="s">
        <v>53</v>
      </c>
      <c r="I7" s="26" t="s">
        <v>5</v>
      </c>
      <c r="J7" s="26">
        <v>13</v>
      </c>
      <c r="K7" s="26">
        <v>3</v>
      </c>
      <c r="L7" s="26">
        <v>2017</v>
      </c>
      <c r="M7" s="95">
        <v>42807</v>
      </c>
      <c r="N7" s="27">
        <v>42809</v>
      </c>
      <c r="O7" s="27">
        <v>42811</v>
      </c>
      <c r="P7" s="28">
        <v>42815</v>
      </c>
      <c r="Q7" s="1">
        <v>18</v>
      </c>
      <c r="R7" s="65">
        <f t="shared" si="0"/>
        <v>8</v>
      </c>
      <c r="S7" s="63" t="str">
        <f>IF(Sales[[#This Row],[od_dd-d]]&gt;7,"Late_Delivery","In_Time")</f>
        <v>Late_Delivery</v>
      </c>
    </row>
    <row r="8" spans="1:19">
      <c r="A8" s="29" t="s">
        <v>11</v>
      </c>
      <c r="B8" s="29" t="s">
        <v>44</v>
      </c>
      <c r="C8" s="29" t="s">
        <v>45</v>
      </c>
      <c r="D8" s="29" t="s">
        <v>54</v>
      </c>
      <c r="E8" s="29">
        <v>5</v>
      </c>
      <c r="F8" s="29">
        <v>79624</v>
      </c>
      <c r="G8" s="29">
        <f>Sales[[#This Row],[QUANTITY]]*Sales[[#This Row],[PRICE_PER_UNIT]]</f>
        <v>398120</v>
      </c>
      <c r="H8" s="29" t="s">
        <v>55</v>
      </c>
      <c r="I8" s="29" t="s">
        <v>6</v>
      </c>
      <c r="J8" s="29">
        <v>28</v>
      </c>
      <c r="K8" s="29">
        <v>3</v>
      </c>
      <c r="L8" s="29">
        <v>2020</v>
      </c>
      <c r="M8" s="96">
        <v>43918</v>
      </c>
      <c r="N8" s="30">
        <v>43920</v>
      </c>
      <c r="O8" s="30">
        <v>43924</v>
      </c>
      <c r="P8" s="31">
        <v>43927</v>
      </c>
      <c r="Q8" s="1">
        <v>16</v>
      </c>
      <c r="R8" s="65">
        <f t="shared" si="0"/>
        <v>9</v>
      </c>
      <c r="S8" s="63" t="str">
        <f>IF(Sales[[#This Row],[od_dd-d]]&gt;7,"Late_Delivery","In_Time")</f>
        <v>Late_Delivery</v>
      </c>
    </row>
    <row r="9" spans="1:19">
      <c r="A9" s="29" t="s">
        <v>12</v>
      </c>
      <c r="B9" s="29" t="s">
        <v>56</v>
      </c>
      <c r="C9" s="29" t="s">
        <v>57</v>
      </c>
      <c r="D9" s="29" t="s">
        <v>58</v>
      </c>
      <c r="E9" s="29">
        <v>5</v>
      </c>
      <c r="F9" s="29">
        <v>26045</v>
      </c>
      <c r="G9" s="29">
        <f>Sales[[#This Row],[QUANTITY]]*Sales[[#This Row],[PRICE_PER_UNIT]]</f>
        <v>130225</v>
      </c>
      <c r="H9" s="29" t="s">
        <v>39</v>
      </c>
      <c r="I9" s="29" t="s">
        <v>3</v>
      </c>
      <c r="J9" s="29">
        <v>20</v>
      </c>
      <c r="K9" s="29">
        <v>3</v>
      </c>
      <c r="L9" s="29">
        <v>2023</v>
      </c>
      <c r="M9" s="96">
        <v>45005</v>
      </c>
      <c r="N9" s="30">
        <v>45008</v>
      </c>
      <c r="O9" s="30">
        <v>45011</v>
      </c>
      <c r="P9" s="31">
        <v>45013</v>
      </c>
      <c r="Q9" s="1">
        <v>8</v>
      </c>
      <c r="R9" s="65">
        <f t="shared" si="0"/>
        <v>8</v>
      </c>
      <c r="S9" s="63" t="str">
        <f>IF(Sales[[#This Row],[od_dd-d]]&gt;7,"Late_Delivery","In_Time")</f>
        <v>Late_Delivery</v>
      </c>
    </row>
    <row r="10" spans="1:19">
      <c r="A10" s="26" t="s">
        <v>11</v>
      </c>
      <c r="B10" s="26" t="s">
        <v>59</v>
      </c>
      <c r="C10" s="26" t="s">
        <v>60</v>
      </c>
      <c r="D10" s="26" t="s">
        <v>61</v>
      </c>
      <c r="E10" s="26">
        <v>5</v>
      </c>
      <c r="F10" s="26">
        <v>67954</v>
      </c>
      <c r="G10" s="26">
        <f>Sales[[#This Row],[QUANTITY]]*Sales[[#This Row],[PRICE_PER_UNIT]]</f>
        <v>339770</v>
      </c>
      <c r="H10" s="26" t="s">
        <v>39</v>
      </c>
      <c r="I10" s="26" t="s">
        <v>3</v>
      </c>
      <c r="J10" s="26">
        <v>20</v>
      </c>
      <c r="K10" s="26">
        <v>7</v>
      </c>
      <c r="L10" s="26">
        <v>2017</v>
      </c>
      <c r="M10" s="95">
        <v>42936</v>
      </c>
      <c r="N10" s="27">
        <v>42938</v>
      </c>
      <c r="O10" s="27">
        <v>42940</v>
      </c>
      <c r="P10" s="28">
        <v>42941</v>
      </c>
      <c r="Q10" s="1">
        <v>1</v>
      </c>
      <c r="R10" s="65">
        <f t="shared" si="0"/>
        <v>5</v>
      </c>
      <c r="S10" s="63" t="str">
        <f>IF(Sales[[#This Row],[od_dd-d]]&gt;7,"Late_Delivery","In_Time")</f>
        <v>In_Time</v>
      </c>
    </row>
    <row r="11" spans="1:19">
      <c r="A11" s="26" t="s">
        <v>11</v>
      </c>
      <c r="B11" s="26" t="s">
        <v>44</v>
      </c>
      <c r="C11" s="26" t="s">
        <v>62</v>
      </c>
      <c r="D11" s="26" t="s">
        <v>63</v>
      </c>
      <c r="E11" s="26">
        <v>5</v>
      </c>
      <c r="F11" s="26">
        <v>95837</v>
      </c>
      <c r="G11" s="26">
        <f>Sales[[#This Row],[QUANTITY]]*Sales[[#This Row],[PRICE_PER_UNIT]]</f>
        <v>479185</v>
      </c>
      <c r="H11" s="26" t="s">
        <v>64</v>
      </c>
      <c r="I11" s="26" t="s">
        <v>2</v>
      </c>
      <c r="J11" s="26">
        <v>17</v>
      </c>
      <c r="K11" s="26">
        <v>1</v>
      </c>
      <c r="L11" s="26">
        <v>2020</v>
      </c>
      <c r="M11" s="95">
        <v>43847</v>
      </c>
      <c r="N11" s="27">
        <v>43851</v>
      </c>
      <c r="O11" s="27">
        <v>43853</v>
      </c>
      <c r="P11" s="28">
        <v>43854</v>
      </c>
      <c r="Q11" s="1">
        <v>7</v>
      </c>
      <c r="R11" s="65">
        <f t="shared" si="0"/>
        <v>7</v>
      </c>
      <c r="S11" s="63" t="str">
        <f>IF(Sales[[#This Row],[od_dd-d]]&gt;7,"Late_Delivery","In_Time")</f>
        <v>In_Time</v>
      </c>
    </row>
    <row r="12" spans="1:19">
      <c r="A12" s="29" t="s">
        <v>11</v>
      </c>
      <c r="B12" s="29" t="s">
        <v>65</v>
      </c>
      <c r="C12" s="29" t="s">
        <v>66</v>
      </c>
      <c r="D12" s="29" t="s">
        <v>67</v>
      </c>
      <c r="E12" s="29">
        <v>5</v>
      </c>
      <c r="F12" s="29">
        <v>55340</v>
      </c>
      <c r="G12" s="29">
        <f>Sales[[#This Row],[QUANTITY]]*Sales[[#This Row],[PRICE_PER_UNIT]]</f>
        <v>276700</v>
      </c>
      <c r="H12" s="29" t="s">
        <v>53</v>
      </c>
      <c r="I12" s="29" t="s">
        <v>5</v>
      </c>
      <c r="J12" s="29">
        <v>29</v>
      </c>
      <c r="K12" s="29">
        <v>11</v>
      </c>
      <c r="L12" s="29">
        <v>2015</v>
      </c>
      <c r="M12" s="96">
        <v>42337</v>
      </c>
      <c r="N12" s="30">
        <v>42338</v>
      </c>
      <c r="O12" s="30">
        <v>42340</v>
      </c>
      <c r="P12" s="31">
        <v>42343</v>
      </c>
      <c r="Q12" s="1">
        <v>11</v>
      </c>
      <c r="R12" s="65">
        <f t="shared" si="0"/>
        <v>6</v>
      </c>
      <c r="S12" s="63" t="str">
        <f>IF(Sales[[#This Row],[od_dd-d]]&gt;7,"Late_Delivery","In_Time")</f>
        <v>In_Time</v>
      </c>
    </row>
    <row r="13" spans="1:19">
      <c r="A13" s="26" t="s">
        <v>11</v>
      </c>
      <c r="B13" s="26" t="s">
        <v>44</v>
      </c>
      <c r="C13" s="26" t="s">
        <v>62</v>
      </c>
      <c r="D13" s="26" t="s">
        <v>68</v>
      </c>
      <c r="E13" s="26">
        <v>5</v>
      </c>
      <c r="F13" s="26">
        <v>71100</v>
      </c>
      <c r="G13" s="26">
        <f>Sales[[#This Row],[QUANTITY]]*Sales[[#This Row],[PRICE_PER_UNIT]]</f>
        <v>355500</v>
      </c>
      <c r="H13" s="26" t="s">
        <v>64</v>
      </c>
      <c r="I13" s="26" t="s">
        <v>2</v>
      </c>
      <c r="J13" s="26">
        <v>8</v>
      </c>
      <c r="K13" s="26">
        <v>9</v>
      </c>
      <c r="L13" s="26">
        <v>2020</v>
      </c>
      <c r="M13" s="95">
        <v>44082</v>
      </c>
      <c r="N13" s="27">
        <v>44085</v>
      </c>
      <c r="O13" s="27">
        <v>44086</v>
      </c>
      <c r="P13" s="28">
        <v>44090</v>
      </c>
      <c r="Q13" s="1">
        <v>5</v>
      </c>
      <c r="R13" s="65">
        <f t="shared" si="0"/>
        <v>8</v>
      </c>
      <c r="S13" s="63" t="str">
        <f>IF(Sales[[#This Row],[od_dd-d]]&gt;7,"Late_Delivery","In_Time")</f>
        <v>Late_Delivery</v>
      </c>
    </row>
    <row r="14" spans="1:19">
      <c r="A14" s="26" t="s">
        <v>11</v>
      </c>
      <c r="B14" s="26" t="s">
        <v>65</v>
      </c>
      <c r="C14" s="26" t="s">
        <v>66</v>
      </c>
      <c r="D14" s="26" t="s">
        <v>69</v>
      </c>
      <c r="E14" s="26">
        <v>5</v>
      </c>
      <c r="F14" s="26">
        <v>113267</v>
      </c>
      <c r="G14" s="26">
        <f>Sales[[#This Row],[QUANTITY]]*Sales[[#This Row],[PRICE_PER_UNIT]]</f>
        <v>566335</v>
      </c>
      <c r="H14" s="26" t="s">
        <v>53</v>
      </c>
      <c r="I14" s="26" t="s">
        <v>5</v>
      </c>
      <c r="J14" s="26">
        <v>22</v>
      </c>
      <c r="K14" s="26">
        <v>3</v>
      </c>
      <c r="L14" s="26">
        <v>2023</v>
      </c>
      <c r="M14" s="95">
        <v>45007</v>
      </c>
      <c r="N14" s="27">
        <v>45010</v>
      </c>
      <c r="O14" s="27">
        <v>45012</v>
      </c>
      <c r="P14" s="28">
        <v>45015</v>
      </c>
      <c r="Q14" s="1">
        <v>14</v>
      </c>
      <c r="R14" s="65">
        <f t="shared" si="0"/>
        <v>8</v>
      </c>
      <c r="S14" s="63" t="str">
        <f>IF(Sales[[#This Row],[od_dd-d]]&gt;7,"Late_Delivery","In_Time")</f>
        <v>Late_Delivery</v>
      </c>
    </row>
    <row r="15" spans="1:19">
      <c r="A15" s="26" t="s">
        <v>11</v>
      </c>
      <c r="B15" s="26" t="s">
        <v>44</v>
      </c>
      <c r="C15" s="26" t="s">
        <v>62</v>
      </c>
      <c r="D15" s="26" t="s">
        <v>70</v>
      </c>
      <c r="E15" s="26">
        <v>5</v>
      </c>
      <c r="F15" s="26">
        <v>110308</v>
      </c>
      <c r="G15" s="26">
        <f>Sales[[#This Row],[QUANTITY]]*Sales[[#This Row],[PRICE_PER_UNIT]]</f>
        <v>551540</v>
      </c>
      <c r="H15" s="26" t="s">
        <v>35</v>
      </c>
      <c r="I15" s="26" t="s">
        <v>4</v>
      </c>
      <c r="J15" s="26">
        <v>21</v>
      </c>
      <c r="K15" s="26">
        <v>12</v>
      </c>
      <c r="L15" s="26">
        <v>2023</v>
      </c>
      <c r="M15" s="95">
        <v>45281</v>
      </c>
      <c r="N15" s="27">
        <v>45284</v>
      </c>
      <c r="O15" s="27">
        <v>45285</v>
      </c>
      <c r="P15" s="28">
        <v>45289</v>
      </c>
      <c r="Q15" s="1">
        <v>21</v>
      </c>
      <c r="R15" s="65">
        <f t="shared" si="0"/>
        <v>8</v>
      </c>
      <c r="S15" s="63" t="str">
        <f>IF(Sales[[#This Row],[od_dd-d]]&gt;7,"Late_Delivery","In_Time")</f>
        <v>Late_Delivery</v>
      </c>
    </row>
    <row r="16" spans="1:19">
      <c r="A16" s="29" t="s">
        <v>11</v>
      </c>
      <c r="B16" s="29" t="s">
        <v>59</v>
      </c>
      <c r="C16" s="29" t="s">
        <v>59</v>
      </c>
      <c r="D16" s="29" t="s">
        <v>71</v>
      </c>
      <c r="E16" s="29">
        <v>5</v>
      </c>
      <c r="F16" s="29">
        <v>45458</v>
      </c>
      <c r="G16" s="29">
        <f>Sales[[#This Row],[QUANTITY]]*Sales[[#This Row],[PRICE_PER_UNIT]]</f>
        <v>227290</v>
      </c>
      <c r="H16" s="29" t="s">
        <v>53</v>
      </c>
      <c r="I16" s="29" t="s">
        <v>5</v>
      </c>
      <c r="J16" s="29">
        <v>4</v>
      </c>
      <c r="K16" s="29">
        <v>8</v>
      </c>
      <c r="L16" s="29">
        <v>2017</v>
      </c>
      <c r="M16" s="96">
        <v>42951</v>
      </c>
      <c r="N16" s="30">
        <v>42953</v>
      </c>
      <c r="O16" s="30">
        <v>42957</v>
      </c>
      <c r="P16" s="31">
        <v>42959</v>
      </c>
      <c r="Q16" s="1">
        <v>5</v>
      </c>
      <c r="R16" s="65">
        <f t="shared" si="0"/>
        <v>8</v>
      </c>
      <c r="S16" s="63" t="str">
        <f>IF(Sales[[#This Row],[od_dd-d]]&gt;7,"Late_Delivery","In_Time")</f>
        <v>Late_Delivery</v>
      </c>
    </row>
    <row r="17" spans="1:19">
      <c r="A17" s="29" t="s">
        <v>12</v>
      </c>
      <c r="B17" s="29" t="s">
        <v>72</v>
      </c>
      <c r="C17" s="29" t="s">
        <v>73</v>
      </c>
      <c r="D17" s="29" t="s">
        <v>74</v>
      </c>
      <c r="E17" s="29">
        <v>5</v>
      </c>
      <c r="F17" s="29">
        <v>57429</v>
      </c>
      <c r="G17" s="29">
        <f>Sales[[#This Row],[QUANTITY]]*Sales[[#This Row],[PRICE_PER_UNIT]]</f>
        <v>287145</v>
      </c>
      <c r="H17" s="29" t="s">
        <v>75</v>
      </c>
      <c r="I17" s="29" t="s">
        <v>4</v>
      </c>
      <c r="J17" s="29">
        <v>17</v>
      </c>
      <c r="K17" s="29">
        <v>9</v>
      </c>
      <c r="L17" s="29">
        <v>2025</v>
      </c>
      <c r="M17" s="96">
        <v>45917</v>
      </c>
      <c r="N17" s="30">
        <v>45919</v>
      </c>
      <c r="O17" s="30">
        <v>45923</v>
      </c>
      <c r="P17" s="31">
        <v>45926</v>
      </c>
      <c r="Q17" s="1">
        <v>6</v>
      </c>
      <c r="R17" s="65">
        <f t="shared" si="0"/>
        <v>9</v>
      </c>
      <c r="S17" s="63" t="str">
        <f>IF(Sales[[#This Row],[od_dd-d]]&gt;7,"Late_Delivery","In_Time")</f>
        <v>Late_Delivery</v>
      </c>
    </row>
    <row r="18" spans="1:19">
      <c r="A18" s="26" t="s">
        <v>12</v>
      </c>
      <c r="B18" s="26" t="s">
        <v>72</v>
      </c>
      <c r="C18" s="26" t="s">
        <v>73</v>
      </c>
      <c r="D18" s="26" t="s">
        <v>76</v>
      </c>
      <c r="E18" s="26">
        <v>5</v>
      </c>
      <c r="F18" s="26">
        <v>33402</v>
      </c>
      <c r="G18" s="26">
        <f>Sales[[#This Row],[QUANTITY]]*Sales[[#This Row],[PRICE_PER_UNIT]]</f>
        <v>167010</v>
      </c>
      <c r="H18" s="26" t="s">
        <v>43</v>
      </c>
      <c r="I18" s="26" t="s">
        <v>6</v>
      </c>
      <c r="J18" s="26">
        <v>2</v>
      </c>
      <c r="K18" s="26">
        <v>7</v>
      </c>
      <c r="L18" s="26">
        <v>2019</v>
      </c>
      <c r="M18" s="95">
        <v>43648</v>
      </c>
      <c r="N18" s="27">
        <v>43649</v>
      </c>
      <c r="O18" s="27">
        <v>43650</v>
      </c>
      <c r="P18" s="28">
        <v>43653</v>
      </c>
      <c r="Q18" s="1">
        <v>6</v>
      </c>
      <c r="R18" s="65">
        <f t="shared" si="0"/>
        <v>5</v>
      </c>
      <c r="S18" s="63" t="str">
        <f>IF(Sales[[#This Row],[od_dd-d]]&gt;7,"Late_Delivery","In_Time")</f>
        <v>In_Time</v>
      </c>
    </row>
    <row r="19" spans="1:19">
      <c r="A19" s="29" t="s">
        <v>12</v>
      </c>
      <c r="B19" s="29" t="s">
        <v>77</v>
      </c>
      <c r="C19" s="26" t="s">
        <v>78</v>
      </c>
      <c r="D19" s="29" t="s">
        <v>79</v>
      </c>
      <c r="E19" s="29">
        <v>5</v>
      </c>
      <c r="F19" s="29">
        <v>57381</v>
      </c>
      <c r="G19" s="29">
        <f>Sales[[#This Row],[QUANTITY]]*Sales[[#This Row],[PRICE_PER_UNIT]]</f>
        <v>286905</v>
      </c>
      <c r="H19" s="29" t="s">
        <v>55</v>
      </c>
      <c r="I19" s="29" t="s">
        <v>3</v>
      </c>
      <c r="J19" s="29">
        <v>17</v>
      </c>
      <c r="K19" s="29">
        <v>3</v>
      </c>
      <c r="L19" s="29">
        <v>2018</v>
      </c>
      <c r="M19" s="96">
        <v>43176</v>
      </c>
      <c r="N19" s="30">
        <v>43180</v>
      </c>
      <c r="O19" s="30">
        <v>43184</v>
      </c>
      <c r="P19" s="31">
        <v>43186</v>
      </c>
      <c r="Q19" s="1">
        <v>9</v>
      </c>
      <c r="R19" s="65">
        <f t="shared" si="0"/>
        <v>10</v>
      </c>
      <c r="S19" s="63" t="str">
        <f>IF(Sales[[#This Row],[od_dd-d]]&gt;7,"Late_Delivery","In_Time")</f>
        <v>Late_Delivery</v>
      </c>
    </row>
    <row r="20" spans="1:19">
      <c r="A20" s="26" t="s">
        <v>12</v>
      </c>
      <c r="B20" s="26" t="s">
        <v>77</v>
      </c>
      <c r="C20" s="26" t="s">
        <v>80</v>
      </c>
      <c r="D20" s="26" t="s">
        <v>81</v>
      </c>
      <c r="E20" s="26">
        <v>5</v>
      </c>
      <c r="F20" s="26">
        <v>28161</v>
      </c>
      <c r="G20" s="26">
        <f>Sales[[#This Row],[QUANTITY]]*Sales[[#This Row],[PRICE_PER_UNIT]]</f>
        <v>140805</v>
      </c>
      <c r="H20" s="26" t="s">
        <v>39</v>
      </c>
      <c r="I20" s="26" t="s">
        <v>4</v>
      </c>
      <c r="J20" s="26">
        <v>3</v>
      </c>
      <c r="K20" s="26">
        <v>6</v>
      </c>
      <c r="L20" s="26">
        <v>2018</v>
      </c>
      <c r="M20" s="95">
        <v>43254</v>
      </c>
      <c r="N20" s="27">
        <v>43258</v>
      </c>
      <c r="O20" s="27">
        <v>43261</v>
      </c>
      <c r="P20" s="28">
        <v>43265</v>
      </c>
      <c r="Q20" s="1">
        <v>1</v>
      </c>
      <c r="R20" s="65">
        <f t="shared" si="0"/>
        <v>11</v>
      </c>
      <c r="S20" s="63" t="str">
        <f>IF(Sales[[#This Row],[od_dd-d]]&gt;7,"Late_Delivery","In_Time")</f>
        <v>Late_Delivery</v>
      </c>
    </row>
    <row r="21" spans="1:19">
      <c r="A21" s="26" t="s">
        <v>11</v>
      </c>
      <c r="B21" s="26" t="s">
        <v>82</v>
      </c>
      <c r="C21" s="26" t="s">
        <v>83</v>
      </c>
      <c r="D21" s="26" t="s">
        <v>84</v>
      </c>
      <c r="E21" s="26">
        <v>5</v>
      </c>
      <c r="F21" s="26">
        <v>100663</v>
      </c>
      <c r="G21" s="26">
        <f>Sales[[#This Row],[QUANTITY]]*Sales[[#This Row],[PRICE_PER_UNIT]]</f>
        <v>503315</v>
      </c>
      <c r="H21" s="26" t="s">
        <v>43</v>
      </c>
      <c r="I21" s="26" t="s">
        <v>4</v>
      </c>
      <c r="J21" s="26">
        <v>23</v>
      </c>
      <c r="K21" s="26">
        <v>6</v>
      </c>
      <c r="L21" s="26">
        <v>2015</v>
      </c>
      <c r="M21" s="95">
        <v>42178</v>
      </c>
      <c r="N21" s="27">
        <v>42181</v>
      </c>
      <c r="O21" s="27">
        <v>42182</v>
      </c>
      <c r="P21" s="28">
        <v>42183</v>
      </c>
      <c r="Q21" s="1">
        <v>5</v>
      </c>
      <c r="R21" s="65">
        <f t="shared" si="0"/>
        <v>5</v>
      </c>
      <c r="S21" s="63" t="str">
        <f>IF(Sales[[#This Row],[od_dd-d]]&gt;7,"Late_Delivery","In_Time")</f>
        <v>In_Time</v>
      </c>
    </row>
    <row r="22" spans="1:19">
      <c r="A22" s="29" t="s">
        <v>11</v>
      </c>
      <c r="B22" s="29" t="s">
        <v>82</v>
      </c>
      <c r="C22" s="29" t="s">
        <v>85</v>
      </c>
      <c r="D22" s="29" t="s">
        <v>86</v>
      </c>
      <c r="E22" s="29">
        <v>5</v>
      </c>
      <c r="F22" s="29">
        <v>107793</v>
      </c>
      <c r="G22" s="29">
        <f>Sales[[#This Row],[QUANTITY]]*Sales[[#This Row],[PRICE_PER_UNIT]]</f>
        <v>538965</v>
      </c>
      <c r="H22" s="29" t="s">
        <v>53</v>
      </c>
      <c r="I22" s="29" t="s">
        <v>5</v>
      </c>
      <c r="J22" s="29">
        <v>8</v>
      </c>
      <c r="K22" s="29">
        <v>1</v>
      </c>
      <c r="L22" s="29">
        <v>2016</v>
      </c>
      <c r="M22" s="96">
        <v>42377</v>
      </c>
      <c r="N22" s="30">
        <v>42380</v>
      </c>
      <c r="O22" s="30">
        <v>42381</v>
      </c>
      <c r="P22" s="31">
        <v>42385</v>
      </c>
      <c r="Q22" s="1">
        <v>22</v>
      </c>
      <c r="R22" s="65">
        <f t="shared" si="0"/>
        <v>8</v>
      </c>
      <c r="S22" s="63" t="str">
        <f>IF(Sales[[#This Row],[od_dd-d]]&gt;7,"Late_Delivery","In_Time")</f>
        <v>Late_Delivery</v>
      </c>
    </row>
    <row r="23" spans="1:19">
      <c r="A23" s="26" t="s">
        <v>11</v>
      </c>
      <c r="B23" s="26" t="s">
        <v>82</v>
      </c>
      <c r="C23" s="26" t="s">
        <v>85</v>
      </c>
      <c r="D23" s="26" t="s">
        <v>87</v>
      </c>
      <c r="E23" s="26">
        <v>5</v>
      </c>
      <c r="F23" s="26">
        <v>95552</v>
      </c>
      <c r="G23" s="26">
        <f>Sales[[#This Row],[QUANTITY]]*Sales[[#This Row],[PRICE_PER_UNIT]]</f>
        <v>477760</v>
      </c>
      <c r="H23" s="26" t="s">
        <v>43</v>
      </c>
      <c r="I23" s="26" t="s">
        <v>4</v>
      </c>
      <c r="J23" s="26">
        <v>24</v>
      </c>
      <c r="K23" s="26">
        <v>2</v>
      </c>
      <c r="L23" s="26">
        <v>2024</v>
      </c>
      <c r="M23" s="95">
        <v>45346</v>
      </c>
      <c r="N23" s="27">
        <v>45348</v>
      </c>
      <c r="O23" s="27">
        <v>45351</v>
      </c>
      <c r="P23" s="28">
        <v>45355</v>
      </c>
      <c r="Q23" s="1">
        <v>17</v>
      </c>
      <c r="R23" s="65">
        <f t="shared" si="0"/>
        <v>9</v>
      </c>
      <c r="S23" s="63" t="str">
        <f>IF(Sales[[#This Row],[od_dd-d]]&gt;7,"Late_Delivery","In_Time")</f>
        <v>Late_Delivery</v>
      </c>
    </row>
    <row r="24" spans="1:19">
      <c r="A24" s="29" t="s">
        <v>11</v>
      </c>
      <c r="B24" s="29" t="s">
        <v>82</v>
      </c>
      <c r="C24" s="29" t="s">
        <v>83</v>
      </c>
      <c r="D24" s="29" t="s">
        <v>88</v>
      </c>
      <c r="E24" s="29">
        <v>5</v>
      </c>
      <c r="F24" s="29">
        <v>89611</v>
      </c>
      <c r="G24" s="29">
        <f>Sales[[#This Row],[QUANTITY]]*Sales[[#This Row],[PRICE_PER_UNIT]]</f>
        <v>448055</v>
      </c>
      <c r="H24" s="29" t="s">
        <v>89</v>
      </c>
      <c r="I24" s="29" t="s">
        <v>3</v>
      </c>
      <c r="J24" s="29">
        <v>4</v>
      </c>
      <c r="K24" s="29">
        <v>4</v>
      </c>
      <c r="L24" s="29">
        <v>2021</v>
      </c>
      <c r="M24" s="96">
        <v>44290</v>
      </c>
      <c r="N24" s="30">
        <v>44293</v>
      </c>
      <c r="O24" s="30">
        <v>44297</v>
      </c>
      <c r="P24" s="31">
        <v>44300</v>
      </c>
      <c r="Q24" s="1">
        <v>8</v>
      </c>
      <c r="R24" s="65">
        <f t="shared" si="0"/>
        <v>10</v>
      </c>
      <c r="S24" s="63" t="str">
        <f>IF(Sales[[#This Row],[od_dd-d]]&gt;7,"Late_Delivery","In_Time")</f>
        <v>Late_Delivery</v>
      </c>
    </row>
    <row r="25" spans="1:19">
      <c r="A25" s="26" t="s">
        <v>11</v>
      </c>
      <c r="B25" s="26" t="s">
        <v>32</v>
      </c>
      <c r="C25" s="26" t="s">
        <v>90</v>
      </c>
      <c r="D25" s="26" t="s">
        <v>91</v>
      </c>
      <c r="E25" s="26">
        <v>5</v>
      </c>
      <c r="F25" s="26">
        <v>62573</v>
      </c>
      <c r="G25" s="26">
        <f>Sales[[#This Row],[QUANTITY]]*Sales[[#This Row],[PRICE_PER_UNIT]]</f>
        <v>312865</v>
      </c>
      <c r="H25" s="26" t="s">
        <v>53</v>
      </c>
      <c r="I25" s="26" t="s">
        <v>5</v>
      </c>
      <c r="J25" s="26">
        <v>6</v>
      </c>
      <c r="K25" s="26">
        <v>7</v>
      </c>
      <c r="L25" s="26">
        <v>2021</v>
      </c>
      <c r="M25" s="95">
        <v>44383</v>
      </c>
      <c r="N25" s="27">
        <v>44385</v>
      </c>
      <c r="O25" s="27">
        <v>44386</v>
      </c>
      <c r="P25" s="28">
        <v>44390</v>
      </c>
      <c r="Q25" s="1">
        <v>23</v>
      </c>
      <c r="R25" s="65">
        <f t="shared" si="0"/>
        <v>7</v>
      </c>
      <c r="S25" s="63" t="str">
        <f>IF(Sales[[#This Row],[od_dd-d]]&gt;7,"Late_Delivery","In_Time")</f>
        <v>In_Time</v>
      </c>
    </row>
    <row r="26" spans="1:19">
      <c r="A26" s="26" t="s">
        <v>11</v>
      </c>
      <c r="B26" s="26" t="s">
        <v>32</v>
      </c>
      <c r="C26" s="26" t="s">
        <v>90</v>
      </c>
      <c r="D26" s="26" t="s">
        <v>92</v>
      </c>
      <c r="E26" s="26">
        <v>5</v>
      </c>
      <c r="F26" s="26">
        <v>87968</v>
      </c>
      <c r="G26" s="26">
        <f>Sales[[#This Row],[QUANTITY]]*Sales[[#This Row],[PRICE_PER_UNIT]]</f>
        <v>439840</v>
      </c>
      <c r="H26" s="26" t="s">
        <v>39</v>
      </c>
      <c r="I26" s="26" t="s">
        <v>3</v>
      </c>
      <c r="J26" s="26">
        <v>17</v>
      </c>
      <c r="K26" s="26">
        <v>4</v>
      </c>
      <c r="L26" s="26">
        <v>2018</v>
      </c>
      <c r="M26" s="95">
        <v>43207</v>
      </c>
      <c r="N26" s="27">
        <v>43208</v>
      </c>
      <c r="O26" s="27">
        <v>43209</v>
      </c>
      <c r="P26" s="28">
        <v>43213</v>
      </c>
      <c r="Q26" s="1">
        <v>1</v>
      </c>
      <c r="R26" s="65">
        <f t="shared" si="0"/>
        <v>6</v>
      </c>
      <c r="S26" s="63" t="str">
        <f>IF(Sales[[#This Row],[od_dd-d]]&gt;7,"Late_Delivery","In_Time")</f>
        <v>In_Time</v>
      </c>
    </row>
    <row r="27" spans="1:19">
      <c r="A27" s="26" t="s">
        <v>11</v>
      </c>
      <c r="B27" s="26" t="s">
        <v>32</v>
      </c>
      <c r="C27" s="26" t="s">
        <v>90</v>
      </c>
      <c r="D27" s="26" t="s">
        <v>93</v>
      </c>
      <c r="E27" s="26">
        <v>5</v>
      </c>
      <c r="F27" s="26">
        <v>58053</v>
      </c>
      <c r="G27" s="26">
        <f>Sales[[#This Row],[QUANTITY]]*Sales[[#This Row],[PRICE_PER_UNIT]]</f>
        <v>290265</v>
      </c>
      <c r="H27" s="26" t="s">
        <v>75</v>
      </c>
      <c r="I27" s="26" t="s">
        <v>5</v>
      </c>
      <c r="J27" s="26">
        <v>13</v>
      </c>
      <c r="K27" s="26">
        <v>11</v>
      </c>
      <c r="L27" s="26">
        <v>2024</v>
      </c>
      <c r="M27" s="95">
        <v>45609</v>
      </c>
      <c r="N27" s="27">
        <v>45613</v>
      </c>
      <c r="O27" s="27">
        <v>45614</v>
      </c>
      <c r="P27" s="28">
        <v>45617</v>
      </c>
      <c r="Q27" s="1">
        <v>20</v>
      </c>
      <c r="R27" s="65">
        <f t="shared" si="0"/>
        <v>8</v>
      </c>
      <c r="S27" s="63" t="str">
        <f>IF(Sales[[#This Row],[od_dd-d]]&gt;7,"Late_Delivery","In_Time")</f>
        <v>Late_Delivery</v>
      </c>
    </row>
    <row r="28" spans="1:19">
      <c r="A28" s="29" t="s">
        <v>11</v>
      </c>
      <c r="B28" s="29" t="s">
        <v>65</v>
      </c>
      <c r="C28" s="29" t="s">
        <v>94</v>
      </c>
      <c r="D28" s="29" t="s">
        <v>95</v>
      </c>
      <c r="E28" s="29">
        <v>5</v>
      </c>
      <c r="F28" s="29">
        <v>116551</v>
      </c>
      <c r="G28" s="29">
        <f>Sales[[#This Row],[QUANTITY]]*Sales[[#This Row],[PRICE_PER_UNIT]]</f>
        <v>582755</v>
      </c>
      <c r="H28" s="29" t="s">
        <v>64</v>
      </c>
      <c r="I28" s="29" t="s">
        <v>2</v>
      </c>
      <c r="J28" s="29">
        <v>9</v>
      </c>
      <c r="K28" s="29">
        <v>2</v>
      </c>
      <c r="L28" s="29">
        <v>2024</v>
      </c>
      <c r="M28" s="96">
        <v>45331</v>
      </c>
      <c r="N28" s="30">
        <v>45332</v>
      </c>
      <c r="O28" s="30">
        <v>45334</v>
      </c>
      <c r="P28" s="31">
        <v>45337</v>
      </c>
      <c r="Q28" s="1">
        <v>17</v>
      </c>
      <c r="R28" s="65">
        <f t="shared" si="0"/>
        <v>6</v>
      </c>
      <c r="S28" s="63" t="str">
        <f>IF(Sales[[#This Row],[od_dd-d]]&gt;7,"Late_Delivery","In_Time")</f>
        <v>In_Time</v>
      </c>
    </row>
    <row r="29" spans="1:19">
      <c r="A29" s="26" t="s">
        <v>11</v>
      </c>
      <c r="B29" s="26" t="s">
        <v>65</v>
      </c>
      <c r="C29" s="26" t="s">
        <v>94</v>
      </c>
      <c r="D29" s="26" t="s">
        <v>96</v>
      </c>
      <c r="E29" s="26">
        <v>5</v>
      </c>
      <c r="F29" s="26">
        <v>62500</v>
      </c>
      <c r="G29" s="26">
        <f>Sales[[#This Row],[QUANTITY]]*Sales[[#This Row],[PRICE_PER_UNIT]]</f>
        <v>312500</v>
      </c>
      <c r="H29" s="26" t="s">
        <v>75</v>
      </c>
      <c r="I29" s="26" t="s">
        <v>5</v>
      </c>
      <c r="J29" s="26">
        <v>1</v>
      </c>
      <c r="K29" s="26">
        <v>6</v>
      </c>
      <c r="L29" s="26">
        <v>2024</v>
      </c>
      <c r="M29" s="95">
        <v>45444</v>
      </c>
      <c r="N29" s="27">
        <v>45447</v>
      </c>
      <c r="O29" s="27">
        <v>45449</v>
      </c>
      <c r="P29" s="28">
        <v>45451</v>
      </c>
      <c r="Q29" s="1">
        <v>21</v>
      </c>
      <c r="R29" s="65">
        <f t="shared" si="0"/>
        <v>7</v>
      </c>
      <c r="S29" s="63" t="str">
        <f>IF(Sales[[#This Row],[od_dd-d]]&gt;7,"Late_Delivery","In_Time")</f>
        <v>In_Time</v>
      </c>
    </row>
    <row r="30" spans="1:19">
      <c r="A30" s="29" t="s">
        <v>12</v>
      </c>
      <c r="B30" s="29" t="s">
        <v>97</v>
      </c>
      <c r="C30" s="29" t="s">
        <v>98</v>
      </c>
      <c r="D30" s="29" t="s">
        <v>99</v>
      </c>
      <c r="E30" s="29">
        <v>5</v>
      </c>
      <c r="F30" s="29">
        <v>13403</v>
      </c>
      <c r="G30" s="29">
        <f>Sales[[#This Row],[QUANTITY]]*Sales[[#This Row],[PRICE_PER_UNIT]]</f>
        <v>67015</v>
      </c>
      <c r="H30" s="29" t="s">
        <v>39</v>
      </c>
      <c r="I30" s="29" t="s">
        <v>4</v>
      </c>
      <c r="J30" s="29">
        <v>10</v>
      </c>
      <c r="K30" s="29">
        <v>6</v>
      </c>
      <c r="L30" s="29">
        <v>2020</v>
      </c>
      <c r="M30" s="96">
        <v>43992</v>
      </c>
      <c r="N30" s="30">
        <v>43996</v>
      </c>
      <c r="O30" s="30">
        <v>44000</v>
      </c>
      <c r="P30" s="31">
        <v>44004</v>
      </c>
      <c r="Q30" s="1">
        <v>5</v>
      </c>
      <c r="R30" s="65">
        <f t="shared" si="0"/>
        <v>12</v>
      </c>
      <c r="S30" s="63" t="str">
        <f>IF(Sales[[#This Row],[od_dd-d]]&gt;7,"Late_Delivery","In_Time")</f>
        <v>Late_Delivery</v>
      </c>
    </row>
    <row r="31" spans="1:19">
      <c r="A31" s="29" t="s">
        <v>11</v>
      </c>
      <c r="B31" s="29" t="s">
        <v>59</v>
      </c>
      <c r="C31" s="29" t="s">
        <v>100</v>
      </c>
      <c r="D31" s="29" t="s">
        <v>101</v>
      </c>
      <c r="E31" s="29">
        <v>5</v>
      </c>
      <c r="F31" s="29">
        <v>71406</v>
      </c>
      <c r="G31" s="29">
        <f>Sales[[#This Row],[QUANTITY]]*Sales[[#This Row],[PRICE_PER_UNIT]]</f>
        <v>357030</v>
      </c>
      <c r="H31" s="29" t="s">
        <v>49</v>
      </c>
      <c r="I31" s="29" t="s">
        <v>2</v>
      </c>
      <c r="J31" s="29">
        <v>21</v>
      </c>
      <c r="K31" s="29">
        <v>4</v>
      </c>
      <c r="L31" s="29">
        <v>2025</v>
      </c>
      <c r="M31" s="96">
        <v>45768</v>
      </c>
      <c r="N31" s="30">
        <v>45770</v>
      </c>
      <c r="O31" s="30">
        <v>45774</v>
      </c>
      <c r="P31" s="31">
        <v>45776</v>
      </c>
      <c r="Q31" s="1">
        <v>20</v>
      </c>
      <c r="R31" s="65">
        <f t="shared" si="0"/>
        <v>8</v>
      </c>
      <c r="S31" s="63" t="str">
        <f>IF(Sales[[#This Row],[od_dd-d]]&gt;7,"Late_Delivery","In_Time")</f>
        <v>Late_Delivery</v>
      </c>
    </row>
    <row r="32" spans="1:19">
      <c r="A32" s="26" t="s">
        <v>11</v>
      </c>
      <c r="B32" s="26" t="s">
        <v>59</v>
      </c>
      <c r="C32" s="26" t="s">
        <v>100</v>
      </c>
      <c r="D32" s="26" t="s">
        <v>102</v>
      </c>
      <c r="E32" s="26">
        <v>5</v>
      </c>
      <c r="F32" s="26">
        <v>68983</v>
      </c>
      <c r="G32" s="26">
        <f>Sales[[#This Row],[QUANTITY]]*Sales[[#This Row],[PRICE_PER_UNIT]]</f>
        <v>344915</v>
      </c>
      <c r="H32" s="26" t="s">
        <v>55</v>
      </c>
      <c r="I32" s="26" t="s">
        <v>6</v>
      </c>
      <c r="J32" s="26">
        <v>19</v>
      </c>
      <c r="K32" s="26">
        <v>6</v>
      </c>
      <c r="L32" s="26">
        <v>2022</v>
      </c>
      <c r="M32" s="95">
        <v>44731</v>
      </c>
      <c r="N32" s="27">
        <v>44733</v>
      </c>
      <c r="O32" s="27">
        <v>44736</v>
      </c>
      <c r="P32" s="28">
        <v>44739</v>
      </c>
      <c r="Q32" s="1">
        <v>7</v>
      </c>
      <c r="R32" s="65">
        <f t="shared" si="0"/>
        <v>8</v>
      </c>
      <c r="S32" s="63" t="str">
        <f>IF(Sales[[#This Row],[od_dd-d]]&gt;7,"Late_Delivery","In_Time")</f>
        <v>Late_Delivery</v>
      </c>
    </row>
    <row r="33" spans="1:19">
      <c r="A33" s="26" t="s">
        <v>14</v>
      </c>
      <c r="B33" s="26" t="s">
        <v>32</v>
      </c>
      <c r="C33" s="26" t="s">
        <v>33</v>
      </c>
      <c r="D33" s="26" t="s">
        <v>103</v>
      </c>
      <c r="E33" s="26">
        <v>4</v>
      </c>
      <c r="F33" s="26">
        <v>54984</v>
      </c>
      <c r="G33" s="26">
        <f>Sales[[#This Row],[QUANTITY]]*Sales[[#This Row],[PRICE_PER_UNIT]]</f>
        <v>219936</v>
      </c>
      <c r="H33" s="26" t="s">
        <v>35</v>
      </c>
      <c r="I33" s="26" t="s">
        <v>4</v>
      </c>
      <c r="J33" s="26">
        <v>11</v>
      </c>
      <c r="K33" s="26">
        <v>11</v>
      </c>
      <c r="L33" s="26">
        <v>2015</v>
      </c>
      <c r="M33" s="95">
        <v>42319</v>
      </c>
      <c r="N33" s="27">
        <v>42321</v>
      </c>
      <c r="O33" s="27">
        <v>42324</v>
      </c>
      <c r="P33" s="28">
        <v>42326</v>
      </c>
      <c r="Q33" s="1">
        <v>16</v>
      </c>
      <c r="R33" s="65">
        <f t="shared" si="0"/>
        <v>7</v>
      </c>
      <c r="S33" s="63" t="str">
        <f>IF(Sales[[#This Row],[od_dd-d]]&gt;7,"Late_Delivery","In_Time")</f>
        <v>In_Time</v>
      </c>
    </row>
    <row r="34" spans="1:19">
      <c r="A34" s="29" t="s">
        <v>12</v>
      </c>
      <c r="B34" s="29" t="s">
        <v>36</v>
      </c>
      <c r="C34" s="29" t="s">
        <v>37</v>
      </c>
      <c r="D34" s="29" t="s">
        <v>104</v>
      </c>
      <c r="E34" s="29">
        <v>4</v>
      </c>
      <c r="F34" s="29">
        <v>23594</v>
      </c>
      <c r="G34" s="29">
        <f>Sales[[#This Row],[QUANTITY]]*Sales[[#This Row],[PRICE_PER_UNIT]]</f>
        <v>94376</v>
      </c>
      <c r="H34" s="29" t="s">
        <v>75</v>
      </c>
      <c r="I34" s="29" t="s">
        <v>5</v>
      </c>
      <c r="J34" s="29">
        <v>28</v>
      </c>
      <c r="K34" s="29">
        <v>8</v>
      </c>
      <c r="L34" s="29">
        <v>2023</v>
      </c>
      <c r="M34" s="96">
        <v>45166</v>
      </c>
      <c r="N34" s="30">
        <v>45170</v>
      </c>
      <c r="O34" s="30">
        <v>45171</v>
      </c>
      <c r="P34" s="31">
        <v>45174</v>
      </c>
      <c r="Q34" s="1">
        <v>5</v>
      </c>
      <c r="R34" s="65">
        <f t="shared" si="0"/>
        <v>8</v>
      </c>
      <c r="S34" s="63" t="str">
        <f>IF(Sales[[#This Row],[od_dd-d]]&gt;7,"Late_Delivery","In_Time")</f>
        <v>Late_Delivery</v>
      </c>
    </row>
    <row r="35" spans="1:19">
      <c r="A35" s="29" t="s">
        <v>12</v>
      </c>
      <c r="B35" s="29" t="s">
        <v>105</v>
      </c>
      <c r="C35" s="29" t="s">
        <v>106</v>
      </c>
      <c r="D35" s="29" t="s">
        <v>107</v>
      </c>
      <c r="E35" s="29">
        <v>4</v>
      </c>
      <c r="F35" s="29">
        <v>22456</v>
      </c>
      <c r="G35" s="29">
        <f>Sales[[#This Row],[QUANTITY]]*Sales[[#This Row],[PRICE_PER_UNIT]]</f>
        <v>89824</v>
      </c>
      <c r="H35" s="29" t="s">
        <v>43</v>
      </c>
      <c r="I35" s="29" t="s">
        <v>3</v>
      </c>
      <c r="J35" s="29">
        <v>10</v>
      </c>
      <c r="K35" s="29">
        <v>5</v>
      </c>
      <c r="L35" s="29">
        <v>2020</v>
      </c>
      <c r="M35" s="96">
        <v>43961</v>
      </c>
      <c r="N35" s="30">
        <v>43964</v>
      </c>
      <c r="O35" s="30">
        <v>43968</v>
      </c>
      <c r="P35" s="31">
        <v>43972</v>
      </c>
      <c r="Q35" s="1">
        <v>21</v>
      </c>
      <c r="R35" s="65">
        <f t="shared" si="0"/>
        <v>11</v>
      </c>
      <c r="S35" s="63" t="str">
        <f>IF(Sales[[#This Row],[od_dd-d]]&gt;7,"Late_Delivery","In_Time")</f>
        <v>Late_Delivery</v>
      </c>
    </row>
    <row r="36" spans="1:19">
      <c r="A36" s="26" t="s">
        <v>11</v>
      </c>
      <c r="B36" s="26" t="s">
        <v>50</v>
      </c>
      <c r="C36" s="26" t="s">
        <v>108</v>
      </c>
      <c r="D36" s="26" t="s">
        <v>109</v>
      </c>
      <c r="E36" s="26">
        <v>4</v>
      </c>
      <c r="F36" s="26">
        <v>65659</v>
      </c>
      <c r="G36" s="26">
        <f>Sales[[#This Row],[QUANTITY]]*Sales[[#This Row],[PRICE_PER_UNIT]]</f>
        <v>262636</v>
      </c>
      <c r="H36" s="26" t="s">
        <v>55</v>
      </c>
      <c r="I36" s="26" t="s">
        <v>6</v>
      </c>
      <c r="J36" s="26">
        <v>19</v>
      </c>
      <c r="K36" s="26">
        <v>11</v>
      </c>
      <c r="L36" s="26">
        <v>2025</v>
      </c>
      <c r="M36" s="95">
        <v>45980</v>
      </c>
      <c r="N36" s="27">
        <v>45981</v>
      </c>
      <c r="O36" s="27">
        <v>45984</v>
      </c>
      <c r="P36" s="28">
        <v>45985</v>
      </c>
      <c r="Q36" s="1">
        <v>19</v>
      </c>
      <c r="R36" s="65">
        <f t="shared" si="0"/>
        <v>5</v>
      </c>
      <c r="S36" s="63" t="str">
        <f>IF(Sales[[#This Row],[od_dd-d]]&gt;7,"Late_Delivery","In_Time")</f>
        <v>In_Time</v>
      </c>
    </row>
    <row r="37" spans="1:19">
      <c r="A37" s="29" t="s">
        <v>11</v>
      </c>
      <c r="B37" s="29" t="s">
        <v>50</v>
      </c>
      <c r="C37" s="29" t="s">
        <v>108</v>
      </c>
      <c r="D37" s="29" t="s">
        <v>110</v>
      </c>
      <c r="E37" s="29">
        <v>4</v>
      </c>
      <c r="F37" s="29">
        <v>103163</v>
      </c>
      <c r="G37" s="29">
        <f>Sales[[#This Row],[QUANTITY]]*Sales[[#This Row],[PRICE_PER_UNIT]]</f>
        <v>412652</v>
      </c>
      <c r="H37" s="29" t="s">
        <v>64</v>
      </c>
      <c r="I37" s="29" t="s">
        <v>2</v>
      </c>
      <c r="J37" s="29">
        <v>28</v>
      </c>
      <c r="K37" s="29">
        <v>10</v>
      </c>
      <c r="L37" s="29">
        <v>2017</v>
      </c>
      <c r="M37" s="96">
        <v>43036</v>
      </c>
      <c r="N37" s="30">
        <v>43038</v>
      </c>
      <c r="O37" s="30">
        <v>43040</v>
      </c>
      <c r="P37" s="31">
        <v>43044</v>
      </c>
      <c r="Q37" s="1">
        <v>18</v>
      </c>
      <c r="R37" s="65">
        <f t="shared" si="0"/>
        <v>8</v>
      </c>
      <c r="S37" s="63" t="str">
        <f>IF(Sales[[#This Row],[od_dd-d]]&gt;7,"Late_Delivery","In_Time")</f>
        <v>Late_Delivery</v>
      </c>
    </row>
    <row r="38" spans="1:19">
      <c r="A38" s="26" t="s">
        <v>12</v>
      </c>
      <c r="B38" s="26" t="s">
        <v>40</v>
      </c>
      <c r="C38" s="26" t="s">
        <v>41</v>
      </c>
      <c r="D38" s="26" t="s">
        <v>111</v>
      </c>
      <c r="E38" s="26">
        <v>4</v>
      </c>
      <c r="F38" s="26">
        <v>61702</v>
      </c>
      <c r="G38" s="26">
        <f>Sales[[#This Row],[QUANTITY]]*Sales[[#This Row],[PRICE_PER_UNIT]]</f>
        <v>246808</v>
      </c>
      <c r="H38" s="26" t="s">
        <v>75</v>
      </c>
      <c r="I38" s="26" t="s">
        <v>6</v>
      </c>
      <c r="J38" s="26">
        <v>30</v>
      </c>
      <c r="K38" s="26">
        <v>3</v>
      </c>
      <c r="L38" s="26">
        <v>2022</v>
      </c>
      <c r="M38" s="95">
        <v>44650</v>
      </c>
      <c r="N38" s="27">
        <v>44653</v>
      </c>
      <c r="O38" s="27">
        <v>44654</v>
      </c>
      <c r="P38" s="28">
        <v>44658</v>
      </c>
      <c r="Q38" s="1">
        <v>5</v>
      </c>
      <c r="R38" s="65">
        <f t="shared" si="0"/>
        <v>8</v>
      </c>
      <c r="S38" s="63" t="str">
        <f>IF(Sales[[#This Row],[od_dd-d]]&gt;7,"Late_Delivery","In_Time")</f>
        <v>Late_Delivery</v>
      </c>
    </row>
    <row r="39" spans="1:19">
      <c r="A39" s="26" t="s">
        <v>11</v>
      </c>
      <c r="B39" s="26" t="s">
        <v>50</v>
      </c>
      <c r="C39" s="26" t="s">
        <v>51</v>
      </c>
      <c r="D39" s="26" t="s">
        <v>112</v>
      </c>
      <c r="E39" s="26">
        <v>4</v>
      </c>
      <c r="F39" s="26">
        <v>95916</v>
      </c>
      <c r="G39" s="26">
        <f>Sales[[#This Row],[QUANTITY]]*Sales[[#This Row],[PRICE_PER_UNIT]]</f>
        <v>383664</v>
      </c>
      <c r="H39" s="26" t="s">
        <v>55</v>
      </c>
      <c r="I39" s="26" t="s">
        <v>6</v>
      </c>
      <c r="J39" s="26">
        <v>6</v>
      </c>
      <c r="K39" s="26">
        <v>6</v>
      </c>
      <c r="L39" s="26">
        <v>2019</v>
      </c>
      <c r="M39" s="95">
        <v>43622</v>
      </c>
      <c r="N39" s="27">
        <v>43626</v>
      </c>
      <c r="O39" s="27">
        <v>43629</v>
      </c>
      <c r="P39" s="28">
        <v>43630</v>
      </c>
      <c r="Q39" s="1">
        <v>2</v>
      </c>
      <c r="R39" s="65">
        <f t="shared" si="0"/>
        <v>8</v>
      </c>
      <c r="S39" s="63" t="str">
        <f>IF(Sales[[#This Row],[od_dd-d]]&gt;7,"Late_Delivery","In_Time")</f>
        <v>Late_Delivery</v>
      </c>
    </row>
    <row r="40" spans="1:19">
      <c r="A40" s="29" t="s">
        <v>11</v>
      </c>
      <c r="B40" s="29" t="s">
        <v>44</v>
      </c>
      <c r="C40" s="29" t="s">
        <v>45</v>
      </c>
      <c r="D40" s="29" t="s">
        <v>113</v>
      </c>
      <c r="E40" s="29">
        <v>4</v>
      </c>
      <c r="F40" s="29">
        <v>66725</v>
      </c>
      <c r="G40" s="29">
        <f>Sales[[#This Row],[QUANTITY]]*Sales[[#This Row],[PRICE_PER_UNIT]]</f>
        <v>266900</v>
      </c>
      <c r="H40" s="29" t="s">
        <v>39</v>
      </c>
      <c r="I40" s="29" t="s">
        <v>3</v>
      </c>
      <c r="J40" s="29">
        <v>12</v>
      </c>
      <c r="K40" s="29">
        <v>12</v>
      </c>
      <c r="L40" s="29">
        <v>2022</v>
      </c>
      <c r="M40" s="96">
        <v>44907</v>
      </c>
      <c r="N40" s="30">
        <v>44908</v>
      </c>
      <c r="O40" s="30">
        <v>44910</v>
      </c>
      <c r="P40" s="31">
        <v>44913</v>
      </c>
      <c r="Q40" s="1">
        <v>13</v>
      </c>
      <c r="R40" s="65">
        <f t="shared" si="0"/>
        <v>6</v>
      </c>
      <c r="S40" s="63" t="str">
        <f>IF(Sales[[#This Row],[od_dd-d]]&gt;7,"Late_Delivery","In_Time")</f>
        <v>In_Time</v>
      </c>
    </row>
    <row r="41" spans="1:19">
      <c r="A41" s="29" t="s">
        <v>11</v>
      </c>
      <c r="B41" s="29" t="s">
        <v>50</v>
      </c>
      <c r="C41" s="29" t="s">
        <v>51</v>
      </c>
      <c r="D41" s="29" t="s">
        <v>114</v>
      </c>
      <c r="E41" s="29">
        <v>4</v>
      </c>
      <c r="F41" s="29">
        <v>79393</v>
      </c>
      <c r="G41" s="29">
        <f>Sales[[#This Row],[QUANTITY]]*Sales[[#This Row],[PRICE_PER_UNIT]]</f>
        <v>317572</v>
      </c>
      <c r="H41" s="29" t="s">
        <v>39</v>
      </c>
      <c r="I41" s="29" t="s">
        <v>3</v>
      </c>
      <c r="J41" s="29">
        <v>25</v>
      </c>
      <c r="K41" s="29">
        <v>1</v>
      </c>
      <c r="L41" s="29">
        <v>2023</v>
      </c>
      <c r="M41" s="96">
        <v>44951</v>
      </c>
      <c r="N41" s="30">
        <v>44952</v>
      </c>
      <c r="O41" s="30">
        <v>44955</v>
      </c>
      <c r="P41" s="31">
        <v>44957</v>
      </c>
      <c r="Q41" s="1">
        <v>21</v>
      </c>
      <c r="R41" s="65">
        <f t="shared" si="0"/>
        <v>6</v>
      </c>
      <c r="S41" s="63" t="str">
        <f>IF(Sales[[#This Row],[od_dd-d]]&gt;7,"Late_Delivery","In_Time")</f>
        <v>In_Time</v>
      </c>
    </row>
    <row r="42" spans="1:19">
      <c r="A42" s="26" t="s">
        <v>12</v>
      </c>
      <c r="B42" s="26" t="s">
        <v>115</v>
      </c>
      <c r="C42" s="26" t="s">
        <v>116</v>
      </c>
      <c r="D42" s="26" t="s">
        <v>117</v>
      </c>
      <c r="E42" s="26">
        <v>4</v>
      </c>
      <c r="F42" s="26">
        <v>26124</v>
      </c>
      <c r="G42" s="26">
        <f>Sales[[#This Row],[QUANTITY]]*Sales[[#This Row],[PRICE_PER_UNIT]]</f>
        <v>104496</v>
      </c>
      <c r="H42" s="26" t="s">
        <v>43</v>
      </c>
      <c r="I42" s="26" t="s">
        <v>6</v>
      </c>
      <c r="J42" s="26">
        <v>16</v>
      </c>
      <c r="K42" s="26">
        <v>2</v>
      </c>
      <c r="L42" s="26">
        <v>2015</v>
      </c>
      <c r="M42" s="95">
        <v>42051</v>
      </c>
      <c r="N42" s="27">
        <v>42053</v>
      </c>
      <c r="O42" s="27">
        <v>42057</v>
      </c>
      <c r="P42" s="28">
        <v>42059</v>
      </c>
      <c r="Q42" s="1">
        <v>17</v>
      </c>
      <c r="R42" s="65">
        <f t="shared" si="0"/>
        <v>8</v>
      </c>
      <c r="S42" s="63" t="str">
        <f>IF(Sales[[#This Row],[od_dd-d]]&gt;7,"Late_Delivery","In_Time")</f>
        <v>Late_Delivery</v>
      </c>
    </row>
    <row r="43" spans="1:19">
      <c r="A43" s="29" t="s">
        <v>12</v>
      </c>
      <c r="B43" s="29" t="s">
        <v>56</v>
      </c>
      <c r="C43" s="29" t="s">
        <v>57</v>
      </c>
      <c r="D43" s="29" t="s">
        <v>118</v>
      </c>
      <c r="E43" s="29">
        <v>4</v>
      </c>
      <c r="F43" s="29">
        <v>25166</v>
      </c>
      <c r="G43" s="29">
        <f>Sales[[#This Row],[QUANTITY]]*Sales[[#This Row],[PRICE_PER_UNIT]]</f>
        <v>100664</v>
      </c>
      <c r="H43" s="29" t="s">
        <v>75</v>
      </c>
      <c r="I43" s="29" t="s">
        <v>4</v>
      </c>
      <c r="J43" s="29">
        <v>15</v>
      </c>
      <c r="K43" s="29">
        <v>1</v>
      </c>
      <c r="L43" s="29">
        <v>2018</v>
      </c>
      <c r="M43" s="96">
        <v>43115</v>
      </c>
      <c r="N43" s="30">
        <v>43117</v>
      </c>
      <c r="O43" s="30">
        <v>43119</v>
      </c>
      <c r="P43" s="31">
        <v>43120</v>
      </c>
      <c r="Q43" s="1">
        <v>11</v>
      </c>
      <c r="R43" s="65">
        <f t="shared" si="0"/>
        <v>5</v>
      </c>
      <c r="S43" s="63" t="str">
        <f>IF(Sales[[#This Row],[od_dd-d]]&gt;7,"Late_Delivery","In_Time")</f>
        <v>In_Time</v>
      </c>
    </row>
    <row r="44" spans="1:19">
      <c r="A44" s="26" t="s">
        <v>12</v>
      </c>
      <c r="B44" s="26" t="s">
        <v>115</v>
      </c>
      <c r="C44" s="26" t="s">
        <v>116</v>
      </c>
      <c r="D44" s="26" t="s">
        <v>119</v>
      </c>
      <c r="E44" s="26">
        <v>4</v>
      </c>
      <c r="F44" s="26">
        <v>87933</v>
      </c>
      <c r="G44" s="26">
        <f>Sales[[#This Row],[QUANTITY]]*Sales[[#This Row],[PRICE_PER_UNIT]]</f>
        <v>351732</v>
      </c>
      <c r="H44" s="26" t="s">
        <v>39</v>
      </c>
      <c r="I44" s="26" t="s">
        <v>3</v>
      </c>
      <c r="J44" s="26">
        <v>1</v>
      </c>
      <c r="K44" s="26">
        <v>8</v>
      </c>
      <c r="L44" s="26">
        <v>2018</v>
      </c>
      <c r="M44" s="95">
        <v>43313</v>
      </c>
      <c r="N44" s="27">
        <v>43317</v>
      </c>
      <c r="O44" s="27">
        <v>43318</v>
      </c>
      <c r="P44" s="28">
        <v>43322</v>
      </c>
      <c r="Q44" s="1">
        <v>1</v>
      </c>
      <c r="R44" s="65">
        <f t="shared" si="0"/>
        <v>9</v>
      </c>
      <c r="S44" s="63" t="str">
        <f>IF(Sales[[#This Row],[od_dd-d]]&gt;7,"Late_Delivery","In_Time")</f>
        <v>Late_Delivery</v>
      </c>
    </row>
    <row r="45" spans="1:19">
      <c r="A45" s="26" t="s">
        <v>12</v>
      </c>
      <c r="B45" s="26" t="s">
        <v>115</v>
      </c>
      <c r="C45" s="26" t="s">
        <v>116</v>
      </c>
      <c r="D45" s="26" t="s">
        <v>120</v>
      </c>
      <c r="E45" s="26">
        <v>4</v>
      </c>
      <c r="F45" s="26">
        <v>23297</v>
      </c>
      <c r="G45" s="26">
        <f>Sales[[#This Row],[QUANTITY]]*Sales[[#This Row],[PRICE_PER_UNIT]]</f>
        <v>93188</v>
      </c>
      <c r="H45" s="26" t="s">
        <v>75</v>
      </c>
      <c r="I45" s="26" t="s">
        <v>3</v>
      </c>
      <c r="J45" s="26">
        <v>30</v>
      </c>
      <c r="K45" s="26">
        <v>1</v>
      </c>
      <c r="L45" s="26">
        <v>2021</v>
      </c>
      <c r="M45" s="95">
        <v>44226</v>
      </c>
      <c r="N45" s="27">
        <v>44228</v>
      </c>
      <c r="O45" s="27">
        <v>44230</v>
      </c>
      <c r="P45" s="28">
        <v>44234</v>
      </c>
      <c r="Q45" s="1">
        <v>10</v>
      </c>
      <c r="R45" s="65">
        <f t="shared" si="0"/>
        <v>8</v>
      </c>
      <c r="S45" s="63" t="str">
        <f>IF(Sales[[#This Row],[od_dd-d]]&gt;7,"Late_Delivery","In_Time")</f>
        <v>Late_Delivery</v>
      </c>
    </row>
    <row r="46" spans="1:19">
      <c r="A46" s="29" t="s">
        <v>11</v>
      </c>
      <c r="B46" s="29" t="s">
        <v>44</v>
      </c>
      <c r="C46" s="29" t="s">
        <v>62</v>
      </c>
      <c r="D46" s="29" t="s">
        <v>121</v>
      </c>
      <c r="E46" s="29">
        <v>4</v>
      </c>
      <c r="F46" s="29">
        <v>87672</v>
      </c>
      <c r="G46" s="29">
        <f>Sales[[#This Row],[QUANTITY]]*Sales[[#This Row],[PRICE_PER_UNIT]]</f>
        <v>350688</v>
      </c>
      <c r="H46" s="29" t="s">
        <v>53</v>
      </c>
      <c r="I46" s="29" t="s">
        <v>5</v>
      </c>
      <c r="J46" s="29">
        <v>21</v>
      </c>
      <c r="K46" s="29">
        <v>9</v>
      </c>
      <c r="L46" s="29">
        <v>2019</v>
      </c>
      <c r="M46" s="96">
        <v>43729</v>
      </c>
      <c r="N46" s="30">
        <v>43733</v>
      </c>
      <c r="O46" s="30">
        <v>43736</v>
      </c>
      <c r="P46" s="31">
        <v>43740</v>
      </c>
      <c r="Q46" s="1">
        <v>7</v>
      </c>
      <c r="R46" s="65">
        <f t="shared" si="0"/>
        <v>11</v>
      </c>
      <c r="S46" s="63" t="str">
        <f>IF(Sales[[#This Row],[od_dd-d]]&gt;7,"Late_Delivery","In_Time")</f>
        <v>Late_Delivery</v>
      </c>
    </row>
    <row r="47" spans="1:19">
      <c r="A47" s="26" t="s">
        <v>11</v>
      </c>
      <c r="B47" s="26" t="s">
        <v>65</v>
      </c>
      <c r="C47" s="26" t="s">
        <v>66</v>
      </c>
      <c r="D47" s="26" t="s">
        <v>122</v>
      </c>
      <c r="E47" s="26">
        <v>4</v>
      </c>
      <c r="F47" s="26">
        <v>84444</v>
      </c>
      <c r="G47" s="26">
        <f>Sales[[#This Row],[QUANTITY]]*Sales[[#This Row],[PRICE_PER_UNIT]]</f>
        <v>337776</v>
      </c>
      <c r="H47" s="26" t="s">
        <v>75</v>
      </c>
      <c r="I47" s="26" t="s">
        <v>5</v>
      </c>
      <c r="J47" s="26">
        <v>11</v>
      </c>
      <c r="K47" s="26">
        <v>5</v>
      </c>
      <c r="L47" s="26">
        <v>2019</v>
      </c>
      <c r="M47" s="95">
        <v>43596</v>
      </c>
      <c r="N47" s="27">
        <v>43597</v>
      </c>
      <c r="O47" s="27">
        <v>43601</v>
      </c>
      <c r="P47" s="28">
        <v>43604</v>
      </c>
      <c r="Q47" s="1">
        <v>1</v>
      </c>
      <c r="R47" s="65">
        <f t="shared" si="0"/>
        <v>8</v>
      </c>
      <c r="S47" s="63" t="str">
        <f>IF(Sales[[#This Row],[od_dd-d]]&gt;7,"Late_Delivery","In_Time")</f>
        <v>Late_Delivery</v>
      </c>
    </row>
    <row r="48" spans="1:19">
      <c r="A48" s="29" t="s">
        <v>11</v>
      </c>
      <c r="B48" s="29" t="s">
        <v>65</v>
      </c>
      <c r="C48" s="29" t="s">
        <v>66</v>
      </c>
      <c r="D48" s="29" t="s">
        <v>123</v>
      </c>
      <c r="E48" s="29">
        <v>4</v>
      </c>
      <c r="F48" s="29">
        <v>96499</v>
      </c>
      <c r="G48" s="29">
        <f>Sales[[#This Row],[QUANTITY]]*Sales[[#This Row],[PRICE_PER_UNIT]]</f>
        <v>385996</v>
      </c>
      <c r="H48" s="29" t="s">
        <v>89</v>
      </c>
      <c r="I48" s="29" t="s">
        <v>3</v>
      </c>
      <c r="J48" s="29">
        <v>4</v>
      </c>
      <c r="K48" s="29">
        <v>11</v>
      </c>
      <c r="L48" s="29">
        <v>2022</v>
      </c>
      <c r="M48" s="96">
        <v>44869</v>
      </c>
      <c r="N48" s="30">
        <v>44872</v>
      </c>
      <c r="O48" s="30">
        <v>44875</v>
      </c>
      <c r="P48" s="31">
        <v>44879</v>
      </c>
      <c r="Q48" s="1">
        <v>10</v>
      </c>
      <c r="R48" s="65">
        <f t="shared" si="0"/>
        <v>10</v>
      </c>
      <c r="S48" s="63" t="str">
        <f>IF(Sales[[#This Row],[od_dd-d]]&gt;7,"Late_Delivery","In_Time")</f>
        <v>Late_Delivery</v>
      </c>
    </row>
    <row r="49" spans="1:19">
      <c r="A49" s="29" t="s">
        <v>11</v>
      </c>
      <c r="B49" s="29" t="s">
        <v>44</v>
      </c>
      <c r="C49" s="29" t="s">
        <v>62</v>
      </c>
      <c r="D49" s="29" t="s">
        <v>124</v>
      </c>
      <c r="E49" s="29">
        <v>4</v>
      </c>
      <c r="F49" s="29">
        <v>92592</v>
      </c>
      <c r="G49" s="29">
        <f>Sales[[#This Row],[QUANTITY]]*Sales[[#This Row],[PRICE_PER_UNIT]]</f>
        <v>370368</v>
      </c>
      <c r="H49" s="29" t="s">
        <v>53</v>
      </c>
      <c r="I49" s="29" t="s">
        <v>5</v>
      </c>
      <c r="J49" s="29">
        <v>24</v>
      </c>
      <c r="K49" s="29">
        <v>3</v>
      </c>
      <c r="L49" s="29">
        <v>2025</v>
      </c>
      <c r="M49" s="96">
        <v>45740</v>
      </c>
      <c r="N49" s="30">
        <v>45742</v>
      </c>
      <c r="O49" s="30">
        <v>45745</v>
      </c>
      <c r="P49" s="31">
        <v>45748</v>
      </c>
      <c r="Q49" s="1">
        <v>22</v>
      </c>
      <c r="R49" s="65">
        <f t="shared" si="0"/>
        <v>8</v>
      </c>
      <c r="S49" s="63" t="str">
        <f>IF(Sales[[#This Row],[od_dd-d]]&gt;7,"Late_Delivery","In_Time")</f>
        <v>Late_Delivery</v>
      </c>
    </row>
    <row r="50" spans="1:19">
      <c r="A50" s="26" t="s">
        <v>11</v>
      </c>
      <c r="B50" s="26" t="s">
        <v>65</v>
      </c>
      <c r="C50" s="26" t="s">
        <v>66</v>
      </c>
      <c r="D50" s="26" t="s">
        <v>125</v>
      </c>
      <c r="E50" s="26">
        <v>4</v>
      </c>
      <c r="F50" s="26">
        <v>65907</v>
      </c>
      <c r="G50" s="26">
        <f>Sales[[#This Row],[QUANTITY]]*Sales[[#This Row],[PRICE_PER_UNIT]]</f>
        <v>263628</v>
      </c>
      <c r="H50" s="26" t="s">
        <v>35</v>
      </c>
      <c r="I50" s="26" t="s">
        <v>4</v>
      </c>
      <c r="J50" s="26">
        <v>15</v>
      </c>
      <c r="K50" s="26">
        <v>10</v>
      </c>
      <c r="L50" s="26">
        <v>2022</v>
      </c>
      <c r="M50" s="95">
        <v>44849</v>
      </c>
      <c r="N50" s="27">
        <v>44852</v>
      </c>
      <c r="O50" s="27">
        <v>44854</v>
      </c>
      <c r="P50" s="28">
        <v>44855</v>
      </c>
      <c r="Q50" s="1">
        <v>4</v>
      </c>
      <c r="R50" s="65">
        <f t="shared" si="0"/>
        <v>6</v>
      </c>
      <c r="S50" s="63" t="str">
        <f>IF(Sales[[#This Row],[od_dd-d]]&gt;7,"Late_Delivery","In_Time")</f>
        <v>In_Time</v>
      </c>
    </row>
    <row r="51" spans="1:19">
      <c r="A51" s="26" t="s">
        <v>11</v>
      </c>
      <c r="B51" s="26" t="s">
        <v>65</v>
      </c>
      <c r="C51" s="26" t="s">
        <v>66</v>
      </c>
      <c r="D51" s="26" t="s">
        <v>126</v>
      </c>
      <c r="E51" s="26">
        <v>4</v>
      </c>
      <c r="F51" s="26">
        <v>60349</v>
      </c>
      <c r="G51" s="26">
        <f>Sales[[#This Row],[QUANTITY]]*Sales[[#This Row],[PRICE_PER_UNIT]]</f>
        <v>241396</v>
      </c>
      <c r="H51" s="26" t="s">
        <v>49</v>
      </c>
      <c r="I51" s="26" t="s">
        <v>2</v>
      </c>
      <c r="J51" s="26">
        <v>25</v>
      </c>
      <c r="K51" s="26">
        <v>1</v>
      </c>
      <c r="L51" s="26">
        <v>2025</v>
      </c>
      <c r="M51" s="95">
        <v>45682</v>
      </c>
      <c r="N51" s="27">
        <v>45683</v>
      </c>
      <c r="O51" s="27">
        <v>45686</v>
      </c>
      <c r="P51" s="28">
        <v>45688</v>
      </c>
      <c r="Q51" s="1">
        <v>3</v>
      </c>
      <c r="R51" s="65">
        <f t="shared" si="0"/>
        <v>6</v>
      </c>
      <c r="S51" s="63" t="str">
        <f>IF(Sales[[#This Row],[od_dd-d]]&gt;7,"Late_Delivery","In_Time")</f>
        <v>In_Time</v>
      </c>
    </row>
    <row r="52" spans="1:19">
      <c r="A52" s="26" t="s">
        <v>11</v>
      </c>
      <c r="B52" s="26" t="s">
        <v>44</v>
      </c>
      <c r="C52" s="26" t="s">
        <v>62</v>
      </c>
      <c r="D52" s="26" t="s">
        <v>127</v>
      </c>
      <c r="E52" s="26">
        <v>4</v>
      </c>
      <c r="F52" s="26">
        <v>115162</v>
      </c>
      <c r="G52" s="26">
        <f>Sales[[#This Row],[QUANTITY]]*Sales[[#This Row],[PRICE_PER_UNIT]]</f>
        <v>460648</v>
      </c>
      <c r="H52" s="26" t="s">
        <v>35</v>
      </c>
      <c r="I52" s="26" t="s">
        <v>4</v>
      </c>
      <c r="J52" s="26">
        <v>19</v>
      </c>
      <c r="K52" s="26">
        <v>2</v>
      </c>
      <c r="L52" s="26">
        <v>2018</v>
      </c>
      <c r="M52" s="95">
        <v>43150</v>
      </c>
      <c r="N52" s="27">
        <v>43154</v>
      </c>
      <c r="O52" s="27">
        <v>43155</v>
      </c>
      <c r="P52" s="28">
        <v>43159</v>
      </c>
      <c r="Q52" s="1">
        <v>9</v>
      </c>
      <c r="R52" s="65">
        <f t="shared" si="0"/>
        <v>9</v>
      </c>
      <c r="S52" s="63" t="str">
        <f>IF(Sales[[#This Row],[od_dd-d]]&gt;7,"Late_Delivery","In_Time")</f>
        <v>Late_Delivery</v>
      </c>
    </row>
    <row r="53" spans="1:19">
      <c r="A53" s="26" t="s">
        <v>12</v>
      </c>
      <c r="B53" s="26" t="s">
        <v>72</v>
      </c>
      <c r="C53" s="26" t="s">
        <v>73</v>
      </c>
      <c r="D53" s="26" t="s">
        <v>128</v>
      </c>
      <c r="E53" s="26">
        <v>4</v>
      </c>
      <c r="F53" s="26">
        <v>30710</v>
      </c>
      <c r="G53" s="26">
        <f>Sales[[#This Row],[QUANTITY]]*Sales[[#This Row],[PRICE_PER_UNIT]]</f>
        <v>122840</v>
      </c>
      <c r="H53" s="26" t="s">
        <v>75</v>
      </c>
      <c r="I53" s="26" t="s">
        <v>5</v>
      </c>
      <c r="J53" s="26">
        <v>11</v>
      </c>
      <c r="K53" s="26">
        <v>11</v>
      </c>
      <c r="L53" s="26">
        <v>2021</v>
      </c>
      <c r="M53" s="95">
        <v>44511</v>
      </c>
      <c r="N53" s="27">
        <v>44515</v>
      </c>
      <c r="O53" s="27">
        <v>44516</v>
      </c>
      <c r="P53" s="28">
        <v>44519</v>
      </c>
      <c r="Q53" s="1">
        <v>10</v>
      </c>
      <c r="R53" s="65">
        <f t="shared" si="0"/>
        <v>8</v>
      </c>
      <c r="S53" s="63" t="str">
        <f>IF(Sales[[#This Row],[od_dd-d]]&gt;7,"Late_Delivery","In_Time")</f>
        <v>Late_Delivery</v>
      </c>
    </row>
    <row r="54" spans="1:19">
      <c r="A54" s="29" t="s">
        <v>12</v>
      </c>
      <c r="B54" s="29" t="s">
        <v>72</v>
      </c>
      <c r="C54" s="29" t="s">
        <v>73</v>
      </c>
      <c r="D54" s="29" t="s">
        <v>129</v>
      </c>
      <c r="E54" s="29">
        <v>4</v>
      </c>
      <c r="F54" s="29">
        <v>22816</v>
      </c>
      <c r="G54" s="29">
        <f>Sales[[#This Row],[QUANTITY]]*Sales[[#This Row],[PRICE_PER_UNIT]]</f>
        <v>91264</v>
      </c>
      <c r="H54" s="29" t="s">
        <v>47</v>
      </c>
      <c r="I54" s="29" t="s">
        <v>4</v>
      </c>
      <c r="J54" s="29">
        <v>12</v>
      </c>
      <c r="K54" s="29">
        <v>2</v>
      </c>
      <c r="L54" s="29">
        <v>2022</v>
      </c>
      <c r="M54" s="96">
        <v>44604</v>
      </c>
      <c r="N54" s="30">
        <v>44608</v>
      </c>
      <c r="O54" s="30">
        <v>44612</v>
      </c>
      <c r="P54" s="31">
        <v>44616</v>
      </c>
      <c r="Q54" s="1">
        <v>19</v>
      </c>
      <c r="R54" s="65">
        <f t="shared" si="0"/>
        <v>12</v>
      </c>
      <c r="S54" s="63" t="str">
        <f>IF(Sales[[#This Row],[od_dd-d]]&gt;7,"Late_Delivery","In_Time")</f>
        <v>Late_Delivery</v>
      </c>
    </row>
    <row r="55" spans="1:19">
      <c r="A55" s="26" t="s">
        <v>11</v>
      </c>
      <c r="B55" s="26" t="s">
        <v>82</v>
      </c>
      <c r="C55" s="26" t="s">
        <v>83</v>
      </c>
      <c r="D55" s="26" t="s">
        <v>130</v>
      </c>
      <c r="E55" s="26">
        <v>4</v>
      </c>
      <c r="F55" s="26">
        <v>119589</v>
      </c>
      <c r="G55" s="26">
        <f>Sales[[#This Row],[QUANTITY]]*Sales[[#This Row],[PRICE_PER_UNIT]]</f>
        <v>478356</v>
      </c>
      <c r="H55" s="26" t="s">
        <v>64</v>
      </c>
      <c r="I55" s="26" t="s">
        <v>2</v>
      </c>
      <c r="J55" s="26">
        <v>27</v>
      </c>
      <c r="K55" s="26">
        <v>12</v>
      </c>
      <c r="L55" s="26">
        <v>2024</v>
      </c>
      <c r="M55" s="95">
        <v>45653</v>
      </c>
      <c r="N55" s="27">
        <v>45654</v>
      </c>
      <c r="O55" s="27">
        <v>45657</v>
      </c>
      <c r="P55" s="28">
        <v>45660</v>
      </c>
      <c r="Q55" s="1">
        <v>1</v>
      </c>
      <c r="R55" s="65">
        <f t="shared" si="0"/>
        <v>7</v>
      </c>
      <c r="S55" s="63" t="str">
        <f>IF(Sales[[#This Row],[od_dd-d]]&gt;7,"Late_Delivery","In_Time")</f>
        <v>In_Time</v>
      </c>
    </row>
    <row r="56" spans="1:19">
      <c r="A56" s="26" t="s">
        <v>11</v>
      </c>
      <c r="B56" s="26" t="s">
        <v>82</v>
      </c>
      <c r="C56" s="26" t="s">
        <v>85</v>
      </c>
      <c r="D56" s="26" t="s">
        <v>131</v>
      </c>
      <c r="E56" s="26">
        <v>4</v>
      </c>
      <c r="F56" s="26">
        <v>117107</v>
      </c>
      <c r="G56" s="26">
        <f>Sales[[#This Row],[QUANTITY]]*Sales[[#This Row],[PRICE_PER_UNIT]]</f>
        <v>468428</v>
      </c>
      <c r="H56" s="26" t="s">
        <v>55</v>
      </c>
      <c r="I56" s="26" t="s">
        <v>6</v>
      </c>
      <c r="J56" s="26">
        <v>13</v>
      </c>
      <c r="K56" s="26">
        <v>4</v>
      </c>
      <c r="L56" s="26">
        <v>2017</v>
      </c>
      <c r="M56" s="95">
        <v>42838</v>
      </c>
      <c r="N56" s="27">
        <v>42840</v>
      </c>
      <c r="O56" s="27">
        <v>42841</v>
      </c>
      <c r="P56" s="28">
        <v>42843</v>
      </c>
      <c r="Q56" s="1">
        <v>18</v>
      </c>
      <c r="R56" s="65">
        <f t="shared" si="0"/>
        <v>5</v>
      </c>
      <c r="S56" s="63" t="str">
        <f>IF(Sales[[#This Row],[od_dd-d]]&gt;7,"Late_Delivery","In_Time")</f>
        <v>In_Time</v>
      </c>
    </row>
    <row r="57" spans="1:19">
      <c r="A57" s="26" t="s">
        <v>11</v>
      </c>
      <c r="B57" s="26" t="s">
        <v>82</v>
      </c>
      <c r="C57" s="26" t="s">
        <v>85</v>
      </c>
      <c r="D57" s="26" t="s">
        <v>132</v>
      </c>
      <c r="E57" s="26">
        <v>4</v>
      </c>
      <c r="F57" s="26">
        <v>83072</v>
      </c>
      <c r="G57" s="26">
        <f>Sales[[#This Row],[QUANTITY]]*Sales[[#This Row],[PRICE_PER_UNIT]]</f>
        <v>332288</v>
      </c>
      <c r="H57" s="26" t="s">
        <v>53</v>
      </c>
      <c r="I57" s="26" t="s">
        <v>5</v>
      </c>
      <c r="J57" s="26">
        <v>3</v>
      </c>
      <c r="K57" s="26">
        <v>8</v>
      </c>
      <c r="L57" s="26">
        <v>2024</v>
      </c>
      <c r="M57" s="95">
        <v>45507</v>
      </c>
      <c r="N57" s="27">
        <v>45509</v>
      </c>
      <c r="O57" s="27">
        <v>45511</v>
      </c>
      <c r="P57" s="28">
        <v>45515</v>
      </c>
      <c r="Q57" s="1">
        <v>16</v>
      </c>
      <c r="R57" s="65">
        <f t="shared" si="0"/>
        <v>8</v>
      </c>
      <c r="S57" s="63" t="str">
        <f>IF(Sales[[#This Row],[od_dd-d]]&gt;7,"Late_Delivery","In_Time")</f>
        <v>Late_Delivery</v>
      </c>
    </row>
    <row r="58" spans="1:19">
      <c r="A58" s="29" t="s">
        <v>12</v>
      </c>
      <c r="B58" s="29" t="s">
        <v>133</v>
      </c>
      <c r="C58" s="29" t="s">
        <v>134</v>
      </c>
      <c r="D58" s="29" t="s">
        <v>135</v>
      </c>
      <c r="E58" s="29">
        <v>4</v>
      </c>
      <c r="F58" s="29">
        <v>50654</v>
      </c>
      <c r="G58" s="29">
        <f>Sales[[#This Row],[QUANTITY]]*Sales[[#This Row],[PRICE_PER_UNIT]]</f>
        <v>202616</v>
      </c>
      <c r="H58" s="29" t="s">
        <v>43</v>
      </c>
      <c r="I58" s="29" t="s">
        <v>5</v>
      </c>
      <c r="J58" s="29">
        <v>30</v>
      </c>
      <c r="K58" s="29">
        <v>5</v>
      </c>
      <c r="L58" s="29">
        <v>2015</v>
      </c>
      <c r="M58" s="96">
        <v>42154</v>
      </c>
      <c r="N58" s="30">
        <v>42155</v>
      </c>
      <c r="O58" s="30">
        <v>42159</v>
      </c>
      <c r="P58" s="31">
        <v>42162</v>
      </c>
      <c r="Q58" s="1">
        <v>14</v>
      </c>
      <c r="R58" s="65">
        <f t="shared" si="0"/>
        <v>8</v>
      </c>
      <c r="S58" s="63" t="str">
        <f>IF(Sales[[#This Row],[od_dd-d]]&gt;7,"Late_Delivery","In_Time")</f>
        <v>Late_Delivery</v>
      </c>
    </row>
    <row r="59" spans="1:19">
      <c r="A59" s="29" t="s">
        <v>12</v>
      </c>
      <c r="B59" s="29" t="s">
        <v>133</v>
      </c>
      <c r="C59" s="29"/>
      <c r="D59" s="29" t="s">
        <v>136</v>
      </c>
      <c r="E59" s="29">
        <v>4</v>
      </c>
      <c r="F59" s="29">
        <v>71760</v>
      </c>
      <c r="G59" s="29">
        <f>Sales[[#This Row],[QUANTITY]]*Sales[[#This Row],[PRICE_PER_UNIT]]</f>
        <v>287040</v>
      </c>
      <c r="H59" s="29" t="s">
        <v>55</v>
      </c>
      <c r="I59" s="29" t="s">
        <v>4</v>
      </c>
      <c r="J59" s="29">
        <v>23</v>
      </c>
      <c r="K59" s="29">
        <v>10</v>
      </c>
      <c r="L59" s="29">
        <v>2017</v>
      </c>
      <c r="M59" s="96">
        <v>43031</v>
      </c>
      <c r="N59" s="30">
        <v>43032</v>
      </c>
      <c r="O59" s="30">
        <v>43034</v>
      </c>
      <c r="P59" s="31">
        <v>43037</v>
      </c>
      <c r="Q59" s="1">
        <v>8</v>
      </c>
      <c r="R59" s="65">
        <f t="shared" si="0"/>
        <v>6</v>
      </c>
      <c r="S59" s="63" t="str">
        <f>IF(Sales[[#This Row],[od_dd-d]]&gt;7,"Late_Delivery","In_Time")</f>
        <v>In_Time</v>
      </c>
    </row>
    <row r="60" spans="1:19">
      <c r="A60" s="26" t="s">
        <v>11</v>
      </c>
      <c r="B60" s="26" t="s">
        <v>65</v>
      </c>
      <c r="C60" s="26" t="s">
        <v>94</v>
      </c>
      <c r="D60" s="26" t="s">
        <v>137</v>
      </c>
      <c r="E60" s="26">
        <v>4</v>
      </c>
      <c r="F60" s="26">
        <v>95618</v>
      </c>
      <c r="G60" s="26">
        <f>Sales[[#This Row],[QUANTITY]]*Sales[[#This Row],[PRICE_PER_UNIT]]</f>
        <v>382472</v>
      </c>
      <c r="H60" s="26" t="s">
        <v>75</v>
      </c>
      <c r="I60" s="26" t="s">
        <v>5</v>
      </c>
      <c r="J60" s="26">
        <v>18</v>
      </c>
      <c r="K60" s="26">
        <v>10</v>
      </c>
      <c r="L60" s="26">
        <v>2017</v>
      </c>
      <c r="M60" s="95">
        <v>43026</v>
      </c>
      <c r="N60" s="27">
        <v>43028</v>
      </c>
      <c r="O60" s="27">
        <v>43031</v>
      </c>
      <c r="P60" s="28">
        <v>43033</v>
      </c>
      <c r="Q60" s="1">
        <v>9</v>
      </c>
      <c r="R60" s="65">
        <f t="shared" si="0"/>
        <v>7</v>
      </c>
      <c r="S60" s="63" t="str">
        <f>IF(Sales[[#This Row],[od_dd-d]]&gt;7,"Late_Delivery","In_Time")</f>
        <v>In_Time</v>
      </c>
    </row>
    <row r="61" spans="1:19">
      <c r="A61" s="26" t="s">
        <v>11</v>
      </c>
      <c r="B61" s="26" t="s">
        <v>65</v>
      </c>
      <c r="C61" s="26" t="s">
        <v>94</v>
      </c>
      <c r="D61" s="26" t="s">
        <v>138</v>
      </c>
      <c r="E61" s="26">
        <v>4</v>
      </c>
      <c r="F61" s="26">
        <v>52476</v>
      </c>
      <c r="G61" s="26">
        <f>Sales[[#This Row],[QUANTITY]]*Sales[[#This Row],[PRICE_PER_UNIT]]</f>
        <v>209904</v>
      </c>
      <c r="H61" s="26" t="s">
        <v>89</v>
      </c>
      <c r="I61" s="26" t="s">
        <v>3</v>
      </c>
      <c r="J61" s="26">
        <v>7</v>
      </c>
      <c r="K61" s="26">
        <v>9</v>
      </c>
      <c r="L61" s="26">
        <v>2016</v>
      </c>
      <c r="M61" s="95">
        <v>42620</v>
      </c>
      <c r="N61" s="27">
        <v>42623</v>
      </c>
      <c r="O61" s="27">
        <v>42627</v>
      </c>
      <c r="P61" s="28">
        <v>42629</v>
      </c>
      <c r="Q61" s="1">
        <v>9</v>
      </c>
      <c r="R61" s="65">
        <f t="shared" si="0"/>
        <v>9</v>
      </c>
      <c r="S61" s="63" t="str">
        <f>IF(Sales[[#This Row],[od_dd-d]]&gt;7,"Late_Delivery","In_Time")</f>
        <v>Late_Delivery</v>
      </c>
    </row>
    <row r="62" spans="1:19">
      <c r="A62" s="29" t="s">
        <v>12</v>
      </c>
      <c r="B62" s="29" t="s">
        <v>97</v>
      </c>
      <c r="C62" s="29" t="s">
        <v>98</v>
      </c>
      <c r="D62" s="29" t="s">
        <v>139</v>
      </c>
      <c r="E62" s="29">
        <v>4</v>
      </c>
      <c r="F62" s="29">
        <v>77679</v>
      </c>
      <c r="G62" s="29">
        <f>Sales[[#This Row],[QUANTITY]]*Sales[[#This Row],[PRICE_PER_UNIT]]</f>
        <v>310716</v>
      </c>
      <c r="H62" s="29" t="s">
        <v>43</v>
      </c>
      <c r="I62" s="29" t="s">
        <v>6</v>
      </c>
      <c r="J62" s="29">
        <v>27</v>
      </c>
      <c r="K62" s="29">
        <v>2</v>
      </c>
      <c r="L62" s="29">
        <v>2019</v>
      </c>
      <c r="M62" s="96">
        <v>43523</v>
      </c>
      <c r="N62" s="30">
        <v>43524</v>
      </c>
      <c r="O62" s="30">
        <v>43525</v>
      </c>
      <c r="P62" s="31">
        <v>43526</v>
      </c>
      <c r="Q62" s="1">
        <v>17</v>
      </c>
      <c r="R62" s="65">
        <f t="shared" si="0"/>
        <v>3</v>
      </c>
      <c r="S62" s="63" t="str">
        <f>IF(Sales[[#This Row],[od_dd-d]]&gt;7,"Late_Delivery","In_Time")</f>
        <v>In_Time</v>
      </c>
    </row>
    <row r="63" spans="1:19">
      <c r="A63" s="29" t="s">
        <v>11</v>
      </c>
      <c r="B63" s="29" t="s">
        <v>59</v>
      </c>
      <c r="C63" s="29" t="s">
        <v>100</v>
      </c>
      <c r="D63" s="29" t="s">
        <v>140</v>
      </c>
      <c r="E63" s="29">
        <v>4</v>
      </c>
      <c r="F63" s="29">
        <v>53632</v>
      </c>
      <c r="G63" s="29">
        <f>Sales[[#This Row],[QUANTITY]]*Sales[[#This Row],[PRICE_PER_UNIT]]</f>
        <v>214528</v>
      </c>
      <c r="H63" s="29" t="s">
        <v>64</v>
      </c>
      <c r="I63" s="29" t="s">
        <v>2</v>
      </c>
      <c r="J63" s="29">
        <v>30</v>
      </c>
      <c r="K63" s="29">
        <v>11</v>
      </c>
      <c r="L63" s="29">
        <v>2024</v>
      </c>
      <c r="M63" s="96">
        <v>45626</v>
      </c>
      <c r="N63" s="30">
        <v>45627</v>
      </c>
      <c r="O63" s="30">
        <v>45628</v>
      </c>
      <c r="P63" s="31">
        <v>45631</v>
      </c>
      <c r="Q63" s="1">
        <v>10</v>
      </c>
      <c r="R63" s="65">
        <f t="shared" si="0"/>
        <v>5</v>
      </c>
      <c r="S63" s="63" t="str">
        <f>IF(Sales[[#This Row],[od_dd-d]]&gt;7,"Late_Delivery","In_Time")</f>
        <v>In_Time</v>
      </c>
    </row>
    <row r="64" spans="1:19">
      <c r="A64" s="26" t="s">
        <v>11</v>
      </c>
      <c r="B64" s="26" t="s">
        <v>59</v>
      </c>
      <c r="C64" s="26" t="s">
        <v>100</v>
      </c>
      <c r="D64" s="26" t="s">
        <v>141</v>
      </c>
      <c r="E64" s="26">
        <v>4</v>
      </c>
      <c r="F64" s="26">
        <v>63622</v>
      </c>
      <c r="G64" s="26">
        <f>Sales[[#This Row],[QUANTITY]]*Sales[[#This Row],[PRICE_PER_UNIT]]</f>
        <v>254488</v>
      </c>
      <c r="H64" s="26" t="s">
        <v>75</v>
      </c>
      <c r="I64" s="26" t="s">
        <v>5</v>
      </c>
      <c r="J64" s="26">
        <v>15</v>
      </c>
      <c r="K64" s="26">
        <v>3</v>
      </c>
      <c r="L64" s="26">
        <v>2025</v>
      </c>
      <c r="M64" s="95">
        <v>45731</v>
      </c>
      <c r="N64" s="27">
        <v>45735</v>
      </c>
      <c r="O64" s="27">
        <v>45738</v>
      </c>
      <c r="P64" s="28">
        <v>45741</v>
      </c>
      <c r="Q64" s="1">
        <v>22</v>
      </c>
      <c r="R64" s="65">
        <f t="shared" si="0"/>
        <v>10</v>
      </c>
      <c r="S64" s="63" t="str">
        <f>IF(Sales[[#This Row],[od_dd-d]]&gt;7,"Late_Delivery","In_Time")</f>
        <v>Late_Delivery</v>
      </c>
    </row>
    <row r="65" spans="1:19">
      <c r="A65" s="29" t="s">
        <v>11</v>
      </c>
      <c r="B65" s="29" t="s">
        <v>59</v>
      </c>
      <c r="C65" s="29" t="s">
        <v>100</v>
      </c>
      <c r="D65" s="29" t="s">
        <v>142</v>
      </c>
      <c r="E65" s="29">
        <v>4</v>
      </c>
      <c r="F65" s="29">
        <v>81670</v>
      </c>
      <c r="G65" s="29">
        <f>Sales[[#This Row],[QUANTITY]]*Sales[[#This Row],[PRICE_PER_UNIT]]</f>
        <v>326680</v>
      </c>
      <c r="H65" s="29" t="s">
        <v>89</v>
      </c>
      <c r="I65" s="29" t="s">
        <v>3</v>
      </c>
      <c r="J65" s="29">
        <v>24</v>
      </c>
      <c r="K65" s="29">
        <v>6</v>
      </c>
      <c r="L65" s="29">
        <v>2025</v>
      </c>
      <c r="M65" s="96">
        <v>45832</v>
      </c>
      <c r="N65" s="30">
        <v>45834</v>
      </c>
      <c r="O65" s="30">
        <v>45836</v>
      </c>
      <c r="P65" s="31">
        <v>45838</v>
      </c>
      <c r="Q65" s="1">
        <v>13</v>
      </c>
      <c r="R65" s="65">
        <f t="shared" si="0"/>
        <v>6</v>
      </c>
      <c r="S65" s="63" t="str">
        <f>IF(Sales[[#This Row],[od_dd-d]]&gt;7,"Late_Delivery","In_Time")</f>
        <v>In_Time</v>
      </c>
    </row>
    <row r="66" spans="1:19">
      <c r="A66" s="29" t="s">
        <v>11</v>
      </c>
      <c r="B66" s="29" t="s">
        <v>32</v>
      </c>
      <c r="C66" s="29" t="s">
        <v>33</v>
      </c>
      <c r="D66" s="29" t="s">
        <v>143</v>
      </c>
      <c r="E66" s="29">
        <v>3</v>
      </c>
      <c r="F66" s="29">
        <v>48970</v>
      </c>
      <c r="G66" s="29">
        <f>Sales[[#This Row],[QUANTITY]]*Sales[[#This Row],[PRICE_PER_UNIT]]</f>
        <v>146910</v>
      </c>
      <c r="H66" s="29" t="s">
        <v>64</v>
      </c>
      <c r="I66" s="29" t="s">
        <v>2</v>
      </c>
      <c r="J66" s="29">
        <v>5</v>
      </c>
      <c r="K66" s="29">
        <v>3</v>
      </c>
      <c r="L66" s="29">
        <v>2018</v>
      </c>
      <c r="M66" s="96">
        <v>43164</v>
      </c>
      <c r="N66" s="30">
        <v>43168</v>
      </c>
      <c r="O66" s="30">
        <v>43169</v>
      </c>
      <c r="P66" s="31">
        <v>43173</v>
      </c>
      <c r="Q66" s="1">
        <v>12</v>
      </c>
      <c r="R66" s="65">
        <f t="shared" ref="R66:R129" si="1">P66-M66</f>
        <v>9</v>
      </c>
      <c r="S66" s="63" t="str">
        <f>IF(Sales[[#This Row],[od_dd-d]]&gt;7,"Late_Delivery","In_Time")</f>
        <v>Late_Delivery</v>
      </c>
    </row>
    <row r="67" spans="1:19">
      <c r="A67" s="26" t="s">
        <v>11</v>
      </c>
      <c r="B67" s="26" t="s">
        <v>32</v>
      </c>
      <c r="C67" s="26" t="s">
        <v>33</v>
      </c>
      <c r="D67" s="26" t="s">
        <v>144</v>
      </c>
      <c r="E67" s="26">
        <v>3</v>
      </c>
      <c r="F67" s="26">
        <v>99447</v>
      </c>
      <c r="G67" s="26">
        <f>Sales[[#This Row],[QUANTITY]]*Sales[[#This Row],[PRICE_PER_UNIT]]</f>
        <v>298341</v>
      </c>
      <c r="H67" s="26" t="s">
        <v>89</v>
      </c>
      <c r="I67" s="26" t="s">
        <v>3</v>
      </c>
      <c r="J67" s="26">
        <v>30</v>
      </c>
      <c r="K67" s="26">
        <v>4</v>
      </c>
      <c r="L67" s="26">
        <v>2020</v>
      </c>
      <c r="M67" s="95">
        <v>43951</v>
      </c>
      <c r="N67" s="27">
        <v>43955</v>
      </c>
      <c r="O67" s="27">
        <v>43957</v>
      </c>
      <c r="P67" s="28">
        <v>43960</v>
      </c>
      <c r="Q67" s="1">
        <v>17</v>
      </c>
      <c r="R67" s="65">
        <f t="shared" si="1"/>
        <v>9</v>
      </c>
      <c r="S67" s="63" t="str">
        <f>IF(Sales[[#This Row],[od_dd-d]]&gt;7,"Late_Delivery","In_Time")</f>
        <v>Late_Delivery</v>
      </c>
    </row>
    <row r="68" spans="1:19">
      <c r="A68" s="29" t="s">
        <v>11</v>
      </c>
      <c r="B68" s="29" t="s">
        <v>32</v>
      </c>
      <c r="C68" s="29" t="s">
        <v>33</v>
      </c>
      <c r="D68" s="29" t="s">
        <v>145</v>
      </c>
      <c r="E68" s="29">
        <v>3</v>
      </c>
      <c r="F68" s="29">
        <v>49573</v>
      </c>
      <c r="G68" s="29">
        <f>Sales[[#This Row],[QUANTITY]]*Sales[[#This Row],[PRICE_PER_UNIT]]</f>
        <v>148719</v>
      </c>
      <c r="H68" s="29" t="s">
        <v>89</v>
      </c>
      <c r="I68" s="29" t="s">
        <v>3</v>
      </c>
      <c r="J68" s="29">
        <v>6</v>
      </c>
      <c r="K68" s="29">
        <v>12</v>
      </c>
      <c r="L68" s="29">
        <v>2019</v>
      </c>
      <c r="M68" s="96">
        <v>43805</v>
      </c>
      <c r="N68" s="30">
        <v>43808</v>
      </c>
      <c r="O68" s="30">
        <v>43810</v>
      </c>
      <c r="P68" s="31">
        <v>43814</v>
      </c>
      <c r="Q68" s="1">
        <v>15</v>
      </c>
      <c r="R68" s="65">
        <f t="shared" si="1"/>
        <v>9</v>
      </c>
      <c r="S68" s="63" t="str">
        <f>IF(Sales[[#This Row],[od_dd-d]]&gt;7,"Late_Delivery","In_Time")</f>
        <v>Late_Delivery</v>
      </c>
    </row>
    <row r="69" spans="1:19">
      <c r="A69" s="29" t="s">
        <v>12</v>
      </c>
      <c r="B69" s="29" t="s">
        <v>105</v>
      </c>
      <c r="C69" s="29" t="s">
        <v>106</v>
      </c>
      <c r="D69" s="29" t="s">
        <v>146</v>
      </c>
      <c r="E69" s="29">
        <v>3</v>
      </c>
      <c r="F69" s="29">
        <v>61792</v>
      </c>
      <c r="G69" s="29">
        <f>Sales[[#This Row],[QUANTITY]]*Sales[[#This Row],[PRICE_PER_UNIT]]</f>
        <v>185376</v>
      </c>
      <c r="H69" s="29" t="s">
        <v>55</v>
      </c>
      <c r="I69" s="29" t="s">
        <v>5</v>
      </c>
      <c r="J69" s="29">
        <v>10</v>
      </c>
      <c r="K69" s="29">
        <v>6</v>
      </c>
      <c r="L69" s="29">
        <v>2021</v>
      </c>
      <c r="M69" s="96">
        <v>44357</v>
      </c>
      <c r="N69" s="30">
        <v>44361</v>
      </c>
      <c r="O69" s="30">
        <v>44363</v>
      </c>
      <c r="P69" s="31">
        <v>44366</v>
      </c>
      <c r="Q69" s="1">
        <v>12</v>
      </c>
      <c r="R69" s="65">
        <f t="shared" si="1"/>
        <v>9</v>
      </c>
      <c r="S69" s="63" t="str">
        <f>IF(Sales[[#This Row],[od_dd-d]]&gt;7,"Late_Delivery","In_Time")</f>
        <v>Late_Delivery</v>
      </c>
    </row>
    <row r="70" spans="1:19">
      <c r="A70" s="26" t="s">
        <v>12</v>
      </c>
      <c r="B70" s="26" t="s">
        <v>36</v>
      </c>
      <c r="C70" s="26" t="s">
        <v>37</v>
      </c>
      <c r="D70" s="26" t="s">
        <v>147</v>
      </c>
      <c r="E70" s="26">
        <v>3</v>
      </c>
      <c r="F70" s="26">
        <v>44283</v>
      </c>
      <c r="G70" s="26">
        <f>Sales[[#This Row],[QUANTITY]]*Sales[[#This Row],[PRICE_PER_UNIT]]</f>
        <v>132849</v>
      </c>
      <c r="H70" s="26" t="s">
        <v>75</v>
      </c>
      <c r="I70" s="26" t="s">
        <v>3</v>
      </c>
      <c r="J70" s="26">
        <v>1</v>
      </c>
      <c r="K70" s="26">
        <v>6</v>
      </c>
      <c r="L70" s="26">
        <v>2020</v>
      </c>
      <c r="M70" s="95">
        <v>43983</v>
      </c>
      <c r="N70" s="27">
        <v>43986</v>
      </c>
      <c r="O70" s="27">
        <v>43989</v>
      </c>
      <c r="P70" s="28">
        <v>43991</v>
      </c>
      <c r="Q70" s="1">
        <v>20</v>
      </c>
      <c r="R70" s="65">
        <f t="shared" si="1"/>
        <v>8</v>
      </c>
      <c r="S70" s="63" t="str">
        <f>IF(Sales[[#This Row],[od_dd-d]]&gt;7,"Late_Delivery","In_Time")</f>
        <v>Late_Delivery</v>
      </c>
    </row>
    <row r="71" spans="1:19">
      <c r="A71" s="29" t="s">
        <v>12</v>
      </c>
      <c r="B71" s="29" t="s">
        <v>36</v>
      </c>
      <c r="C71" s="29" t="s">
        <v>37</v>
      </c>
      <c r="D71" s="29" t="s">
        <v>148</v>
      </c>
      <c r="E71" s="29">
        <v>3</v>
      </c>
      <c r="F71" s="29">
        <v>44188</v>
      </c>
      <c r="G71" s="29">
        <f>Sales[[#This Row],[QUANTITY]]*Sales[[#This Row],[PRICE_PER_UNIT]]</f>
        <v>132564</v>
      </c>
      <c r="H71" s="29" t="s">
        <v>43</v>
      </c>
      <c r="I71" s="29" t="s">
        <v>4</v>
      </c>
      <c r="J71" s="29">
        <v>21</v>
      </c>
      <c r="K71" s="29">
        <v>7</v>
      </c>
      <c r="L71" s="29">
        <v>2016</v>
      </c>
      <c r="M71" s="96">
        <v>42572</v>
      </c>
      <c r="N71" s="30">
        <v>42575</v>
      </c>
      <c r="O71" s="30">
        <v>42577</v>
      </c>
      <c r="P71" s="31">
        <v>42581</v>
      </c>
      <c r="Q71" s="1">
        <v>4</v>
      </c>
      <c r="R71" s="65">
        <f t="shared" si="1"/>
        <v>9</v>
      </c>
      <c r="S71" s="63" t="str">
        <f>IF(Sales[[#This Row],[od_dd-d]]&gt;7,"Late_Delivery","In_Time")</f>
        <v>Late_Delivery</v>
      </c>
    </row>
    <row r="72" spans="1:19">
      <c r="A72" s="26" t="s">
        <v>12</v>
      </c>
      <c r="B72" s="26" t="s">
        <v>105</v>
      </c>
      <c r="C72" s="26" t="s">
        <v>106</v>
      </c>
      <c r="D72" s="26" t="s">
        <v>149</v>
      </c>
      <c r="E72" s="26">
        <v>3</v>
      </c>
      <c r="F72" s="26">
        <v>50840</v>
      </c>
      <c r="G72" s="26">
        <f>Sales[[#This Row],[QUANTITY]]*Sales[[#This Row],[PRICE_PER_UNIT]]</f>
        <v>152520</v>
      </c>
      <c r="H72" s="26" t="s">
        <v>43</v>
      </c>
      <c r="I72" s="26" t="s">
        <v>3</v>
      </c>
      <c r="J72" s="26">
        <v>28</v>
      </c>
      <c r="K72" s="26">
        <v>1</v>
      </c>
      <c r="L72" s="26">
        <v>2015</v>
      </c>
      <c r="M72" s="95">
        <v>42032</v>
      </c>
      <c r="N72" s="27">
        <v>42034</v>
      </c>
      <c r="O72" s="27">
        <v>42037</v>
      </c>
      <c r="P72" s="28">
        <v>42041</v>
      </c>
      <c r="Q72" s="1">
        <v>11</v>
      </c>
      <c r="R72" s="65">
        <f t="shared" si="1"/>
        <v>9</v>
      </c>
      <c r="S72" s="63" t="str">
        <f>IF(Sales[[#This Row],[od_dd-d]]&gt;7,"Late_Delivery","In_Time")</f>
        <v>Late_Delivery</v>
      </c>
    </row>
    <row r="73" spans="1:19">
      <c r="A73" s="29" t="s">
        <v>11</v>
      </c>
      <c r="B73" s="29" t="s">
        <v>50</v>
      </c>
      <c r="C73" s="29" t="s">
        <v>108</v>
      </c>
      <c r="D73" s="29" t="s">
        <v>150</v>
      </c>
      <c r="E73" s="29">
        <v>3</v>
      </c>
      <c r="F73" s="29">
        <v>49533</v>
      </c>
      <c r="G73" s="29">
        <f>Sales[[#This Row],[QUANTITY]]*Sales[[#This Row],[PRICE_PER_UNIT]]</f>
        <v>148599</v>
      </c>
      <c r="H73" s="29" t="s">
        <v>89</v>
      </c>
      <c r="I73" s="29" t="s">
        <v>3</v>
      </c>
      <c r="J73" s="29">
        <v>29</v>
      </c>
      <c r="K73" s="29">
        <v>6</v>
      </c>
      <c r="L73" s="29">
        <v>2025</v>
      </c>
      <c r="M73" s="96">
        <v>45837</v>
      </c>
      <c r="N73" s="30">
        <v>45840</v>
      </c>
      <c r="O73" s="30">
        <v>45843</v>
      </c>
      <c r="P73" s="31">
        <v>45846</v>
      </c>
      <c r="Q73" s="1">
        <v>10</v>
      </c>
      <c r="R73" s="65">
        <f t="shared" si="1"/>
        <v>9</v>
      </c>
      <c r="S73" s="63" t="str">
        <f>IF(Sales[[#This Row],[od_dd-d]]&gt;7,"Late_Delivery","In_Time")</f>
        <v>Late_Delivery</v>
      </c>
    </row>
    <row r="74" spans="1:19">
      <c r="A74" s="26" t="s">
        <v>11</v>
      </c>
      <c r="B74" s="26" t="s">
        <v>50</v>
      </c>
      <c r="C74" s="26" t="s">
        <v>108</v>
      </c>
      <c r="D74" s="26" t="s">
        <v>151</v>
      </c>
      <c r="E74" s="26">
        <v>3</v>
      </c>
      <c r="F74" s="26">
        <v>54509</v>
      </c>
      <c r="G74" s="26">
        <f>Sales[[#This Row],[QUANTITY]]*Sales[[#This Row],[PRICE_PER_UNIT]]</f>
        <v>163527</v>
      </c>
      <c r="H74" s="26" t="s">
        <v>47</v>
      </c>
      <c r="I74" s="26" t="s">
        <v>5</v>
      </c>
      <c r="J74" s="26">
        <v>10</v>
      </c>
      <c r="K74" s="26">
        <v>12</v>
      </c>
      <c r="L74" s="26">
        <v>2019</v>
      </c>
      <c r="M74" s="95">
        <v>43809</v>
      </c>
      <c r="N74" s="27">
        <v>43813</v>
      </c>
      <c r="O74" s="27">
        <v>43815</v>
      </c>
      <c r="P74" s="28">
        <v>43816</v>
      </c>
      <c r="Q74" s="1">
        <v>14</v>
      </c>
      <c r="R74" s="65">
        <f t="shared" si="1"/>
        <v>7</v>
      </c>
      <c r="S74" s="63" t="str">
        <f>IF(Sales[[#This Row],[od_dd-d]]&gt;7,"Late_Delivery","In_Time")</f>
        <v>In_Time</v>
      </c>
    </row>
    <row r="75" spans="1:19">
      <c r="A75" s="29" t="s">
        <v>11</v>
      </c>
      <c r="B75" s="29" t="s">
        <v>44</v>
      </c>
      <c r="C75" s="29" t="s">
        <v>45</v>
      </c>
      <c r="D75" s="29" t="s">
        <v>152</v>
      </c>
      <c r="E75" s="29">
        <v>3</v>
      </c>
      <c r="F75" s="29">
        <v>67976</v>
      </c>
      <c r="G75" s="29">
        <f>Sales[[#This Row],[QUANTITY]]*Sales[[#This Row],[PRICE_PER_UNIT]]</f>
        <v>203928</v>
      </c>
      <c r="H75" s="29" t="s">
        <v>64</v>
      </c>
      <c r="I75" s="29" t="s">
        <v>2</v>
      </c>
      <c r="J75" s="29">
        <v>23</v>
      </c>
      <c r="K75" s="29">
        <v>2</v>
      </c>
      <c r="L75" s="29">
        <v>2018</v>
      </c>
      <c r="M75" s="96">
        <v>43154</v>
      </c>
      <c r="N75" s="30">
        <v>43157</v>
      </c>
      <c r="O75" s="30">
        <v>43160</v>
      </c>
      <c r="P75" s="31">
        <v>43162</v>
      </c>
      <c r="Q75" s="1">
        <v>9</v>
      </c>
      <c r="R75" s="65">
        <f t="shared" si="1"/>
        <v>8</v>
      </c>
      <c r="S75" s="63" t="str">
        <f>IF(Sales[[#This Row],[od_dd-d]]&gt;7,"Late_Delivery","In_Time")</f>
        <v>Late_Delivery</v>
      </c>
    </row>
    <row r="76" spans="1:19">
      <c r="A76" s="26" t="s">
        <v>11</v>
      </c>
      <c r="B76" s="26" t="s">
        <v>50</v>
      </c>
      <c r="C76" s="26" t="s">
        <v>51</v>
      </c>
      <c r="D76" s="26" t="s">
        <v>153</v>
      </c>
      <c r="E76" s="26">
        <v>3</v>
      </c>
      <c r="F76" s="26">
        <v>45942</v>
      </c>
      <c r="G76" s="26">
        <f>Sales[[#This Row],[QUANTITY]]*Sales[[#This Row],[PRICE_PER_UNIT]]</f>
        <v>137826</v>
      </c>
      <c r="H76" s="26" t="s">
        <v>75</v>
      </c>
      <c r="I76" s="26" t="s">
        <v>5</v>
      </c>
      <c r="J76" s="26">
        <v>25</v>
      </c>
      <c r="K76" s="26">
        <v>12</v>
      </c>
      <c r="L76" s="26">
        <v>2018</v>
      </c>
      <c r="M76" s="95">
        <v>43459</v>
      </c>
      <c r="N76" s="27">
        <v>43461</v>
      </c>
      <c r="O76" s="27">
        <v>43464</v>
      </c>
      <c r="P76" s="28">
        <v>43468</v>
      </c>
      <c r="Q76" s="1">
        <v>5</v>
      </c>
      <c r="R76" s="65">
        <f t="shared" si="1"/>
        <v>9</v>
      </c>
      <c r="S76" s="63" t="str">
        <f>IF(Sales[[#This Row],[od_dd-d]]&gt;7,"Late_Delivery","In_Time")</f>
        <v>Late_Delivery</v>
      </c>
    </row>
    <row r="77" spans="1:19">
      <c r="A77" s="26" t="s">
        <v>11</v>
      </c>
      <c r="B77" s="26" t="s">
        <v>44</v>
      </c>
      <c r="C77" s="26" t="s">
        <v>45</v>
      </c>
      <c r="D77" s="26" t="s">
        <v>154</v>
      </c>
      <c r="E77" s="26">
        <v>3</v>
      </c>
      <c r="F77" s="26">
        <v>115336</v>
      </c>
      <c r="G77" s="26">
        <f>Sales[[#This Row],[QUANTITY]]*Sales[[#This Row],[PRICE_PER_UNIT]]</f>
        <v>346008</v>
      </c>
      <c r="H77" s="26" t="s">
        <v>55</v>
      </c>
      <c r="I77" s="26" t="s">
        <v>6</v>
      </c>
      <c r="J77" s="26">
        <v>7</v>
      </c>
      <c r="K77" s="26">
        <v>11</v>
      </c>
      <c r="L77" s="26">
        <v>2020</v>
      </c>
      <c r="M77" s="95">
        <v>44142</v>
      </c>
      <c r="N77" s="27">
        <v>44144</v>
      </c>
      <c r="O77" s="27">
        <v>44145</v>
      </c>
      <c r="P77" s="28">
        <v>44147</v>
      </c>
      <c r="Q77" s="1">
        <v>20</v>
      </c>
      <c r="R77" s="65">
        <f t="shared" si="1"/>
        <v>5</v>
      </c>
      <c r="S77" s="63" t="str">
        <f>IF(Sales[[#This Row],[od_dd-d]]&gt;7,"Late_Delivery","In_Time")</f>
        <v>In_Time</v>
      </c>
    </row>
    <row r="78" spans="1:19">
      <c r="A78" s="29" t="s">
        <v>12</v>
      </c>
      <c r="B78" s="29" t="s">
        <v>115</v>
      </c>
      <c r="C78" s="29" t="s">
        <v>116</v>
      </c>
      <c r="D78" s="29" t="s">
        <v>155</v>
      </c>
      <c r="E78" s="29">
        <v>3</v>
      </c>
      <c r="F78" s="29">
        <v>41447</v>
      </c>
      <c r="G78" s="29">
        <f>Sales[[#This Row],[QUANTITY]]*Sales[[#This Row],[PRICE_PER_UNIT]]</f>
        <v>124341</v>
      </c>
      <c r="H78" s="29" t="s">
        <v>43</v>
      </c>
      <c r="I78" s="29" t="s">
        <v>6</v>
      </c>
      <c r="J78" s="29">
        <v>30</v>
      </c>
      <c r="K78" s="29">
        <v>7</v>
      </c>
      <c r="L78" s="29">
        <v>2021</v>
      </c>
      <c r="M78" s="96">
        <v>44407</v>
      </c>
      <c r="N78" s="30">
        <v>44410</v>
      </c>
      <c r="O78" s="30">
        <v>44413</v>
      </c>
      <c r="P78" s="31">
        <v>44417</v>
      </c>
      <c r="Q78" s="1">
        <v>6</v>
      </c>
      <c r="R78" s="65">
        <f t="shared" si="1"/>
        <v>10</v>
      </c>
      <c r="S78" s="63" t="str">
        <f>IF(Sales[[#This Row],[od_dd-d]]&gt;7,"Late_Delivery","In_Time")</f>
        <v>Late_Delivery</v>
      </c>
    </row>
    <row r="79" spans="1:19">
      <c r="A79" s="29" t="s">
        <v>12</v>
      </c>
      <c r="B79" s="29" t="s">
        <v>115</v>
      </c>
      <c r="C79" s="29" t="s">
        <v>116</v>
      </c>
      <c r="D79" s="29" t="s">
        <v>156</v>
      </c>
      <c r="E79" s="29">
        <v>3</v>
      </c>
      <c r="F79" s="29">
        <v>87888</v>
      </c>
      <c r="G79" s="29">
        <f>Sales[[#This Row],[QUANTITY]]*Sales[[#This Row],[PRICE_PER_UNIT]]</f>
        <v>263664</v>
      </c>
      <c r="H79" s="29" t="s">
        <v>55</v>
      </c>
      <c r="I79" s="29" t="s">
        <v>5</v>
      </c>
      <c r="J79" s="29">
        <v>4</v>
      </c>
      <c r="K79" s="29">
        <v>8</v>
      </c>
      <c r="L79" s="29">
        <v>2021</v>
      </c>
      <c r="M79" s="96">
        <v>44412</v>
      </c>
      <c r="N79" s="30">
        <v>44413</v>
      </c>
      <c r="O79" s="30">
        <v>44414</v>
      </c>
      <c r="P79" s="31">
        <v>44415</v>
      </c>
      <c r="Q79" s="1">
        <v>20</v>
      </c>
      <c r="R79" s="65">
        <f t="shared" si="1"/>
        <v>3</v>
      </c>
      <c r="S79" s="63" t="str">
        <f>IF(Sales[[#This Row],[od_dd-d]]&gt;7,"Late_Delivery","In_Time")</f>
        <v>In_Time</v>
      </c>
    </row>
    <row r="80" spans="1:19">
      <c r="A80" s="26" t="s">
        <v>12</v>
      </c>
      <c r="B80" s="26" t="s">
        <v>56</v>
      </c>
      <c r="C80" s="26" t="s">
        <v>57</v>
      </c>
      <c r="D80" s="26" t="s">
        <v>157</v>
      </c>
      <c r="E80" s="26">
        <v>3</v>
      </c>
      <c r="F80" s="26">
        <v>58146</v>
      </c>
      <c r="G80" s="26">
        <f>Sales[[#This Row],[QUANTITY]]*Sales[[#This Row],[PRICE_PER_UNIT]]</f>
        <v>174438</v>
      </c>
      <c r="H80" s="26" t="s">
        <v>39</v>
      </c>
      <c r="I80" s="26" t="s">
        <v>6</v>
      </c>
      <c r="J80" s="26">
        <v>8</v>
      </c>
      <c r="K80" s="26">
        <v>7</v>
      </c>
      <c r="L80" s="26">
        <v>2023</v>
      </c>
      <c r="M80" s="95">
        <v>45115</v>
      </c>
      <c r="N80" s="27">
        <v>45119</v>
      </c>
      <c r="O80" s="27">
        <v>45121</v>
      </c>
      <c r="P80" s="28">
        <v>45124</v>
      </c>
      <c r="Q80" s="1">
        <v>18</v>
      </c>
      <c r="R80" s="65">
        <f t="shared" si="1"/>
        <v>9</v>
      </c>
      <c r="S80" s="63" t="str">
        <f>IF(Sales[[#This Row],[od_dd-d]]&gt;7,"Late_Delivery","In_Time")</f>
        <v>Late_Delivery</v>
      </c>
    </row>
    <row r="81" spans="1:19">
      <c r="A81" s="29" t="s">
        <v>11</v>
      </c>
      <c r="B81" s="29" t="s">
        <v>59</v>
      </c>
      <c r="C81" s="29" t="s">
        <v>60</v>
      </c>
      <c r="D81" s="29" t="s">
        <v>158</v>
      </c>
      <c r="E81" s="29">
        <v>3</v>
      </c>
      <c r="F81" s="29">
        <v>96072</v>
      </c>
      <c r="G81" s="29">
        <f>Sales[[#This Row],[QUANTITY]]*Sales[[#This Row],[PRICE_PER_UNIT]]</f>
        <v>288216</v>
      </c>
      <c r="H81" s="29" t="s">
        <v>35</v>
      </c>
      <c r="I81" s="29" t="s">
        <v>4</v>
      </c>
      <c r="J81" s="29">
        <v>19</v>
      </c>
      <c r="K81" s="29">
        <v>2</v>
      </c>
      <c r="L81" s="29">
        <v>2020</v>
      </c>
      <c r="M81" s="96">
        <v>43880</v>
      </c>
      <c r="N81" s="30">
        <v>43881</v>
      </c>
      <c r="O81" s="30">
        <v>43883</v>
      </c>
      <c r="P81" s="31">
        <v>43886</v>
      </c>
      <c r="Q81" s="1">
        <v>22</v>
      </c>
      <c r="R81" s="65">
        <f t="shared" si="1"/>
        <v>6</v>
      </c>
      <c r="S81" s="63" t="str">
        <f>IF(Sales[[#This Row],[od_dd-d]]&gt;7,"Late_Delivery","In_Time")</f>
        <v>In_Time</v>
      </c>
    </row>
    <row r="82" spans="1:19">
      <c r="A82" s="29" t="s">
        <v>11</v>
      </c>
      <c r="B82" s="29" t="s">
        <v>59</v>
      </c>
      <c r="C82" s="29" t="s">
        <v>60</v>
      </c>
      <c r="D82" s="29" t="s">
        <v>159</v>
      </c>
      <c r="E82" s="29">
        <v>3</v>
      </c>
      <c r="F82" s="29">
        <v>69461</v>
      </c>
      <c r="G82" s="29">
        <f>Sales[[#This Row],[QUANTITY]]*Sales[[#This Row],[PRICE_PER_UNIT]]</f>
        <v>208383</v>
      </c>
      <c r="H82" s="29" t="s">
        <v>75</v>
      </c>
      <c r="I82" s="29" t="s">
        <v>5</v>
      </c>
      <c r="J82" s="29">
        <v>17</v>
      </c>
      <c r="K82" s="29">
        <v>7</v>
      </c>
      <c r="L82" s="29">
        <v>2022</v>
      </c>
      <c r="M82" s="96">
        <v>44759</v>
      </c>
      <c r="N82" s="30">
        <v>44763</v>
      </c>
      <c r="O82" s="30">
        <v>44766</v>
      </c>
      <c r="P82" s="31">
        <v>44770</v>
      </c>
      <c r="Q82" s="1">
        <v>8</v>
      </c>
      <c r="R82" s="65">
        <f t="shared" si="1"/>
        <v>11</v>
      </c>
      <c r="S82" s="63" t="str">
        <f>IF(Sales[[#This Row],[od_dd-d]]&gt;7,"Late_Delivery","In_Time")</f>
        <v>Late_Delivery</v>
      </c>
    </row>
    <row r="83" spans="1:19">
      <c r="A83" s="29" t="s">
        <v>11</v>
      </c>
      <c r="B83" s="29" t="s">
        <v>44</v>
      </c>
      <c r="C83" s="29" t="s">
        <v>62</v>
      </c>
      <c r="D83" s="29" t="s">
        <v>160</v>
      </c>
      <c r="E83" s="29">
        <v>3</v>
      </c>
      <c r="F83" s="29">
        <v>83539</v>
      </c>
      <c r="G83" s="29">
        <f>Sales[[#This Row],[QUANTITY]]*Sales[[#This Row],[PRICE_PER_UNIT]]</f>
        <v>250617</v>
      </c>
      <c r="H83" s="29" t="s">
        <v>47</v>
      </c>
      <c r="I83" s="29" t="s">
        <v>5</v>
      </c>
      <c r="J83" s="29">
        <v>9</v>
      </c>
      <c r="K83" s="29">
        <v>10</v>
      </c>
      <c r="L83" s="29">
        <v>2021</v>
      </c>
      <c r="M83" s="96">
        <v>44478</v>
      </c>
      <c r="N83" s="30">
        <v>44479</v>
      </c>
      <c r="O83" s="30">
        <v>44483</v>
      </c>
      <c r="P83" s="31">
        <v>44485</v>
      </c>
      <c r="Q83" s="1">
        <v>21</v>
      </c>
      <c r="R83" s="65">
        <f t="shared" si="1"/>
        <v>7</v>
      </c>
      <c r="S83" s="63" t="str">
        <f>IF(Sales[[#This Row],[od_dd-d]]&gt;7,"Late_Delivery","In_Time")</f>
        <v>In_Time</v>
      </c>
    </row>
    <row r="84" spans="1:19">
      <c r="A84" s="29" t="s">
        <v>11</v>
      </c>
      <c r="B84" s="29" t="s">
        <v>65</v>
      </c>
      <c r="C84" s="29" t="s">
        <v>66</v>
      </c>
      <c r="D84" s="29" t="s">
        <v>161</v>
      </c>
      <c r="E84" s="29">
        <v>3</v>
      </c>
      <c r="F84" s="29">
        <v>100948</v>
      </c>
      <c r="G84" s="29">
        <f>Sales[[#This Row],[QUANTITY]]*Sales[[#This Row],[PRICE_PER_UNIT]]</f>
        <v>302844</v>
      </c>
      <c r="H84" s="29" t="s">
        <v>89</v>
      </c>
      <c r="I84" s="29" t="s">
        <v>3</v>
      </c>
      <c r="J84" s="29">
        <v>27</v>
      </c>
      <c r="K84" s="29">
        <v>8</v>
      </c>
      <c r="L84" s="29">
        <v>2025</v>
      </c>
      <c r="M84" s="96">
        <v>45896</v>
      </c>
      <c r="N84" s="30">
        <v>45897</v>
      </c>
      <c r="O84" s="30">
        <v>45899</v>
      </c>
      <c r="P84" s="31">
        <v>45902</v>
      </c>
      <c r="Q84" s="1">
        <v>9</v>
      </c>
      <c r="R84" s="65">
        <f t="shared" si="1"/>
        <v>6</v>
      </c>
      <c r="S84" s="63" t="str">
        <f>IF(Sales[[#This Row],[od_dd-d]]&gt;7,"Late_Delivery","In_Time")</f>
        <v>In_Time</v>
      </c>
    </row>
    <row r="85" spans="1:19">
      <c r="A85" s="29" t="s">
        <v>11</v>
      </c>
      <c r="B85" s="29" t="s">
        <v>44</v>
      </c>
      <c r="C85" s="29" t="s">
        <v>62</v>
      </c>
      <c r="D85" s="29" t="s">
        <v>162</v>
      </c>
      <c r="E85" s="29">
        <v>3</v>
      </c>
      <c r="F85" s="29">
        <v>93983</v>
      </c>
      <c r="G85" s="29">
        <f>Sales[[#This Row],[QUANTITY]]*Sales[[#This Row],[PRICE_PER_UNIT]]</f>
        <v>281949</v>
      </c>
      <c r="H85" s="29" t="s">
        <v>89</v>
      </c>
      <c r="I85" s="29" t="s">
        <v>3</v>
      </c>
      <c r="J85" s="29">
        <v>26</v>
      </c>
      <c r="K85" s="29">
        <v>11</v>
      </c>
      <c r="L85" s="29">
        <v>2015</v>
      </c>
      <c r="M85" s="96">
        <v>42334</v>
      </c>
      <c r="N85" s="30">
        <v>42335</v>
      </c>
      <c r="O85" s="30">
        <v>42336</v>
      </c>
      <c r="P85" s="31">
        <v>42340</v>
      </c>
      <c r="Q85" s="1">
        <v>9</v>
      </c>
      <c r="R85" s="65">
        <f t="shared" si="1"/>
        <v>6</v>
      </c>
      <c r="S85" s="63" t="str">
        <f>IF(Sales[[#This Row],[od_dd-d]]&gt;7,"Late_Delivery","In_Time")</f>
        <v>In_Time</v>
      </c>
    </row>
    <row r="86" spans="1:19">
      <c r="A86" s="26" t="s">
        <v>12</v>
      </c>
      <c r="B86" s="26" t="s">
        <v>77</v>
      </c>
      <c r="C86" s="26" t="s">
        <v>80</v>
      </c>
      <c r="D86" s="26" t="s">
        <v>163</v>
      </c>
      <c r="E86" s="26">
        <v>3</v>
      </c>
      <c r="F86" s="26">
        <v>15212</v>
      </c>
      <c r="G86" s="26">
        <f>Sales[[#This Row],[QUANTITY]]*Sales[[#This Row],[PRICE_PER_UNIT]]</f>
        <v>45636</v>
      </c>
      <c r="H86" s="26" t="s">
        <v>53</v>
      </c>
      <c r="I86" s="26" t="s">
        <v>4</v>
      </c>
      <c r="J86" s="26">
        <v>22</v>
      </c>
      <c r="K86" s="26">
        <v>12</v>
      </c>
      <c r="L86" s="26">
        <v>2024</v>
      </c>
      <c r="M86" s="95">
        <v>45648</v>
      </c>
      <c r="N86" s="27">
        <v>45650</v>
      </c>
      <c r="O86" s="27">
        <v>45653</v>
      </c>
      <c r="P86" s="28">
        <v>45657</v>
      </c>
      <c r="Q86" s="1">
        <v>14</v>
      </c>
      <c r="R86" s="65">
        <f t="shared" si="1"/>
        <v>9</v>
      </c>
      <c r="S86" s="63" t="str">
        <f>IF(Sales[[#This Row],[od_dd-d]]&gt;7,"Late_Delivery","In_Time")</f>
        <v>Late_Delivery</v>
      </c>
    </row>
    <row r="87" spans="1:19">
      <c r="A87" s="26" t="s">
        <v>11</v>
      </c>
      <c r="B87" s="26" t="s">
        <v>82</v>
      </c>
      <c r="C87" s="26" t="s">
        <v>85</v>
      </c>
      <c r="D87" s="26" t="s">
        <v>164</v>
      </c>
      <c r="E87" s="26">
        <v>3</v>
      </c>
      <c r="F87" s="26">
        <v>45613</v>
      </c>
      <c r="G87" s="26">
        <f>Sales[[#This Row],[QUANTITY]]*Sales[[#This Row],[PRICE_PER_UNIT]]</f>
        <v>136839</v>
      </c>
      <c r="H87" s="26" t="s">
        <v>75</v>
      </c>
      <c r="I87" s="26" t="s">
        <v>5</v>
      </c>
      <c r="J87" s="26">
        <v>5</v>
      </c>
      <c r="K87" s="26">
        <v>10</v>
      </c>
      <c r="L87" s="26">
        <v>2017</v>
      </c>
      <c r="M87" s="95">
        <v>43013</v>
      </c>
      <c r="N87" s="27">
        <v>43017</v>
      </c>
      <c r="O87" s="27">
        <v>43018</v>
      </c>
      <c r="P87" s="28">
        <v>43022</v>
      </c>
      <c r="Q87" s="1">
        <v>4</v>
      </c>
      <c r="R87" s="65">
        <f t="shared" si="1"/>
        <v>9</v>
      </c>
      <c r="S87" s="63" t="str">
        <f>IF(Sales[[#This Row],[od_dd-d]]&gt;7,"Late_Delivery","In_Time")</f>
        <v>Late_Delivery</v>
      </c>
    </row>
    <row r="88" spans="1:19">
      <c r="A88" s="29" t="s">
        <v>11</v>
      </c>
      <c r="B88" s="29" t="s">
        <v>82</v>
      </c>
      <c r="C88" s="29" t="s">
        <v>85</v>
      </c>
      <c r="D88" s="29" t="s">
        <v>165</v>
      </c>
      <c r="E88" s="29">
        <v>3</v>
      </c>
      <c r="F88" s="29">
        <v>100961</v>
      </c>
      <c r="G88" s="29">
        <f>Sales[[#This Row],[QUANTITY]]*Sales[[#This Row],[PRICE_PER_UNIT]]</f>
        <v>302883</v>
      </c>
      <c r="H88" s="29" t="s">
        <v>64</v>
      </c>
      <c r="I88" s="29" t="s">
        <v>2</v>
      </c>
      <c r="J88" s="29">
        <v>26</v>
      </c>
      <c r="K88" s="29">
        <v>1</v>
      </c>
      <c r="L88" s="29">
        <v>2025</v>
      </c>
      <c r="M88" s="96">
        <v>45683</v>
      </c>
      <c r="N88" s="30">
        <v>45687</v>
      </c>
      <c r="O88" s="30">
        <v>45688</v>
      </c>
      <c r="P88" s="31">
        <v>45692</v>
      </c>
      <c r="Q88" s="1">
        <v>14</v>
      </c>
      <c r="R88" s="65">
        <f t="shared" si="1"/>
        <v>9</v>
      </c>
      <c r="S88" s="63" t="str">
        <f>IF(Sales[[#This Row],[od_dd-d]]&gt;7,"Late_Delivery","In_Time")</f>
        <v>Late_Delivery</v>
      </c>
    </row>
    <row r="89" spans="1:19">
      <c r="A89" s="29" t="s">
        <v>11</v>
      </c>
      <c r="B89" s="29" t="s">
        <v>32</v>
      </c>
      <c r="C89" s="29" t="s">
        <v>90</v>
      </c>
      <c r="D89" s="29" t="s">
        <v>166</v>
      </c>
      <c r="E89" s="29">
        <v>3</v>
      </c>
      <c r="F89" s="29">
        <v>98041</v>
      </c>
      <c r="G89" s="29">
        <f>Sales[[#This Row],[QUANTITY]]*Sales[[#This Row],[PRICE_PER_UNIT]]</f>
        <v>294123</v>
      </c>
      <c r="H89" s="29" t="s">
        <v>53</v>
      </c>
      <c r="I89" s="29" t="s">
        <v>5</v>
      </c>
      <c r="J89" s="29">
        <v>30</v>
      </c>
      <c r="K89" s="29">
        <v>11</v>
      </c>
      <c r="L89" s="29">
        <v>2019</v>
      </c>
      <c r="M89" s="96">
        <v>43799</v>
      </c>
      <c r="N89" s="30">
        <v>43800</v>
      </c>
      <c r="O89" s="30">
        <v>43801</v>
      </c>
      <c r="P89" s="31">
        <v>43805</v>
      </c>
      <c r="Q89" s="1">
        <v>19</v>
      </c>
      <c r="R89" s="65">
        <f t="shared" si="1"/>
        <v>6</v>
      </c>
      <c r="S89" s="63" t="str">
        <f>IF(Sales[[#This Row],[od_dd-d]]&gt;7,"Late_Delivery","In_Time")</f>
        <v>In_Time</v>
      </c>
    </row>
    <row r="90" spans="1:19">
      <c r="A90" s="29" t="s">
        <v>11</v>
      </c>
      <c r="B90" s="29" t="s">
        <v>32</v>
      </c>
      <c r="C90" s="29" t="s">
        <v>90</v>
      </c>
      <c r="D90" s="29" t="s">
        <v>167</v>
      </c>
      <c r="E90" s="29">
        <v>3</v>
      </c>
      <c r="F90" s="29">
        <v>70126</v>
      </c>
      <c r="G90" s="29">
        <f>Sales[[#This Row],[QUANTITY]]*Sales[[#This Row],[PRICE_PER_UNIT]]</f>
        <v>210378</v>
      </c>
      <c r="H90" s="29" t="s">
        <v>49</v>
      </c>
      <c r="I90" s="29" t="s">
        <v>2</v>
      </c>
      <c r="J90" s="29">
        <v>7</v>
      </c>
      <c r="K90" s="29">
        <v>7</v>
      </c>
      <c r="L90" s="29">
        <v>2018</v>
      </c>
      <c r="M90" s="96">
        <v>43288</v>
      </c>
      <c r="N90" s="30">
        <v>43289</v>
      </c>
      <c r="O90" s="30">
        <v>43292</v>
      </c>
      <c r="P90" s="31">
        <v>43295</v>
      </c>
      <c r="Q90" s="1">
        <v>20</v>
      </c>
      <c r="R90" s="65">
        <f t="shared" si="1"/>
        <v>7</v>
      </c>
      <c r="S90" s="63" t="str">
        <f>IF(Sales[[#This Row],[od_dd-d]]&gt;7,"Late_Delivery","In_Time")</f>
        <v>In_Time</v>
      </c>
    </row>
    <row r="91" spans="1:19">
      <c r="A91" s="26" t="s">
        <v>11</v>
      </c>
      <c r="B91" s="26" t="s">
        <v>65</v>
      </c>
      <c r="C91" s="26" t="s">
        <v>94</v>
      </c>
      <c r="D91" s="26" t="s">
        <v>168</v>
      </c>
      <c r="E91" s="26">
        <v>3</v>
      </c>
      <c r="F91" s="26">
        <v>81687</v>
      </c>
      <c r="G91" s="26">
        <f>Sales[[#This Row],[QUANTITY]]*Sales[[#This Row],[PRICE_PER_UNIT]]</f>
        <v>245061</v>
      </c>
      <c r="H91" s="26" t="s">
        <v>35</v>
      </c>
      <c r="I91" s="26" t="s">
        <v>4</v>
      </c>
      <c r="J91" s="26">
        <v>20</v>
      </c>
      <c r="K91" s="26">
        <v>8</v>
      </c>
      <c r="L91" s="26">
        <v>2019</v>
      </c>
      <c r="M91" s="95">
        <v>43697</v>
      </c>
      <c r="N91" s="27">
        <v>43699</v>
      </c>
      <c r="O91" s="27">
        <v>43701</v>
      </c>
      <c r="P91" s="28">
        <v>43704</v>
      </c>
      <c r="Q91" s="1">
        <v>19</v>
      </c>
      <c r="R91" s="65">
        <f t="shared" si="1"/>
        <v>7</v>
      </c>
      <c r="S91" s="63" t="str">
        <f>IF(Sales[[#This Row],[od_dd-d]]&gt;7,"Late_Delivery","In_Time")</f>
        <v>In_Time</v>
      </c>
    </row>
    <row r="92" spans="1:19">
      <c r="A92" s="26" t="s">
        <v>12</v>
      </c>
      <c r="B92" s="26" t="s">
        <v>97</v>
      </c>
      <c r="C92" s="26" t="s">
        <v>98</v>
      </c>
      <c r="D92" s="26" t="s">
        <v>169</v>
      </c>
      <c r="E92" s="26">
        <v>3</v>
      </c>
      <c r="F92" s="26">
        <v>80420</v>
      </c>
      <c r="G92" s="26">
        <f>Sales[[#This Row],[QUANTITY]]*Sales[[#This Row],[PRICE_PER_UNIT]]</f>
        <v>241260</v>
      </c>
      <c r="H92" s="26" t="s">
        <v>39</v>
      </c>
      <c r="I92" s="26" t="s">
        <v>3</v>
      </c>
      <c r="J92" s="26">
        <v>15</v>
      </c>
      <c r="K92" s="26">
        <v>4</v>
      </c>
      <c r="L92" s="26">
        <v>2019</v>
      </c>
      <c r="M92" s="95">
        <v>43570</v>
      </c>
      <c r="N92" s="27">
        <v>43573</v>
      </c>
      <c r="O92" s="27">
        <v>43577</v>
      </c>
      <c r="P92" s="28">
        <v>43579</v>
      </c>
      <c r="Q92" s="1">
        <v>20</v>
      </c>
      <c r="R92" s="65">
        <f t="shared" si="1"/>
        <v>9</v>
      </c>
      <c r="S92" s="63" t="str">
        <f>IF(Sales[[#This Row],[od_dd-d]]&gt;7,"Late_Delivery","In_Time")</f>
        <v>Late_Delivery</v>
      </c>
    </row>
    <row r="93" spans="1:19">
      <c r="A93" s="29" t="s">
        <v>12</v>
      </c>
      <c r="B93" s="29" t="s">
        <v>97</v>
      </c>
      <c r="C93" s="29" t="s">
        <v>98</v>
      </c>
      <c r="D93" s="29" t="s">
        <v>170</v>
      </c>
      <c r="E93" s="29">
        <v>3</v>
      </c>
      <c r="F93" s="29">
        <v>68782</v>
      </c>
      <c r="G93" s="29">
        <f>Sales[[#This Row],[QUANTITY]]*Sales[[#This Row],[PRICE_PER_UNIT]]</f>
        <v>206346</v>
      </c>
      <c r="H93" s="29" t="s">
        <v>75</v>
      </c>
      <c r="I93" s="29" t="s">
        <v>3</v>
      </c>
      <c r="J93" s="29">
        <v>14</v>
      </c>
      <c r="K93" s="29">
        <v>9</v>
      </c>
      <c r="L93" s="29">
        <v>2024</v>
      </c>
      <c r="M93" s="96">
        <v>45549</v>
      </c>
      <c r="N93" s="30">
        <v>45552</v>
      </c>
      <c r="O93" s="30">
        <v>45553</v>
      </c>
      <c r="P93" s="31">
        <v>45554</v>
      </c>
      <c r="Q93" s="1">
        <v>1</v>
      </c>
      <c r="R93" s="65">
        <f t="shared" si="1"/>
        <v>5</v>
      </c>
      <c r="S93" s="63" t="str">
        <f>IF(Sales[[#This Row],[od_dd-d]]&gt;7,"Late_Delivery","In_Time")</f>
        <v>In_Time</v>
      </c>
    </row>
    <row r="94" spans="1:19">
      <c r="A94" s="29" t="s">
        <v>13</v>
      </c>
      <c r="B94" s="29" t="s">
        <v>32</v>
      </c>
      <c r="C94" s="29" t="s">
        <v>33</v>
      </c>
      <c r="D94" s="29" t="s">
        <v>171</v>
      </c>
      <c r="E94" s="29">
        <v>2</v>
      </c>
      <c r="F94" s="29">
        <v>57240</v>
      </c>
      <c r="G94" s="29">
        <f>Sales[[#This Row],[QUANTITY]]*Sales[[#This Row],[PRICE_PER_UNIT]]</f>
        <v>114480</v>
      </c>
      <c r="H94" s="29" t="s">
        <v>64</v>
      </c>
      <c r="I94" s="29" t="s">
        <v>2</v>
      </c>
      <c r="J94" s="29">
        <v>18</v>
      </c>
      <c r="K94" s="29">
        <v>5</v>
      </c>
      <c r="L94" s="29">
        <v>2017</v>
      </c>
      <c r="M94" s="96">
        <v>42873</v>
      </c>
      <c r="N94" s="30">
        <v>42875</v>
      </c>
      <c r="O94" s="30">
        <v>42878</v>
      </c>
      <c r="P94" s="31">
        <v>42880</v>
      </c>
      <c r="Q94" s="1">
        <v>17</v>
      </c>
      <c r="R94" s="65">
        <f t="shared" si="1"/>
        <v>7</v>
      </c>
      <c r="S94" s="63" t="str">
        <f>IF(Sales[[#This Row],[od_dd-d]]&gt;7,"Late_Delivery","In_Time")</f>
        <v>In_Time</v>
      </c>
    </row>
    <row r="95" spans="1:19">
      <c r="A95" s="26" t="s">
        <v>11</v>
      </c>
      <c r="B95" s="26" t="s">
        <v>32</v>
      </c>
      <c r="C95" s="26" t="s">
        <v>33</v>
      </c>
      <c r="D95" s="26" t="s">
        <v>172</v>
      </c>
      <c r="E95" s="26">
        <v>2</v>
      </c>
      <c r="F95" s="26">
        <v>63680</v>
      </c>
      <c r="G95" s="26">
        <f>Sales[[#This Row],[QUANTITY]]*Sales[[#This Row],[PRICE_PER_UNIT]]</f>
        <v>127360</v>
      </c>
      <c r="H95" s="26" t="s">
        <v>64</v>
      </c>
      <c r="I95" s="26" t="s">
        <v>2</v>
      </c>
      <c r="J95" s="26">
        <v>23</v>
      </c>
      <c r="K95" s="26">
        <v>4</v>
      </c>
      <c r="L95" s="26">
        <v>2015</v>
      </c>
      <c r="M95" s="95">
        <v>42117</v>
      </c>
      <c r="N95" s="27">
        <v>42121</v>
      </c>
      <c r="O95" s="27">
        <v>42123</v>
      </c>
      <c r="P95" s="28">
        <v>42124</v>
      </c>
      <c r="Q95" s="1">
        <v>15</v>
      </c>
      <c r="R95" s="65">
        <f t="shared" si="1"/>
        <v>7</v>
      </c>
      <c r="S95" s="63" t="str">
        <f>IF(Sales[[#This Row],[od_dd-d]]&gt;7,"Late_Delivery","In_Time")</f>
        <v>In_Time</v>
      </c>
    </row>
    <row r="96" spans="1:19">
      <c r="A96" s="29" t="s">
        <v>12</v>
      </c>
      <c r="B96" s="29" t="s">
        <v>105</v>
      </c>
      <c r="C96" s="29" t="s">
        <v>106</v>
      </c>
      <c r="D96" s="29" t="s">
        <v>173</v>
      </c>
      <c r="E96" s="29">
        <v>2</v>
      </c>
      <c r="F96" s="29">
        <v>45254</v>
      </c>
      <c r="G96" s="29">
        <f>Sales[[#This Row],[QUANTITY]]*Sales[[#This Row],[PRICE_PER_UNIT]]</f>
        <v>90508</v>
      </c>
      <c r="H96" s="29" t="s">
        <v>53</v>
      </c>
      <c r="I96" s="29" t="s">
        <v>4</v>
      </c>
      <c r="J96" s="29">
        <v>15</v>
      </c>
      <c r="K96" s="29">
        <v>8</v>
      </c>
      <c r="L96" s="29">
        <v>2021</v>
      </c>
      <c r="M96" s="96">
        <v>44423</v>
      </c>
      <c r="N96" s="30">
        <v>44424</v>
      </c>
      <c r="O96" s="30">
        <v>44426</v>
      </c>
      <c r="P96" s="31">
        <v>44430</v>
      </c>
      <c r="Q96" s="1">
        <v>7</v>
      </c>
      <c r="R96" s="65">
        <f t="shared" si="1"/>
        <v>7</v>
      </c>
      <c r="S96" s="63" t="str">
        <f>IF(Sales[[#This Row],[od_dd-d]]&gt;7,"Late_Delivery","In_Time")</f>
        <v>In_Time</v>
      </c>
    </row>
    <row r="97" spans="1:19">
      <c r="A97" s="26" t="s">
        <v>12</v>
      </c>
      <c r="B97" s="26" t="s">
        <v>105</v>
      </c>
      <c r="C97" s="26" t="s">
        <v>106</v>
      </c>
      <c r="D97" s="26" t="s">
        <v>174</v>
      </c>
      <c r="E97" s="26">
        <v>2</v>
      </c>
      <c r="F97" s="26">
        <v>50220</v>
      </c>
      <c r="G97" s="26">
        <f>Sales[[#This Row],[QUANTITY]]*Sales[[#This Row],[PRICE_PER_UNIT]]</f>
        <v>100440</v>
      </c>
      <c r="H97" s="26" t="s">
        <v>43</v>
      </c>
      <c r="I97" s="26" t="s">
        <v>4</v>
      </c>
      <c r="J97" s="26">
        <v>18</v>
      </c>
      <c r="K97" s="26">
        <v>7</v>
      </c>
      <c r="L97" s="26">
        <v>2024</v>
      </c>
      <c r="M97" s="95">
        <v>45491</v>
      </c>
      <c r="N97" s="27">
        <v>45494</v>
      </c>
      <c r="O97" s="27">
        <v>45498</v>
      </c>
      <c r="P97" s="28">
        <v>45502</v>
      </c>
      <c r="Q97" s="1">
        <v>5</v>
      </c>
      <c r="R97" s="65">
        <f t="shared" si="1"/>
        <v>11</v>
      </c>
      <c r="S97" s="63" t="str">
        <f>IF(Sales[[#This Row],[od_dd-d]]&gt;7,"Late_Delivery","In_Time")</f>
        <v>Late_Delivery</v>
      </c>
    </row>
    <row r="98" spans="1:19">
      <c r="A98" s="26" t="s">
        <v>12</v>
      </c>
      <c r="B98" s="26" t="s">
        <v>36</v>
      </c>
      <c r="C98" s="26" t="s">
        <v>37</v>
      </c>
      <c r="D98" s="26" t="s">
        <v>175</v>
      </c>
      <c r="E98" s="26">
        <v>2</v>
      </c>
      <c r="F98" s="26">
        <v>41980</v>
      </c>
      <c r="G98" s="26">
        <f>Sales[[#This Row],[QUANTITY]]*Sales[[#This Row],[PRICE_PER_UNIT]]</f>
        <v>83960</v>
      </c>
      <c r="H98" s="26" t="s">
        <v>55</v>
      </c>
      <c r="I98" s="26" t="s">
        <v>4</v>
      </c>
      <c r="J98" s="26">
        <v>27</v>
      </c>
      <c r="K98" s="26">
        <v>7</v>
      </c>
      <c r="L98" s="26">
        <v>2020</v>
      </c>
      <c r="M98" s="95">
        <v>44039</v>
      </c>
      <c r="N98" s="27">
        <v>44041</v>
      </c>
      <c r="O98" s="27">
        <v>44043</v>
      </c>
      <c r="P98" s="28">
        <v>44044</v>
      </c>
      <c r="Q98" s="1">
        <v>3</v>
      </c>
      <c r="R98" s="65">
        <f t="shared" si="1"/>
        <v>5</v>
      </c>
      <c r="S98" s="63" t="str">
        <f>IF(Sales[[#This Row],[od_dd-d]]&gt;7,"Late_Delivery","In_Time")</f>
        <v>In_Time</v>
      </c>
    </row>
    <row r="99" spans="1:19">
      <c r="A99" s="26" t="s">
        <v>11</v>
      </c>
      <c r="B99" s="26" t="s">
        <v>50</v>
      </c>
      <c r="C99" s="26" t="s">
        <v>108</v>
      </c>
      <c r="D99" s="26" t="s">
        <v>176</v>
      </c>
      <c r="E99" s="26">
        <v>2</v>
      </c>
      <c r="F99" s="26">
        <v>85445</v>
      </c>
      <c r="G99" s="26">
        <f>Sales[[#This Row],[QUANTITY]]*Sales[[#This Row],[PRICE_PER_UNIT]]</f>
        <v>170890</v>
      </c>
      <c r="H99" s="26" t="s">
        <v>53</v>
      </c>
      <c r="I99" s="26" t="s">
        <v>5</v>
      </c>
      <c r="J99" s="26">
        <v>2</v>
      </c>
      <c r="K99" s="26">
        <v>1</v>
      </c>
      <c r="L99" s="26">
        <v>2024</v>
      </c>
      <c r="M99" s="95">
        <v>45293</v>
      </c>
      <c r="N99" s="27">
        <v>45296</v>
      </c>
      <c r="O99" s="27">
        <v>45299</v>
      </c>
      <c r="P99" s="28">
        <v>45302</v>
      </c>
      <c r="Q99" s="1">
        <v>21</v>
      </c>
      <c r="R99" s="65">
        <f t="shared" si="1"/>
        <v>9</v>
      </c>
      <c r="S99" s="63" t="str">
        <f>IF(Sales[[#This Row],[od_dd-d]]&gt;7,"Late_Delivery","In_Time")</f>
        <v>Late_Delivery</v>
      </c>
    </row>
    <row r="100" spans="1:19">
      <c r="A100" s="26" t="s">
        <v>12</v>
      </c>
      <c r="B100" s="26" t="s">
        <v>40</v>
      </c>
      <c r="C100" s="26" t="s">
        <v>41</v>
      </c>
      <c r="D100" s="26" t="s">
        <v>177</v>
      </c>
      <c r="E100" s="26">
        <v>2</v>
      </c>
      <c r="F100" s="26">
        <v>69619</v>
      </c>
      <c r="G100" s="26">
        <f>Sales[[#This Row],[QUANTITY]]*Sales[[#This Row],[PRICE_PER_UNIT]]</f>
        <v>139238</v>
      </c>
      <c r="H100" s="26" t="s">
        <v>43</v>
      </c>
      <c r="I100" s="26" t="s">
        <v>3</v>
      </c>
      <c r="J100" s="26">
        <v>19</v>
      </c>
      <c r="K100" s="26">
        <v>10</v>
      </c>
      <c r="L100" s="26">
        <v>2023</v>
      </c>
      <c r="M100" s="95">
        <v>45218</v>
      </c>
      <c r="N100" s="27">
        <v>45220</v>
      </c>
      <c r="O100" s="27">
        <v>45221</v>
      </c>
      <c r="P100" s="28">
        <v>45224</v>
      </c>
      <c r="Q100" s="1">
        <v>18</v>
      </c>
      <c r="R100" s="65">
        <f t="shared" si="1"/>
        <v>6</v>
      </c>
      <c r="S100" s="63" t="str">
        <f>IF(Sales[[#This Row],[od_dd-d]]&gt;7,"Late_Delivery","In_Time")</f>
        <v>In_Time</v>
      </c>
    </row>
    <row r="101" spans="1:19">
      <c r="A101" s="29" t="s">
        <v>12</v>
      </c>
      <c r="B101" s="29" t="s">
        <v>40</v>
      </c>
      <c r="C101" s="29" t="s">
        <v>41</v>
      </c>
      <c r="D101" s="29" t="s">
        <v>178</v>
      </c>
      <c r="E101" s="29">
        <v>2</v>
      </c>
      <c r="F101" s="29">
        <v>33125</v>
      </c>
      <c r="G101" s="29">
        <f>Sales[[#This Row],[QUANTITY]]*Sales[[#This Row],[PRICE_PER_UNIT]]</f>
        <v>66250</v>
      </c>
      <c r="H101" s="29" t="s">
        <v>39</v>
      </c>
      <c r="I101" s="29" t="s">
        <v>3</v>
      </c>
      <c r="J101" s="29">
        <v>1</v>
      </c>
      <c r="K101" s="29">
        <v>10</v>
      </c>
      <c r="L101" s="29">
        <v>2021</v>
      </c>
      <c r="M101" s="96">
        <v>44470</v>
      </c>
      <c r="N101" s="30">
        <v>44471</v>
      </c>
      <c r="O101" s="30">
        <v>44475</v>
      </c>
      <c r="P101" s="31">
        <v>44476</v>
      </c>
      <c r="Q101" s="1">
        <v>23</v>
      </c>
      <c r="R101" s="65">
        <f t="shared" si="1"/>
        <v>6</v>
      </c>
      <c r="S101" s="63" t="str">
        <f>IF(Sales[[#This Row],[od_dd-d]]&gt;7,"Late_Delivery","In_Time")</f>
        <v>In_Time</v>
      </c>
    </row>
    <row r="102" spans="1:19">
      <c r="A102" s="26" t="s">
        <v>12</v>
      </c>
      <c r="B102" s="26" t="s">
        <v>40</v>
      </c>
      <c r="C102" s="26" t="s">
        <v>41</v>
      </c>
      <c r="D102" s="26" t="s">
        <v>179</v>
      </c>
      <c r="E102" s="26">
        <v>2</v>
      </c>
      <c r="F102" s="26">
        <v>19109</v>
      </c>
      <c r="G102" s="26">
        <f>Sales[[#This Row],[QUANTITY]]*Sales[[#This Row],[PRICE_PER_UNIT]]</f>
        <v>38218</v>
      </c>
      <c r="H102" s="26" t="s">
        <v>47</v>
      </c>
      <c r="I102" s="26" t="s">
        <v>3</v>
      </c>
      <c r="J102" s="26">
        <v>17</v>
      </c>
      <c r="K102" s="26">
        <v>9</v>
      </c>
      <c r="L102" s="26">
        <v>2025</v>
      </c>
      <c r="M102" s="95">
        <v>45917</v>
      </c>
      <c r="N102" s="27">
        <v>45918</v>
      </c>
      <c r="O102" s="27">
        <v>45919</v>
      </c>
      <c r="P102" s="28">
        <v>45920</v>
      </c>
      <c r="Q102" s="1">
        <v>23</v>
      </c>
      <c r="R102" s="65">
        <f t="shared" si="1"/>
        <v>3</v>
      </c>
      <c r="S102" s="63" t="str">
        <f>IF(Sales[[#This Row],[od_dd-d]]&gt;7,"Late_Delivery","In_Time")</f>
        <v>In_Time</v>
      </c>
    </row>
    <row r="103" spans="1:19">
      <c r="A103" s="26" t="s">
        <v>11</v>
      </c>
      <c r="B103" s="26" t="s">
        <v>44</v>
      </c>
      <c r="C103" s="26" t="s">
        <v>45</v>
      </c>
      <c r="D103" s="26" t="s">
        <v>180</v>
      </c>
      <c r="E103" s="26">
        <v>2</v>
      </c>
      <c r="F103" s="26">
        <v>82353</v>
      </c>
      <c r="G103" s="26">
        <f>Sales[[#This Row],[QUANTITY]]*Sales[[#This Row],[PRICE_PER_UNIT]]</f>
        <v>164706</v>
      </c>
      <c r="H103" s="26" t="s">
        <v>55</v>
      </c>
      <c r="I103" s="26" t="s">
        <v>6</v>
      </c>
      <c r="J103" s="26">
        <v>12</v>
      </c>
      <c r="K103" s="26">
        <v>9</v>
      </c>
      <c r="L103" s="26">
        <v>2019</v>
      </c>
      <c r="M103" s="95">
        <v>43720</v>
      </c>
      <c r="N103" s="27">
        <v>43721</v>
      </c>
      <c r="O103" s="27">
        <v>43722</v>
      </c>
      <c r="P103" s="28">
        <v>43726</v>
      </c>
      <c r="Q103" s="1">
        <v>13</v>
      </c>
      <c r="R103" s="65">
        <f t="shared" si="1"/>
        <v>6</v>
      </c>
      <c r="S103" s="63" t="str">
        <f>IF(Sales[[#This Row],[od_dd-d]]&gt;7,"Late_Delivery","In_Time")</f>
        <v>In_Time</v>
      </c>
    </row>
    <row r="104" spans="1:19">
      <c r="A104" s="29" t="s">
        <v>11</v>
      </c>
      <c r="B104" s="29" t="s">
        <v>50</v>
      </c>
      <c r="C104" s="29" t="s">
        <v>51</v>
      </c>
      <c r="D104" s="29" t="s">
        <v>181</v>
      </c>
      <c r="E104" s="29">
        <v>2</v>
      </c>
      <c r="F104" s="29">
        <v>65285</v>
      </c>
      <c r="G104" s="29">
        <f>Sales[[#This Row],[QUANTITY]]*Sales[[#This Row],[PRICE_PER_UNIT]]</f>
        <v>130570</v>
      </c>
      <c r="H104" s="29" t="s">
        <v>75</v>
      </c>
      <c r="I104" s="29" t="s">
        <v>5</v>
      </c>
      <c r="J104" s="29">
        <v>2</v>
      </c>
      <c r="K104" s="29">
        <v>10</v>
      </c>
      <c r="L104" s="29">
        <v>2020</v>
      </c>
      <c r="M104" s="96">
        <v>44106</v>
      </c>
      <c r="N104" s="30">
        <v>44110</v>
      </c>
      <c r="O104" s="30">
        <v>44112</v>
      </c>
      <c r="P104" s="31">
        <v>44115</v>
      </c>
      <c r="Q104" s="1">
        <v>1</v>
      </c>
      <c r="R104" s="65">
        <f t="shared" si="1"/>
        <v>9</v>
      </c>
      <c r="S104" s="63" t="str">
        <f>IF(Sales[[#This Row],[od_dd-d]]&gt;7,"Late_Delivery","In_Time")</f>
        <v>Late_Delivery</v>
      </c>
    </row>
    <row r="105" spans="1:19">
      <c r="A105" s="29" t="s">
        <v>11</v>
      </c>
      <c r="B105" s="29" t="s">
        <v>50</v>
      </c>
      <c r="C105" s="29" t="s">
        <v>51</v>
      </c>
      <c r="D105" s="29" t="s">
        <v>182</v>
      </c>
      <c r="E105" s="29">
        <v>2</v>
      </c>
      <c r="F105" s="29">
        <v>68107</v>
      </c>
      <c r="G105" s="29">
        <f>Sales[[#This Row],[QUANTITY]]*Sales[[#This Row],[PRICE_PER_UNIT]]</f>
        <v>136214</v>
      </c>
      <c r="H105" s="29" t="s">
        <v>55</v>
      </c>
      <c r="I105" s="29" t="s">
        <v>6</v>
      </c>
      <c r="J105" s="29">
        <v>4</v>
      </c>
      <c r="K105" s="29">
        <v>7</v>
      </c>
      <c r="L105" s="29">
        <v>2019</v>
      </c>
      <c r="M105" s="96">
        <v>43650</v>
      </c>
      <c r="N105" s="30">
        <v>43651</v>
      </c>
      <c r="O105" s="30">
        <v>43653</v>
      </c>
      <c r="P105" s="31">
        <v>43655</v>
      </c>
      <c r="Q105" s="1">
        <v>3</v>
      </c>
      <c r="R105" s="65">
        <f t="shared" si="1"/>
        <v>5</v>
      </c>
      <c r="S105" s="63" t="str">
        <f>IF(Sales[[#This Row],[od_dd-d]]&gt;7,"Late_Delivery","In_Time")</f>
        <v>In_Time</v>
      </c>
    </row>
    <row r="106" spans="1:19">
      <c r="A106" s="29" t="s">
        <v>11</v>
      </c>
      <c r="B106" s="29" t="s">
        <v>44</v>
      </c>
      <c r="C106" s="29" t="s">
        <v>45</v>
      </c>
      <c r="D106" s="29" t="s">
        <v>183</v>
      </c>
      <c r="E106" s="29">
        <v>2</v>
      </c>
      <c r="F106" s="29">
        <v>105836</v>
      </c>
      <c r="G106" s="29">
        <f>Sales[[#This Row],[QUANTITY]]*Sales[[#This Row],[PRICE_PER_UNIT]]</f>
        <v>211672</v>
      </c>
      <c r="H106" s="29" t="s">
        <v>64</v>
      </c>
      <c r="I106" s="29" t="s">
        <v>2</v>
      </c>
      <c r="J106" s="29">
        <v>23</v>
      </c>
      <c r="K106" s="29">
        <v>11</v>
      </c>
      <c r="L106" s="29">
        <v>2020</v>
      </c>
      <c r="M106" s="96">
        <v>44158</v>
      </c>
      <c r="N106" s="30">
        <v>44162</v>
      </c>
      <c r="O106" s="30">
        <v>44165</v>
      </c>
      <c r="P106" s="31">
        <v>44168</v>
      </c>
      <c r="Q106" s="1">
        <v>16</v>
      </c>
      <c r="R106" s="65">
        <f t="shared" si="1"/>
        <v>10</v>
      </c>
      <c r="S106" s="63" t="str">
        <f>IF(Sales[[#This Row],[od_dd-d]]&gt;7,"Late_Delivery","In_Time")</f>
        <v>Late_Delivery</v>
      </c>
    </row>
    <row r="107" spans="1:19">
      <c r="A107" s="26" t="s">
        <v>12</v>
      </c>
      <c r="B107" s="26" t="s">
        <v>56</v>
      </c>
      <c r="C107" s="26" t="s">
        <v>57</v>
      </c>
      <c r="D107" s="26" t="s">
        <v>184</v>
      </c>
      <c r="E107" s="26">
        <v>2</v>
      </c>
      <c r="F107" s="26">
        <v>82795</v>
      </c>
      <c r="G107" s="26">
        <f>Sales[[#This Row],[QUANTITY]]*Sales[[#This Row],[PRICE_PER_UNIT]]</f>
        <v>165590</v>
      </c>
      <c r="H107" s="26" t="s">
        <v>39</v>
      </c>
      <c r="I107" s="26" t="s">
        <v>6</v>
      </c>
      <c r="J107" s="26">
        <v>12</v>
      </c>
      <c r="K107" s="26">
        <v>5</v>
      </c>
      <c r="L107" s="26">
        <v>2023</v>
      </c>
      <c r="M107" s="95">
        <v>45058</v>
      </c>
      <c r="N107" s="27">
        <v>45062</v>
      </c>
      <c r="O107" s="27">
        <v>45066</v>
      </c>
      <c r="P107" s="28">
        <v>45069</v>
      </c>
      <c r="Q107" s="1">
        <v>12</v>
      </c>
      <c r="R107" s="65">
        <f t="shared" si="1"/>
        <v>11</v>
      </c>
      <c r="S107" s="63" t="str">
        <f>IF(Sales[[#This Row],[od_dd-d]]&gt;7,"Late_Delivery","In_Time")</f>
        <v>Late_Delivery</v>
      </c>
    </row>
    <row r="108" spans="1:19">
      <c r="A108" s="26" t="s">
        <v>11</v>
      </c>
      <c r="B108" s="26" t="s">
        <v>65</v>
      </c>
      <c r="C108" s="26" t="s">
        <v>66</v>
      </c>
      <c r="D108" s="26" t="s">
        <v>185</v>
      </c>
      <c r="E108" s="26">
        <v>2</v>
      </c>
      <c r="F108" s="26">
        <v>100311</v>
      </c>
      <c r="G108" s="26">
        <f>Sales[[#This Row],[QUANTITY]]*Sales[[#This Row],[PRICE_PER_UNIT]]</f>
        <v>200622</v>
      </c>
      <c r="H108" s="26" t="s">
        <v>64</v>
      </c>
      <c r="I108" s="26" t="s">
        <v>2</v>
      </c>
      <c r="J108" s="26">
        <v>30</v>
      </c>
      <c r="K108" s="26">
        <v>12</v>
      </c>
      <c r="L108" s="26">
        <v>2015</v>
      </c>
      <c r="M108" s="95">
        <v>42368</v>
      </c>
      <c r="N108" s="27">
        <v>42369</v>
      </c>
      <c r="O108" s="27">
        <v>42372</v>
      </c>
      <c r="P108" s="28">
        <v>42373</v>
      </c>
      <c r="Q108" s="1">
        <v>20</v>
      </c>
      <c r="R108" s="65">
        <f t="shared" si="1"/>
        <v>5</v>
      </c>
      <c r="S108" s="63" t="str">
        <f>IF(Sales[[#This Row],[od_dd-d]]&gt;7,"Late_Delivery","In_Time")</f>
        <v>In_Time</v>
      </c>
    </row>
    <row r="109" spans="1:19">
      <c r="A109" s="29" t="s">
        <v>11</v>
      </c>
      <c r="B109" s="29" t="s">
        <v>44</v>
      </c>
      <c r="C109" s="29" t="s">
        <v>62</v>
      </c>
      <c r="D109" s="29" t="s">
        <v>186</v>
      </c>
      <c r="E109" s="29">
        <v>2</v>
      </c>
      <c r="F109" s="29">
        <v>72979</v>
      </c>
      <c r="G109" s="29">
        <f>Sales[[#This Row],[QUANTITY]]*Sales[[#This Row],[PRICE_PER_UNIT]]</f>
        <v>145958</v>
      </c>
      <c r="H109" s="29" t="s">
        <v>64</v>
      </c>
      <c r="I109" s="29" t="s">
        <v>2</v>
      </c>
      <c r="J109" s="29">
        <v>6</v>
      </c>
      <c r="K109" s="29">
        <v>6</v>
      </c>
      <c r="L109" s="29">
        <v>2024</v>
      </c>
      <c r="M109" s="96">
        <v>45449</v>
      </c>
      <c r="N109" s="30">
        <v>45451</v>
      </c>
      <c r="O109" s="30">
        <v>45454</v>
      </c>
      <c r="P109" s="31">
        <v>45458</v>
      </c>
      <c r="Q109" s="1">
        <v>2</v>
      </c>
      <c r="R109" s="65">
        <f t="shared" si="1"/>
        <v>9</v>
      </c>
      <c r="S109" s="63" t="str">
        <f>IF(Sales[[#This Row],[od_dd-d]]&gt;7,"Late_Delivery","In_Time")</f>
        <v>Late_Delivery</v>
      </c>
    </row>
    <row r="110" spans="1:19">
      <c r="A110" s="26" t="s">
        <v>11</v>
      </c>
      <c r="B110" s="26" t="s">
        <v>44</v>
      </c>
      <c r="C110" s="26" t="s">
        <v>62</v>
      </c>
      <c r="D110" s="26" t="s">
        <v>187</v>
      </c>
      <c r="E110" s="26">
        <v>2</v>
      </c>
      <c r="F110" s="26">
        <v>108534</v>
      </c>
      <c r="G110" s="26">
        <f>Sales[[#This Row],[QUANTITY]]*Sales[[#This Row],[PRICE_PER_UNIT]]</f>
        <v>217068</v>
      </c>
      <c r="H110" s="26" t="s">
        <v>49</v>
      </c>
      <c r="I110" s="26" t="s">
        <v>2</v>
      </c>
      <c r="J110" s="26">
        <v>29</v>
      </c>
      <c r="K110" s="26">
        <v>7</v>
      </c>
      <c r="L110" s="26">
        <v>2020</v>
      </c>
      <c r="M110" s="95">
        <v>44041</v>
      </c>
      <c r="N110" s="27">
        <v>44043</v>
      </c>
      <c r="O110" s="27">
        <v>44047</v>
      </c>
      <c r="P110" s="28">
        <v>44048</v>
      </c>
      <c r="Q110" s="1">
        <v>2</v>
      </c>
      <c r="R110" s="65">
        <f t="shared" si="1"/>
        <v>7</v>
      </c>
      <c r="S110" s="63" t="str">
        <f>IF(Sales[[#This Row],[od_dd-d]]&gt;7,"Late_Delivery","In_Time")</f>
        <v>In_Time</v>
      </c>
    </row>
    <row r="111" spans="1:19">
      <c r="A111" s="26" t="s">
        <v>11</v>
      </c>
      <c r="B111" s="26" t="s">
        <v>65</v>
      </c>
      <c r="C111" s="26" t="s">
        <v>66</v>
      </c>
      <c r="D111" s="26" t="s">
        <v>188</v>
      </c>
      <c r="E111" s="26">
        <v>2</v>
      </c>
      <c r="F111" s="26">
        <v>102302</v>
      </c>
      <c r="G111" s="26">
        <f>Sales[[#This Row],[QUANTITY]]*Sales[[#This Row],[PRICE_PER_UNIT]]</f>
        <v>204604</v>
      </c>
      <c r="H111" s="26" t="s">
        <v>75</v>
      </c>
      <c r="I111" s="26" t="s">
        <v>5</v>
      </c>
      <c r="J111" s="26">
        <v>9</v>
      </c>
      <c r="K111" s="26">
        <v>12</v>
      </c>
      <c r="L111" s="26">
        <v>2017</v>
      </c>
      <c r="M111" s="95">
        <v>43078</v>
      </c>
      <c r="N111" s="27">
        <v>43082</v>
      </c>
      <c r="O111" s="27">
        <v>43086</v>
      </c>
      <c r="P111" s="28">
        <v>43090</v>
      </c>
      <c r="Q111" s="1">
        <v>12</v>
      </c>
      <c r="R111" s="65">
        <f t="shared" si="1"/>
        <v>12</v>
      </c>
      <c r="S111" s="63" t="str">
        <f>IF(Sales[[#This Row],[od_dd-d]]&gt;7,"Late_Delivery","In_Time")</f>
        <v>Late_Delivery</v>
      </c>
    </row>
    <row r="112" spans="1:19">
      <c r="A112" s="29" t="s">
        <v>11</v>
      </c>
      <c r="B112" s="29" t="s">
        <v>44</v>
      </c>
      <c r="C112" s="29" t="s">
        <v>62</v>
      </c>
      <c r="D112" s="29" t="s">
        <v>189</v>
      </c>
      <c r="E112" s="29">
        <v>2</v>
      </c>
      <c r="F112" s="29">
        <v>95160</v>
      </c>
      <c r="G112" s="29">
        <f>Sales[[#This Row],[QUANTITY]]*Sales[[#This Row],[PRICE_PER_UNIT]]</f>
        <v>190320</v>
      </c>
      <c r="H112" s="29" t="s">
        <v>39</v>
      </c>
      <c r="I112" s="29" t="s">
        <v>3</v>
      </c>
      <c r="J112" s="29">
        <v>6</v>
      </c>
      <c r="K112" s="29">
        <v>2</v>
      </c>
      <c r="L112" s="29">
        <v>2021</v>
      </c>
      <c r="M112" s="96">
        <v>44233</v>
      </c>
      <c r="N112" s="30">
        <v>44234</v>
      </c>
      <c r="O112" s="30">
        <v>44235</v>
      </c>
      <c r="P112" s="31">
        <v>44237</v>
      </c>
      <c r="Q112" s="1">
        <v>3</v>
      </c>
      <c r="R112" s="65">
        <f t="shared" si="1"/>
        <v>4</v>
      </c>
      <c r="S112" s="63" t="str">
        <f>IF(Sales[[#This Row],[od_dd-d]]&gt;7,"Late_Delivery","In_Time")</f>
        <v>In_Time</v>
      </c>
    </row>
    <row r="113" spans="1:19">
      <c r="A113" s="29" t="s">
        <v>12</v>
      </c>
      <c r="B113" s="29" t="s">
        <v>77</v>
      </c>
      <c r="C113" s="29" t="s">
        <v>80</v>
      </c>
      <c r="D113" s="29" t="s">
        <v>190</v>
      </c>
      <c r="E113" s="29">
        <v>2</v>
      </c>
      <c r="F113" s="29">
        <v>47995</v>
      </c>
      <c r="G113" s="29">
        <f>Sales[[#This Row],[QUANTITY]]*Sales[[#This Row],[PRICE_PER_UNIT]]</f>
        <v>95990</v>
      </c>
      <c r="H113" s="29" t="s">
        <v>43</v>
      </c>
      <c r="I113" s="29" t="s">
        <v>3</v>
      </c>
      <c r="J113" s="29">
        <v>25</v>
      </c>
      <c r="K113" s="29">
        <v>12</v>
      </c>
      <c r="L113" s="29">
        <v>2016</v>
      </c>
      <c r="M113" s="96">
        <v>42729</v>
      </c>
      <c r="N113" s="30">
        <v>42731</v>
      </c>
      <c r="O113" s="30">
        <v>42732</v>
      </c>
      <c r="P113" s="31">
        <v>42733</v>
      </c>
      <c r="Q113" s="1">
        <v>1</v>
      </c>
      <c r="R113" s="65">
        <f t="shared" si="1"/>
        <v>4</v>
      </c>
      <c r="S113" s="63" t="str">
        <f>IF(Sales[[#This Row],[od_dd-d]]&gt;7,"Late_Delivery","In_Time")</f>
        <v>In_Time</v>
      </c>
    </row>
    <row r="114" spans="1:19">
      <c r="A114" s="29" t="s">
        <v>12</v>
      </c>
      <c r="B114" s="29" t="s">
        <v>77</v>
      </c>
      <c r="C114" s="29" t="s">
        <v>80</v>
      </c>
      <c r="D114" s="29" t="s">
        <v>191</v>
      </c>
      <c r="E114" s="29">
        <v>2</v>
      </c>
      <c r="F114" s="29">
        <v>47277</v>
      </c>
      <c r="G114" s="29">
        <f>Sales[[#This Row],[QUANTITY]]*Sales[[#This Row],[PRICE_PER_UNIT]]</f>
        <v>94554</v>
      </c>
      <c r="H114" s="29" t="s">
        <v>55</v>
      </c>
      <c r="I114" s="29" t="s">
        <v>3</v>
      </c>
      <c r="J114" s="29">
        <v>11</v>
      </c>
      <c r="K114" s="29">
        <v>5</v>
      </c>
      <c r="L114" s="29">
        <v>2022</v>
      </c>
      <c r="M114" s="96">
        <v>44692</v>
      </c>
      <c r="N114" s="30">
        <v>44695</v>
      </c>
      <c r="O114" s="30">
        <v>44697</v>
      </c>
      <c r="P114" s="31">
        <v>44700</v>
      </c>
      <c r="Q114" s="1">
        <v>11</v>
      </c>
      <c r="R114" s="65">
        <f t="shared" si="1"/>
        <v>8</v>
      </c>
      <c r="S114" s="63" t="str">
        <f>IF(Sales[[#This Row],[od_dd-d]]&gt;7,"Late_Delivery","In_Time")</f>
        <v>Late_Delivery</v>
      </c>
    </row>
    <row r="115" spans="1:19">
      <c r="A115" s="29" t="s">
        <v>11</v>
      </c>
      <c r="B115" s="29" t="s">
        <v>82</v>
      </c>
      <c r="C115" s="29" t="s">
        <v>85</v>
      </c>
      <c r="D115" s="29" t="s">
        <v>192</v>
      </c>
      <c r="E115" s="29">
        <v>2</v>
      </c>
      <c r="F115" s="29">
        <v>77624</v>
      </c>
      <c r="G115" s="29">
        <f>Sales[[#This Row],[QUANTITY]]*Sales[[#This Row],[PRICE_PER_UNIT]]</f>
        <v>155248</v>
      </c>
      <c r="H115" s="29" t="s">
        <v>75</v>
      </c>
      <c r="I115" s="29" t="s">
        <v>5</v>
      </c>
      <c r="J115" s="29">
        <v>6</v>
      </c>
      <c r="K115" s="29">
        <v>9</v>
      </c>
      <c r="L115" s="29">
        <v>2020</v>
      </c>
      <c r="M115" s="96">
        <v>44080</v>
      </c>
      <c r="N115" s="30">
        <v>44082</v>
      </c>
      <c r="O115" s="30">
        <v>44086</v>
      </c>
      <c r="P115" s="31">
        <v>44090</v>
      </c>
      <c r="Q115" s="1">
        <v>20</v>
      </c>
      <c r="R115" s="65">
        <f t="shared" si="1"/>
        <v>10</v>
      </c>
      <c r="S115" s="63" t="str">
        <f>IF(Sales[[#This Row],[od_dd-d]]&gt;7,"Late_Delivery","In_Time")</f>
        <v>Late_Delivery</v>
      </c>
    </row>
    <row r="116" spans="1:19">
      <c r="A116" s="29" t="s">
        <v>11</v>
      </c>
      <c r="B116" s="29" t="s">
        <v>82</v>
      </c>
      <c r="C116" s="29" t="s">
        <v>85</v>
      </c>
      <c r="D116" s="29" t="s">
        <v>193</v>
      </c>
      <c r="E116" s="29">
        <v>2</v>
      </c>
      <c r="F116" s="29">
        <v>102776</v>
      </c>
      <c r="G116" s="29">
        <f>Sales[[#This Row],[QUANTITY]]*Sales[[#This Row],[PRICE_PER_UNIT]]</f>
        <v>205552</v>
      </c>
      <c r="H116" s="29" t="s">
        <v>35</v>
      </c>
      <c r="I116" s="29" t="s">
        <v>4</v>
      </c>
      <c r="J116" s="29">
        <v>16</v>
      </c>
      <c r="K116" s="29">
        <v>4</v>
      </c>
      <c r="L116" s="29">
        <v>2022</v>
      </c>
      <c r="M116" s="96">
        <v>44667</v>
      </c>
      <c r="N116" s="30">
        <v>44669</v>
      </c>
      <c r="O116" s="30">
        <v>44672</v>
      </c>
      <c r="P116" s="31">
        <v>44675</v>
      </c>
      <c r="Q116" s="1">
        <v>15</v>
      </c>
      <c r="R116" s="65">
        <f t="shared" si="1"/>
        <v>8</v>
      </c>
      <c r="S116" s="63" t="str">
        <f>IF(Sales[[#This Row],[od_dd-d]]&gt;7,"Late_Delivery","In_Time")</f>
        <v>Late_Delivery</v>
      </c>
    </row>
    <row r="117" spans="1:19">
      <c r="A117" s="26" t="s">
        <v>11</v>
      </c>
      <c r="B117" s="26" t="s">
        <v>82</v>
      </c>
      <c r="C117" s="26" t="s">
        <v>83</v>
      </c>
      <c r="D117" s="26" t="s">
        <v>194</v>
      </c>
      <c r="E117" s="26">
        <v>2</v>
      </c>
      <c r="F117" s="26">
        <v>110876</v>
      </c>
      <c r="G117" s="26">
        <f>Sales[[#This Row],[QUANTITY]]*Sales[[#This Row],[PRICE_PER_UNIT]]</f>
        <v>221752</v>
      </c>
      <c r="H117" s="26" t="s">
        <v>35</v>
      </c>
      <c r="I117" s="26" t="s">
        <v>4</v>
      </c>
      <c r="J117" s="26">
        <v>16</v>
      </c>
      <c r="K117" s="26">
        <v>5</v>
      </c>
      <c r="L117" s="26">
        <v>2023</v>
      </c>
      <c r="M117" s="95">
        <v>45062</v>
      </c>
      <c r="N117" s="27">
        <v>45063</v>
      </c>
      <c r="O117" s="27">
        <v>45066</v>
      </c>
      <c r="P117" s="28">
        <v>45069</v>
      </c>
      <c r="Q117" s="1">
        <v>23</v>
      </c>
      <c r="R117" s="65">
        <f t="shared" si="1"/>
        <v>7</v>
      </c>
      <c r="S117" s="63" t="str">
        <f>IF(Sales[[#This Row],[od_dd-d]]&gt;7,"Late_Delivery","In_Time")</f>
        <v>In_Time</v>
      </c>
    </row>
    <row r="118" spans="1:19">
      <c r="A118" s="29" t="s">
        <v>12</v>
      </c>
      <c r="B118" s="29" t="s">
        <v>195</v>
      </c>
      <c r="C118" s="29" t="s">
        <v>196</v>
      </c>
      <c r="D118" s="29" t="s">
        <v>197</v>
      </c>
      <c r="E118" s="29">
        <v>2</v>
      </c>
      <c r="F118" s="29">
        <v>89091</v>
      </c>
      <c r="G118" s="29">
        <f>Sales[[#This Row],[QUANTITY]]*Sales[[#This Row],[PRICE_PER_UNIT]]</f>
        <v>178182</v>
      </c>
      <c r="H118" s="29" t="s">
        <v>43</v>
      </c>
      <c r="I118" s="29" t="s">
        <v>3</v>
      </c>
      <c r="J118" s="29">
        <v>12</v>
      </c>
      <c r="K118" s="29">
        <v>5</v>
      </c>
      <c r="L118" s="29">
        <v>2023</v>
      </c>
      <c r="M118" s="96">
        <v>45058</v>
      </c>
      <c r="N118" s="30">
        <v>45060</v>
      </c>
      <c r="O118" s="30">
        <v>45064</v>
      </c>
      <c r="P118" s="31">
        <v>45065</v>
      </c>
      <c r="Q118" s="1">
        <v>22</v>
      </c>
      <c r="R118" s="65">
        <f t="shared" si="1"/>
        <v>7</v>
      </c>
      <c r="S118" s="63" t="str">
        <f>IF(Sales[[#This Row],[od_dd-d]]&gt;7,"Late_Delivery","In_Time")</f>
        <v>In_Time</v>
      </c>
    </row>
    <row r="119" spans="1:19">
      <c r="A119" s="26" t="s">
        <v>12</v>
      </c>
      <c r="B119" s="26" t="s">
        <v>195</v>
      </c>
      <c r="C119" s="26" t="s">
        <v>196</v>
      </c>
      <c r="D119" s="26" t="s">
        <v>198</v>
      </c>
      <c r="E119" s="26">
        <v>2</v>
      </c>
      <c r="F119" s="26">
        <v>43797</v>
      </c>
      <c r="G119" s="26">
        <f>Sales[[#This Row],[QUANTITY]]*Sales[[#This Row],[PRICE_PER_UNIT]]</f>
        <v>87594</v>
      </c>
      <c r="H119" s="26" t="s">
        <v>53</v>
      </c>
      <c r="I119" s="26" t="s">
        <v>3</v>
      </c>
      <c r="J119" s="26">
        <v>26</v>
      </c>
      <c r="K119" s="26">
        <v>11</v>
      </c>
      <c r="L119" s="26">
        <v>2023</v>
      </c>
      <c r="M119" s="95">
        <v>45256</v>
      </c>
      <c r="N119" s="27">
        <v>45260</v>
      </c>
      <c r="O119" s="27">
        <v>45264</v>
      </c>
      <c r="P119" s="28">
        <v>45266</v>
      </c>
      <c r="Q119" s="1">
        <v>22</v>
      </c>
      <c r="R119" s="65">
        <f t="shared" si="1"/>
        <v>10</v>
      </c>
      <c r="S119" s="63" t="str">
        <f>IF(Sales[[#This Row],[od_dd-d]]&gt;7,"Late_Delivery","In_Time")</f>
        <v>Late_Delivery</v>
      </c>
    </row>
    <row r="120" spans="1:19">
      <c r="A120" s="26" t="s">
        <v>12</v>
      </c>
      <c r="B120" s="26" t="s">
        <v>195</v>
      </c>
      <c r="C120" s="26" t="s">
        <v>196</v>
      </c>
      <c r="D120" s="26" t="s">
        <v>199</v>
      </c>
      <c r="E120" s="26">
        <v>2</v>
      </c>
      <c r="F120" s="26">
        <v>81376</v>
      </c>
      <c r="G120" s="26">
        <f>Sales[[#This Row],[QUANTITY]]*Sales[[#This Row],[PRICE_PER_UNIT]]</f>
        <v>162752</v>
      </c>
      <c r="H120" s="26" t="s">
        <v>39</v>
      </c>
      <c r="I120" s="26" t="s">
        <v>4</v>
      </c>
      <c r="J120" s="26">
        <v>20</v>
      </c>
      <c r="K120" s="26">
        <v>7</v>
      </c>
      <c r="L120" s="26">
        <v>2023</v>
      </c>
      <c r="M120" s="95">
        <v>45127</v>
      </c>
      <c r="N120" s="27">
        <v>45131</v>
      </c>
      <c r="O120" s="27">
        <v>45133</v>
      </c>
      <c r="P120" s="28">
        <v>45137</v>
      </c>
      <c r="Q120" s="1">
        <v>4</v>
      </c>
      <c r="R120" s="65">
        <f t="shared" si="1"/>
        <v>10</v>
      </c>
      <c r="S120" s="63" t="str">
        <f>IF(Sales[[#This Row],[od_dd-d]]&gt;7,"Late_Delivery","In_Time")</f>
        <v>Late_Delivery</v>
      </c>
    </row>
    <row r="121" spans="1:19">
      <c r="A121" s="26" t="s">
        <v>11</v>
      </c>
      <c r="B121" s="26" t="s">
        <v>32</v>
      </c>
      <c r="C121" s="26" t="s">
        <v>90</v>
      </c>
      <c r="D121" s="26" t="s">
        <v>200</v>
      </c>
      <c r="E121" s="26">
        <v>2</v>
      </c>
      <c r="F121" s="26">
        <v>56557</v>
      </c>
      <c r="G121" s="26">
        <f>Sales[[#This Row],[QUANTITY]]*Sales[[#This Row],[PRICE_PER_UNIT]]</f>
        <v>113114</v>
      </c>
      <c r="H121" s="26" t="s">
        <v>49</v>
      </c>
      <c r="I121" s="26" t="s">
        <v>2</v>
      </c>
      <c r="J121" s="26">
        <v>30</v>
      </c>
      <c r="K121" s="26">
        <v>5</v>
      </c>
      <c r="L121" s="26">
        <v>2022</v>
      </c>
      <c r="M121" s="95">
        <v>44711</v>
      </c>
      <c r="N121" s="27">
        <v>44712</v>
      </c>
      <c r="O121" s="27">
        <v>44714</v>
      </c>
      <c r="P121" s="28">
        <v>44718</v>
      </c>
      <c r="Q121" s="1">
        <v>18</v>
      </c>
      <c r="R121" s="65">
        <f t="shared" si="1"/>
        <v>7</v>
      </c>
      <c r="S121" s="63" t="str">
        <f>IF(Sales[[#This Row],[od_dd-d]]&gt;7,"Late_Delivery","In_Time")</f>
        <v>In_Time</v>
      </c>
    </row>
    <row r="122" spans="1:19">
      <c r="A122" s="29" t="s">
        <v>11</v>
      </c>
      <c r="B122" s="29" t="s">
        <v>32</v>
      </c>
      <c r="C122" s="29" t="s">
        <v>90</v>
      </c>
      <c r="D122" s="29" t="s">
        <v>201</v>
      </c>
      <c r="E122" s="29">
        <v>2</v>
      </c>
      <c r="F122" s="29">
        <v>79084</v>
      </c>
      <c r="G122" s="29">
        <f>Sales[[#This Row],[QUANTITY]]*Sales[[#This Row],[PRICE_PER_UNIT]]</f>
        <v>158168</v>
      </c>
      <c r="H122" s="29" t="s">
        <v>49</v>
      </c>
      <c r="I122" s="29" t="s">
        <v>2</v>
      </c>
      <c r="J122" s="29">
        <v>26</v>
      </c>
      <c r="K122" s="29">
        <v>10</v>
      </c>
      <c r="L122" s="29">
        <v>2017</v>
      </c>
      <c r="M122" s="96">
        <v>43034</v>
      </c>
      <c r="N122" s="30">
        <v>43036</v>
      </c>
      <c r="O122" s="30">
        <v>43040</v>
      </c>
      <c r="P122" s="31">
        <v>43043</v>
      </c>
      <c r="Q122" s="1">
        <v>11</v>
      </c>
      <c r="R122" s="65">
        <f t="shared" si="1"/>
        <v>9</v>
      </c>
      <c r="S122" s="63" t="str">
        <f>IF(Sales[[#This Row],[od_dd-d]]&gt;7,"Late_Delivery","In_Time")</f>
        <v>Late_Delivery</v>
      </c>
    </row>
    <row r="123" spans="1:19">
      <c r="A123" s="29" t="s">
        <v>11</v>
      </c>
      <c r="B123" s="29" t="s">
        <v>32</v>
      </c>
      <c r="C123" s="29" t="s">
        <v>90</v>
      </c>
      <c r="D123" s="29" t="s">
        <v>202</v>
      </c>
      <c r="E123" s="29">
        <v>2</v>
      </c>
      <c r="F123" s="29">
        <v>97934</v>
      </c>
      <c r="G123" s="29">
        <f>Sales[[#This Row],[QUANTITY]]*Sales[[#This Row],[PRICE_PER_UNIT]]</f>
        <v>195868</v>
      </c>
      <c r="H123" s="29" t="s">
        <v>55</v>
      </c>
      <c r="I123" s="29" t="s">
        <v>6</v>
      </c>
      <c r="J123" s="29">
        <v>7</v>
      </c>
      <c r="K123" s="29">
        <v>4</v>
      </c>
      <c r="L123" s="29">
        <v>2020</v>
      </c>
      <c r="M123" s="96">
        <v>43928</v>
      </c>
      <c r="N123" s="30">
        <v>43930</v>
      </c>
      <c r="O123" s="30">
        <v>43933</v>
      </c>
      <c r="P123" s="31">
        <v>43937</v>
      </c>
      <c r="Q123" s="1">
        <v>7</v>
      </c>
      <c r="R123" s="65">
        <f t="shared" si="1"/>
        <v>9</v>
      </c>
      <c r="S123" s="63" t="str">
        <f>IF(Sales[[#This Row],[od_dd-d]]&gt;7,"Late_Delivery","In_Time")</f>
        <v>Late_Delivery</v>
      </c>
    </row>
    <row r="124" spans="1:19">
      <c r="A124" s="29" t="s">
        <v>12</v>
      </c>
      <c r="B124" s="29" t="s">
        <v>133</v>
      </c>
      <c r="C124" s="29" t="s">
        <v>134</v>
      </c>
      <c r="D124" s="29" t="s">
        <v>203</v>
      </c>
      <c r="E124" s="29">
        <v>2</v>
      </c>
      <c r="F124" s="29">
        <v>66123</v>
      </c>
      <c r="G124" s="29">
        <f>Sales[[#This Row],[QUANTITY]]*Sales[[#This Row],[PRICE_PER_UNIT]]</f>
        <v>132246</v>
      </c>
      <c r="H124" s="29" t="s">
        <v>75</v>
      </c>
      <c r="I124" s="29" t="s">
        <v>5</v>
      </c>
      <c r="J124" s="29">
        <v>6</v>
      </c>
      <c r="K124" s="29">
        <v>4</v>
      </c>
      <c r="L124" s="29">
        <v>2018</v>
      </c>
      <c r="M124" s="96">
        <v>43196</v>
      </c>
      <c r="N124" s="30">
        <v>43198</v>
      </c>
      <c r="O124" s="30">
        <v>43201</v>
      </c>
      <c r="P124" s="31">
        <v>43202</v>
      </c>
      <c r="Q124" s="1">
        <v>18</v>
      </c>
      <c r="R124" s="65">
        <f t="shared" si="1"/>
        <v>6</v>
      </c>
      <c r="S124" s="63" t="str">
        <f>IF(Sales[[#This Row],[od_dd-d]]&gt;7,"Late_Delivery","In_Time")</f>
        <v>In_Time</v>
      </c>
    </row>
    <row r="125" spans="1:19">
      <c r="A125" s="26" t="s">
        <v>12</v>
      </c>
      <c r="B125" s="26" t="s">
        <v>133</v>
      </c>
      <c r="C125" s="26" t="s">
        <v>134</v>
      </c>
      <c r="D125" s="26" t="s">
        <v>204</v>
      </c>
      <c r="E125" s="26">
        <v>2</v>
      </c>
      <c r="F125" s="26">
        <v>39135</v>
      </c>
      <c r="G125" s="26">
        <f>Sales[[#This Row],[QUANTITY]]*Sales[[#This Row],[PRICE_PER_UNIT]]</f>
        <v>78270</v>
      </c>
      <c r="H125" s="26" t="s">
        <v>53</v>
      </c>
      <c r="I125" s="26" t="s">
        <v>3</v>
      </c>
      <c r="J125" s="26">
        <v>3</v>
      </c>
      <c r="K125" s="26">
        <v>12</v>
      </c>
      <c r="L125" s="26">
        <v>2025</v>
      </c>
      <c r="M125" s="95">
        <v>45994</v>
      </c>
      <c r="N125" s="27">
        <v>45996</v>
      </c>
      <c r="O125" s="27">
        <v>45999</v>
      </c>
      <c r="P125" s="28">
        <v>46000</v>
      </c>
      <c r="Q125" s="1">
        <v>13</v>
      </c>
      <c r="R125" s="65">
        <f t="shared" si="1"/>
        <v>6</v>
      </c>
      <c r="S125" s="63" t="str">
        <f>IF(Sales[[#This Row],[od_dd-d]]&gt;7,"Late_Delivery","In_Time")</f>
        <v>In_Time</v>
      </c>
    </row>
    <row r="126" spans="1:19">
      <c r="A126" s="26" t="s">
        <v>12</v>
      </c>
      <c r="B126" s="26" t="s">
        <v>133</v>
      </c>
      <c r="C126" s="26" t="s">
        <v>134</v>
      </c>
      <c r="D126" s="26" t="s">
        <v>205</v>
      </c>
      <c r="E126" s="26">
        <v>2</v>
      </c>
      <c r="F126" s="26">
        <v>62646</v>
      </c>
      <c r="G126" s="26">
        <f>Sales[[#This Row],[QUANTITY]]*Sales[[#This Row],[PRICE_PER_UNIT]]</f>
        <v>125292</v>
      </c>
      <c r="H126" s="26" t="s">
        <v>39</v>
      </c>
      <c r="I126" s="26" t="s">
        <v>3</v>
      </c>
      <c r="J126" s="26">
        <v>14</v>
      </c>
      <c r="K126" s="26">
        <v>9</v>
      </c>
      <c r="L126" s="26">
        <v>2019</v>
      </c>
      <c r="M126" s="95">
        <v>43722</v>
      </c>
      <c r="N126" s="27">
        <v>43726</v>
      </c>
      <c r="O126" s="27">
        <v>43727</v>
      </c>
      <c r="P126" s="28">
        <v>43731</v>
      </c>
      <c r="Q126" s="1">
        <v>18</v>
      </c>
      <c r="R126" s="65">
        <f t="shared" si="1"/>
        <v>9</v>
      </c>
      <c r="S126" s="63" t="str">
        <f>IF(Sales[[#This Row],[od_dd-d]]&gt;7,"Late_Delivery","In_Time")</f>
        <v>Late_Delivery</v>
      </c>
    </row>
    <row r="127" spans="1:19">
      <c r="A127" s="29" t="s">
        <v>11</v>
      </c>
      <c r="B127" s="29" t="s">
        <v>65</v>
      </c>
      <c r="C127" s="29" t="s">
        <v>94</v>
      </c>
      <c r="D127" s="29" t="s">
        <v>206</v>
      </c>
      <c r="E127" s="29">
        <v>2</v>
      </c>
      <c r="F127" s="29">
        <v>89014</v>
      </c>
      <c r="G127" s="29">
        <f>Sales[[#This Row],[QUANTITY]]*Sales[[#This Row],[PRICE_PER_UNIT]]</f>
        <v>178028</v>
      </c>
      <c r="H127" s="29" t="s">
        <v>55</v>
      </c>
      <c r="I127" s="29" t="s">
        <v>6</v>
      </c>
      <c r="J127" s="29">
        <v>12</v>
      </c>
      <c r="K127" s="29">
        <v>4</v>
      </c>
      <c r="L127" s="29">
        <v>2023</v>
      </c>
      <c r="M127" s="96">
        <v>45028</v>
      </c>
      <c r="N127" s="30">
        <v>45029</v>
      </c>
      <c r="O127" s="30">
        <v>45032</v>
      </c>
      <c r="P127" s="31">
        <v>45036</v>
      </c>
      <c r="Q127" s="1">
        <v>4</v>
      </c>
      <c r="R127" s="65">
        <f t="shared" si="1"/>
        <v>8</v>
      </c>
      <c r="S127" s="63" t="str">
        <f>IF(Sales[[#This Row],[od_dd-d]]&gt;7,"Late_Delivery","In_Time")</f>
        <v>Late_Delivery</v>
      </c>
    </row>
    <row r="128" spans="1:19">
      <c r="A128" s="29" t="s">
        <v>11</v>
      </c>
      <c r="B128" s="29" t="s">
        <v>32</v>
      </c>
      <c r="C128" s="29" t="s">
        <v>33</v>
      </c>
      <c r="D128" s="29" t="s">
        <v>207</v>
      </c>
      <c r="E128" s="29">
        <v>1</v>
      </c>
      <c r="F128" s="29">
        <v>67281</v>
      </c>
      <c r="G128" s="29">
        <f>Sales[[#This Row],[QUANTITY]]*Sales[[#This Row],[PRICE_PER_UNIT]]</f>
        <v>67281</v>
      </c>
      <c r="H128" s="29" t="s">
        <v>43</v>
      </c>
      <c r="I128" s="29" t="s">
        <v>4</v>
      </c>
      <c r="J128" s="29">
        <v>8</v>
      </c>
      <c r="K128" s="29">
        <v>7</v>
      </c>
      <c r="L128" s="29">
        <v>2020</v>
      </c>
      <c r="M128" s="96">
        <v>44020</v>
      </c>
      <c r="N128" s="30">
        <v>44023</v>
      </c>
      <c r="O128" s="30">
        <v>44024</v>
      </c>
      <c r="P128" s="31">
        <v>44027</v>
      </c>
      <c r="Q128" s="1">
        <v>22</v>
      </c>
      <c r="R128" s="65">
        <f t="shared" si="1"/>
        <v>7</v>
      </c>
      <c r="S128" s="63" t="str">
        <f>IF(Sales[[#This Row],[od_dd-d]]&gt;7,"Late_Delivery","In_Time")</f>
        <v>In_Time</v>
      </c>
    </row>
    <row r="129" spans="1:19">
      <c r="A129" s="26" t="s">
        <v>12</v>
      </c>
      <c r="B129" s="26" t="s">
        <v>36</v>
      </c>
      <c r="C129" s="26" t="s">
        <v>37</v>
      </c>
      <c r="D129" s="26" t="s">
        <v>208</v>
      </c>
      <c r="E129" s="26">
        <v>1</v>
      </c>
      <c r="F129" s="26">
        <v>15624</v>
      </c>
      <c r="G129" s="26">
        <f>Sales[[#This Row],[QUANTITY]]*Sales[[#This Row],[PRICE_PER_UNIT]]</f>
        <v>15624</v>
      </c>
      <c r="H129" s="26" t="s">
        <v>47</v>
      </c>
      <c r="I129" s="26" t="s">
        <v>6</v>
      </c>
      <c r="J129" s="26">
        <v>23</v>
      </c>
      <c r="K129" s="26">
        <v>5</v>
      </c>
      <c r="L129" s="26">
        <v>2015</v>
      </c>
      <c r="M129" s="95">
        <v>42147</v>
      </c>
      <c r="N129" s="27">
        <v>42150</v>
      </c>
      <c r="O129" s="27">
        <v>42151</v>
      </c>
      <c r="P129" s="28">
        <v>42152</v>
      </c>
      <c r="Q129" s="1">
        <v>20</v>
      </c>
      <c r="R129" s="65">
        <f t="shared" si="1"/>
        <v>5</v>
      </c>
      <c r="S129" s="63" t="str">
        <f>IF(Sales[[#This Row],[od_dd-d]]&gt;7,"Late_Delivery","In_Time")</f>
        <v>In_Time</v>
      </c>
    </row>
    <row r="130" spans="1:19">
      <c r="A130" s="26" t="s">
        <v>12</v>
      </c>
      <c r="B130" s="26" t="s">
        <v>105</v>
      </c>
      <c r="C130" s="26" t="s">
        <v>106</v>
      </c>
      <c r="D130" s="26" t="s">
        <v>209</v>
      </c>
      <c r="E130" s="26">
        <v>1</v>
      </c>
      <c r="F130" s="26">
        <v>78139</v>
      </c>
      <c r="G130" s="26">
        <f>Sales[[#This Row],[QUANTITY]]*Sales[[#This Row],[PRICE_PER_UNIT]]</f>
        <v>78139</v>
      </c>
      <c r="H130" s="26" t="s">
        <v>39</v>
      </c>
      <c r="I130" s="26" t="s">
        <v>4</v>
      </c>
      <c r="J130" s="26">
        <v>29</v>
      </c>
      <c r="K130" s="26">
        <v>8</v>
      </c>
      <c r="L130" s="26">
        <v>2019</v>
      </c>
      <c r="M130" s="95">
        <v>43706</v>
      </c>
      <c r="N130" s="27">
        <v>43707</v>
      </c>
      <c r="O130" s="27">
        <v>43711</v>
      </c>
      <c r="P130" s="28">
        <v>43713</v>
      </c>
      <c r="Q130" s="1">
        <v>10</v>
      </c>
      <c r="R130" s="65">
        <f t="shared" ref="R130:R161" si="2">P130-M130</f>
        <v>7</v>
      </c>
      <c r="S130" s="63" t="str">
        <f>IF(Sales[[#This Row],[od_dd-d]]&gt;7,"Late_Delivery","In_Time")</f>
        <v>In_Time</v>
      </c>
    </row>
    <row r="131" spans="1:19">
      <c r="A131" s="26" t="s">
        <v>12</v>
      </c>
      <c r="B131" s="26" t="s">
        <v>36</v>
      </c>
      <c r="C131" s="26" t="s">
        <v>37</v>
      </c>
      <c r="D131" s="26" t="s">
        <v>210</v>
      </c>
      <c r="E131" s="26">
        <v>1</v>
      </c>
      <c r="F131" s="26">
        <v>62355</v>
      </c>
      <c r="G131" s="26">
        <f>Sales[[#This Row],[QUANTITY]]*Sales[[#This Row],[PRICE_PER_UNIT]]</f>
        <v>62355</v>
      </c>
      <c r="H131" s="26" t="s">
        <v>43</v>
      </c>
      <c r="I131" s="26" t="s">
        <v>6</v>
      </c>
      <c r="J131" s="26">
        <v>9</v>
      </c>
      <c r="K131" s="26">
        <v>1</v>
      </c>
      <c r="L131" s="26">
        <v>2024</v>
      </c>
      <c r="M131" s="95">
        <v>45300</v>
      </c>
      <c r="N131" s="27">
        <v>45303</v>
      </c>
      <c r="O131" s="27">
        <v>45306</v>
      </c>
      <c r="P131" s="28">
        <v>45308</v>
      </c>
      <c r="Q131" s="1">
        <v>14</v>
      </c>
      <c r="R131" s="65">
        <f t="shared" si="2"/>
        <v>8</v>
      </c>
      <c r="S131" s="63" t="str">
        <f>IF(Sales[[#This Row],[od_dd-d]]&gt;7,"Late_Delivery","In_Time")</f>
        <v>Late_Delivery</v>
      </c>
    </row>
    <row r="132" spans="1:19">
      <c r="A132" s="29" t="s">
        <v>12</v>
      </c>
      <c r="B132" s="29" t="s">
        <v>36</v>
      </c>
      <c r="C132" s="29" t="s">
        <v>37</v>
      </c>
      <c r="D132" s="29" t="s">
        <v>211</v>
      </c>
      <c r="E132" s="29">
        <v>1</v>
      </c>
      <c r="F132" s="29">
        <v>67121</v>
      </c>
      <c r="G132" s="29">
        <f>Sales[[#This Row],[QUANTITY]]*Sales[[#This Row],[PRICE_PER_UNIT]]</f>
        <v>67121</v>
      </c>
      <c r="H132" s="29" t="s">
        <v>55</v>
      </c>
      <c r="I132" s="29" t="s">
        <v>5</v>
      </c>
      <c r="J132" s="29">
        <v>29</v>
      </c>
      <c r="K132" s="29">
        <v>11</v>
      </c>
      <c r="L132" s="29">
        <v>2016</v>
      </c>
      <c r="M132" s="96">
        <v>42703</v>
      </c>
      <c r="N132" s="30">
        <v>42706</v>
      </c>
      <c r="O132" s="30">
        <v>42708</v>
      </c>
      <c r="P132" s="31">
        <v>42709</v>
      </c>
      <c r="Q132" s="1">
        <v>21</v>
      </c>
      <c r="R132" s="65">
        <f t="shared" si="2"/>
        <v>6</v>
      </c>
      <c r="S132" s="63" t="str">
        <f>IF(Sales[[#This Row],[od_dd-d]]&gt;7,"Late_Delivery","In_Time")</f>
        <v>In_Time</v>
      </c>
    </row>
    <row r="133" spans="1:19">
      <c r="A133" s="29" t="s">
        <v>11</v>
      </c>
      <c r="B133" s="29" t="s">
        <v>50</v>
      </c>
      <c r="C133" s="29" t="s">
        <v>108</v>
      </c>
      <c r="D133" s="29" t="s">
        <v>212</v>
      </c>
      <c r="E133" s="29">
        <v>1</v>
      </c>
      <c r="F133" s="29">
        <v>56224</v>
      </c>
      <c r="G133" s="29">
        <f>Sales[[#This Row],[QUANTITY]]*Sales[[#This Row],[PRICE_PER_UNIT]]</f>
        <v>56224</v>
      </c>
      <c r="H133" s="29" t="s">
        <v>35</v>
      </c>
      <c r="I133" s="29" t="s">
        <v>4</v>
      </c>
      <c r="J133" s="29">
        <v>17</v>
      </c>
      <c r="K133" s="29">
        <v>5</v>
      </c>
      <c r="L133" s="29">
        <v>2019</v>
      </c>
      <c r="M133" s="96">
        <v>43602</v>
      </c>
      <c r="N133" s="30">
        <v>43606</v>
      </c>
      <c r="O133" s="30">
        <v>43609</v>
      </c>
      <c r="P133" s="31">
        <v>43612</v>
      </c>
      <c r="Q133" s="1">
        <v>17</v>
      </c>
      <c r="R133" s="65">
        <f t="shared" si="2"/>
        <v>10</v>
      </c>
      <c r="S133" s="63" t="str">
        <f>IF(Sales[[#This Row],[od_dd-d]]&gt;7,"Late_Delivery","In_Time")</f>
        <v>Late_Delivery</v>
      </c>
    </row>
    <row r="134" spans="1:19">
      <c r="A134" s="29" t="s">
        <v>12</v>
      </c>
      <c r="B134" s="29" t="s">
        <v>40</v>
      </c>
      <c r="C134" s="29" t="s">
        <v>41</v>
      </c>
      <c r="D134" s="29" t="s">
        <v>213</v>
      </c>
      <c r="E134" s="29">
        <v>1</v>
      </c>
      <c r="F134" s="29">
        <v>88989</v>
      </c>
      <c r="G134" s="29">
        <f>Sales[[#This Row],[QUANTITY]]*Sales[[#This Row],[PRICE_PER_UNIT]]</f>
        <v>88989</v>
      </c>
      <c r="H134" s="29" t="s">
        <v>47</v>
      </c>
      <c r="I134" s="29" t="s">
        <v>4</v>
      </c>
      <c r="J134" s="29">
        <v>25</v>
      </c>
      <c r="K134" s="29">
        <v>1</v>
      </c>
      <c r="L134" s="29">
        <v>2023</v>
      </c>
      <c r="M134" s="96">
        <v>44951</v>
      </c>
      <c r="N134" s="30">
        <v>44955</v>
      </c>
      <c r="O134" s="30">
        <v>44959</v>
      </c>
      <c r="P134" s="31">
        <v>44962</v>
      </c>
      <c r="Q134" s="1">
        <v>19</v>
      </c>
      <c r="R134" s="65">
        <f t="shared" si="2"/>
        <v>11</v>
      </c>
      <c r="S134" s="63" t="str">
        <f>IF(Sales[[#This Row],[od_dd-d]]&gt;7,"Late_Delivery","In_Time")</f>
        <v>Late_Delivery</v>
      </c>
    </row>
    <row r="135" spans="1:19">
      <c r="A135" s="26" t="s">
        <v>11</v>
      </c>
      <c r="B135" s="26" t="s">
        <v>44</v>
      </c>
      <c r="C135" s="26" t="s">
        <v>45</v>
      </c>
      <c r="D135" s="26" t="s">
        <v>214</v>
      </c>
      <c r="E135" s="26">
        <v>1</v>
      </c>
      <c r="F135" s="26">
        <v>114507</v>
      </c>
      <c r="G135" s="26">
        <f>Sales[[#This Row],[QUANTITY]]*Sales[[#This Row],[PRICE_PER_UNIT]]</f>
        <v>114507</v>
      </c>
      <c r="H135" s="26" t="s">
        <v>64</v>
      </c>
      <c r="I135" s="26" t="s">
        <v>2</v>
      </c>
      <c r="J135" s="26">
        <v>23</v>
      </c>
      <c r="K135" s="26">
        <v>12</v>
      </c>
      <c r="L135" s="26">
        <v>2017</v>
      </c>
      <c r="M135" s="95">
        <v>43092</v>
      </c>
      <c r="N135" s="27">
        <v>43096</v>
      </c>
      <c r="O135" s="27">
        <v>43097</v>
      </c>
      <c r="P135" s="28">
        <v>43098</v>
      </c>
      <c r="Q135" s="1">
        <v>17</v>
      </c>
      <c r="R135" s="65">
        <f t="shared" si="2"/>
        <v>6</v>
      </c>
      <c r="S135" s="63" t="str">
        <f>IF(Sales[[#This Row],[od_dd-d]]&gt;7,"Late_Delivery","In_Time")</f>
        <v>In_Time</v>
      </c>
    </row>
    <row r="136" spans="1:19">
      <c r="A136" s="29" t="s">
        <v>11</v>
      </c>
      <c r="B136" s="29" t="s">
        <v>50</v>
      </c>
      <c r="C136" s="29" t="s">
        <v>51</v>
      </c>
      <c r="D136" s="29" t="s">
        <v>215</v>
      </c>
      <c r="E136" s="29">
        <v>1</v>
      </c>
      <c r="F136" s="29">
        <v>105811</v>
      </c>
      <c r="G136" s="29">
        <f>Sales[[#This Row],[QUANTITY]]*Sales[[#This Row],[PRICE_PER_UNIT]]</f>
        <v>105811</v>
      </c>
      <c r="H136" s="29" t="s">
        <v>47</v>
      </c>
      <c r="I136" s="29" t="s">
        <v>5</v>
      </c>
      <c r="J136" s="29">
        <v>2</v>
      </c>
      <c r="K136" s="29">
        <v>5</v>
      </c>
      <c r="L136" s="29">
        <v>2021</v>
      </c>
      <c r="M136" s="96">
        <v>44318</v>
      </c>
      <c r="N136" s="30">
        <v>44321</v>
      </c>
      <c r="O136" s="30">
        <v>44325</v>
      </c>
      <c r="P136" s="31">
        <v>44327</v>
      </c>
      <c r="Q136" s="1">
        <v>3</v>
      </c>
      <c r="R136" s="65">
        <f t="shared" si="2"/>
        <v>9</v>
      </c>
      <c r="S136" s="63" t="str">
        <f>IF(Sales[[#This Row],[od_dd-d]]&gt;7,"Late_Delivery","In_Time")</f>
        <v>Late_Delivery</v>
      </c>
    </row>
    <row r="137" spans="1:19">
      <c r="A137" s="26" t="s">
        <v>12</v>
      </c>
      <c r="B137" s="26" t="s">
        <v>115</v>
      </c>
      <c r="C137" s="26" t="s">
        <v>116</v>
      </c>
      <c r="D137" s="26" t="s">
        <v>216</v>
      </c>
      <c r="E137" s="26">
        <v>1</v>
      </c>
      <c r="F137" s="26">
        <v>42564</v>
      </c>
      <c r="G137" s="26">
        <f>Sales[[#This Row],[QUANTITY]]*Sales[[#This Row],[PRICE_PER_UNIT]]</f>
        <v>42564</v>
      </c>
      <c r="H137" s="26" t="s">
        <v>75</v>
      </c>
      <c r="I137" s="26" t="s">
        <v>6</v>
      </c>
      <c r="J137" s="26">
        <v>1</v>
      </c>
      <c r="K137" s="26">
        <v>12</v>
      </c>
      <c r="L137" s="26">
        <v>2023</v>
      </c>
      <c r="M137" s="95">
        <v>45261</v>
      </c>
      <c r="N137" s="27">
        <v>45264</v>
      </c>
      <c r="O137" s="27">
        <v>45268</v>
      </c>
      <c r="P137" s="28">
        <v>45270</v>
      </c>
      <c r="Q137" s="1">
        <v>4</v>
      </c>
      <c r="R137" s="65">
        <f t="shared" si="2"/>
        <v>9</v>
      </c>
      <c r="S137" s="63" t="str">
        <f>IF(Sales[[#This Row],[od_dd-d]]&gt;7,"Late_Delivery","In_Time")</f>
        <v>Late_Delivery</v>
      </c>
    </row>
    <row r="138" spans="1:19">
      <c r="A138" s="29" t="s">
        <v>12</v>
      </c>
      <c r="B138" s="29" t="s">
        <v>56</v>
      </c>
      <c r="C138" s="29" t="s">
        <v>57</v>
      </c>
      <c r="D138" s="29" t="s">
        <v>217</v>
      </c>
      <c r="E138" s="29">
        <v>1</v>
      </c>
      <c r="F138" s="29">
        <v>17461</v>
      </c>
      <c r="G138" s="29">
        <f>Sales[[#This Row],[QUANTITY]]*Sales[[#This Row],[PRICE_PER_UNIT]]</f>
        <v>17461</v>
      </c>
      <c r="H138" s="29" t="s">
        <v>53</v>
      </c>
      <c r="I138" s="29" t="s">
        <v>6</v>
      </c>
      <c r="J138" s="29">
        <v>21</v>
      </c>
      <c r="K138" s="29">
        <v>11</v>
      </c>
      <c r="L138" s="29">
        <v>2019</v>
      </c>
      <c r="M138" s="96">
        <v>43790</v>
      </c>
      <c r="N138" s="30">
        <v>43793</v>
      </c>
      <c r="O138" s="30">
        <v>43794</v>
      </c>
      <c r="P138" s="31">
        <v>43798</v>
      </c>
      <c r="Q138" s="1">
        <v>3</v>
      </c>
      <c r="R138" s="65">
        <f t="shared" si="2"/>
        <v>8</v>
      </c>
      <c r="S138" s="63" t="str">
        <f>IF(Sales[[#This Row],[od_dd-d]]&gt;7,"Late_Delivery","In_Time")</f>
        <v>Late_Delivery</v>
      </c>
    </row>
    <row r="139" spans="1:19">
      <c r="A139" s="26" t="s">
        <v>12</v>
      </c>
      <c r="B139" s="26" t="s">
        <v>115</v>
      </c>
      <c r="C139" s="26" t="s">
        <v>116</v>
      </c>
      <c r="D139" s="26" t="s">
        <v>218</v>
      </c>
      <c r="E139" s="26">
        <v>1</v>
      </c>
      <c r="F139" s="26">
        <v>26059</v>
      </c>
      <c r="G139" s="26">
        <f>Sales[[#This Row],[QUANTITY]]*Sales[[#This Row],[PRICE_PER_UNIT]]</f>
        <v>26059</v>
      </c>
      <c r="H139" s="26" t="s">
        <v>53</v>
      </c>
      <c r="I139" s="26" t="s">
        <v>4</v>
      </c>
      <c r="J139" s="26">
        <v>23</v>
      </c>
      <c r="K139" s="26">
        <v>8</v>
      </c>
      <c r="L139" s="26">
        <v>2019</v>
      </c>
      <c r="M139" s="95">
        <v>43700</v>
      </c>
      <c r="N139" s="27">
        <v>43703</v>
      </c>
      <c r="O139" s="27">
        <v>43707</v>
      </c>
      <c r="P139" s="28">
        <v>43709</v>
      </c>
      <c r="Q139" s="1">
        <v>4</v>
      </c>
      <c r="R139" s="65">
        <f t="shared" si="2"/>
        <v>9</v>
      </c>
      <c r="S139" s="63" t="str">
        <f>IF(Sales[[#This Row],[od_dd-d]]&gt;7,"Late_Delivery","In_Time")</f>
        <v>Late_Delivery</v>
      </c>
    </row>
    <row r="140" spans="1:19">
      <c r="A140" s="29" t="s">
        <v>12</v>
      </c>
      <c r="B140" s="29" t="s">
        <v>115</v>
      </c>
      <c r="C140" s="29" t="s">
        <v>116</v>
      </c>
      <c r="D140" s="29" t="s">
        <v>219</v>
      </c>
      <c r="E140" s="29">
        <v>1</v>
      </c>
      <c r="F140" s="29">
        <v>27872</v>
      </c>
      <c r="G140" s="29">
        <f>Sales[[#This Row],[QUANTITY]]*Sales[[#This Row],[PRICE_PER_UNIT]]</f>
        <v>27872</v>
      </c>
      <c r="H140" s="29" t="s">
        <v>75</v>
      </c>
      <c r="I140" s="29" t="s">
        <v>6</v>
      </c>
      <c r="J140" s="29">
        <v>14</v>
      </c>
      <c r="K140" s="29">
        <v>5</v>
      </c>
      <c r="L140" s="29">
        <v>2020</v>
      </c>
      <c r="M140" s="96">
        <v>43965</v>
      </c>
      <c r="N140" s="30">
        <v>43968</v>
      </c>
      <c r="O140" s="30">
        <v>43970</v>
      </c>
      <c r="P140" s="31">
        <v>43973</v>
      </c>
      <c r="Q140" s="1">
        <v>21</v>
      </c>
      <c r="R140" s="65">
        <f t="shared" si="2"/>
        <v>8</v>
      </c>
      <c r="S140" s="63" t="str">
        <f>IF(Sales[[#This Row],[od_dd-d]]&gt;7,"Late_Delivery","In_Time")</f>
        <v>Late_Delivery</v>
      </c>
    </row>
    <row r="141" spans="1:19">
      <c r="A141" s="26" t="s">
        <v>11</v>
      </c>
      <c r="B141" s="26" t="s">
        <v>59</v>
      </c>
      <c r="C141" s="26" t="s">
        <v>60</v>
      </c>
      <c r="D141" s="26" t="s">
        <v>220</v>
      </c>
      <c r="E141" s="26">
        <v>1</v>
      </c>
      <c r="F141" s="26">
        <v>73160</v>
      </c>
      <c r="G141" s="26">
        <f>Sales[[#This Row],[QUANTITY]]*Sales[[#This Row],[PRICE_PER_UNIT]]</f>
        <v>73160</v>
      </c>
      <c r="H141" s="26" t="s">
        <v>35</v>
      </c>
      <c r="I141" s="26" t="s">
        <v>4</v>
      </c>
      <c r="J141" s="26">
        <v>7</v>
      </c>
      <c r="K141" s="26">
        <v>5</v>
      </c>
      <c r="L141" s="26">
        <v>2021</v>
      </c>
      <c r="M141" s="95">
        <v>44323</v>
      </c>
      <c r="N141" s="27">
        <v>44324</v>
      </c>
      <c r="O141" s="27">
        <v>44325</v>
      </c>
      <c r="P141" s="28">
        <v>44326</v>
      </c>
      <c r="Q141" s="1">
        <v>12</v>
      </c>
      <c r="R141" s="65">
        <f t="shared" si="2"/>
        <v>3</v>
      </c>
      <c r="S141" s="63" t="str">
        <f>IF(Sales[[#This Row],[od_dd-d]]&gt;7,"Late_Delivery","In_Time")</f>
        <v>In_Time</v>
      </c>
    </row>
    <row r="142" spans="1:19">
      <c r="A142" s="29" t="s">
        <v>11</v>
      </c>
      <c r="B142" s="29" t="s">
        <v>65</v>
      </c>
      <c r="C142" s="29" t="s">
        <v>66</v>
      </c>
      <c r="D142" s="29" t="s">
        <v>221</v>
      </c>
      <c r="E142" s="29">
        <v>1</v>
      </c>
      <c r="F142" s="29">
        <v>81879</v>
      </c>
      <c r="G142" s="29">
        <f>Sales[[#This Row],[QUANTITY]]*Sales[[#This Row],[PRICE_PER_UNIT]]</f>
        <v>81879</v>
      </c>
      <c r="H142" s="29" t="s">
        <v>49</v>
      </c>
      <c r="I142" s="29" t="s">
        <v>2</v>
      </c>
      <c r="J142" s="29">
        <v>10</v>
      </c>
      <c r="K142" s="29">
        <v>4</v>
      </c>
      <c r="L142" s="29">
        <v>2017</v>
      </c>
      <c r="M142" s="96">
        <v>42835</v>
      </c>
      <c r="N142" s="30">
        <v>42838</v>
      </c>
      <c r="O142" s="30">
        <v>42841</v>
      </c>
      <c r="P142" s="31">
        <v>42844</v>
      </c>
      <c r="Q142" s="1">
        <v>18</v>
      </c>
      <c r="R142" s="65">
        <f t="shared" si="2"/>
        <v>9</v>
      </c>
      <c r="S142" s="63" t="str">
        <f>IF(Sales[[#This Row],[od_dd-d]]&gt;7,"Late_Delivery","In_Time")</f>
        <v>Late_Delivery</v>
      </c>
    </row>
    <row r="143" spans="1:19">
      <c r="A143" s="26" t="s">
        <v>11</v>
      </c>
      <c r="B143" s="26" t="s">
        <v>65</v>
      </c>
      <c r="C143" s="26" t="s">
        <v>66</v>
      </c>
      <c r="D143" s="26" t="s">
        <v>222</v>
      </c>
      <c r="E143" s="26">
        <v>1</v>
      </c>
      <c r="F143" s="26">
        <v>77223</v>
      </c>
      <c r="G143" s="26">
        <f>Sales[[#This Row],[QUANTITY]]*Sales[[#This Row],[PRICE_PER_UNIT]]</f>
        <v>77223</v>
      </c>
      <c r="H143" s="26" t="s">
        <v>89</v>
      </c>
      <c r="I143" s="26" t="s">
        <v>3</v>
      </c>
      <c r="J143" s="26">
        <v>20</v>
      </c>
      <c r="K143" s="26">
        <v>2</v>
      </c>
      <c r="L143" s="26">
        <v>2017</v>
      </c>
      <c r="M143" s="95">
        <v>42786</v>
      </c>
      <c r="N143" s="27">
        <v>42787</v>
      </c>
      <c r="O143" s="27">
        <v>42790</v>
      </c>
      <c r="P143" s="28">
        <v>42793</v>
      </c>
      <c r="Q143" s="1">
        <v>1</v>
      </c>
      <c r="R143" s="65">
        <f t="shared" si="2"/>
        <v>7</v>
      </c>
      <c r="S143" s="63" t="str">
        <f>IF(Sales[[#This Row],[od_dd-d]]&gt;7,"Late_Delivery","In_Time")</f>
        <v>In_Time</v>
      </c>
    </row>
    <row r="144" spans="1:19">
      <c r="A144" s="29" t="s">
        <v>11</v>
      </c>
      <c r="B144" s="29" t="s">
        <v>44</v>
      </c>
      <c r="C144" s="29" t="s">
        <v>62</v>
      </c>
      <c r="D144" s="29" t="s">
        <v>223</v>
      </c>
      <c r="E144" s="29">
        <v>1</v>
      </c>
      <c r="F144" s="29">
        <v>52724</v>
      </c>
      <c r="G144" s="29">
        <f>Sales[[#This Row],[QUANTITY]]*Sales[[#This Row],[PRICE_PER_UNIT]]</f>
        <v>52724</v>
      </c>
      <c r="H144" s="29" t="s">
        <v>53</v>
      </c>
      <c r="I144" s="29" t="s">
        <v>5</v>
      </c>
      <c r="J144" s="29">
        <v>14</v>
      </c>
      <c r="K144" s="29">
        <v>5</v>
      </c>
      <c r="L144" s="29">
        <v>2020</v>
      </c>
      <c r="M144" s="96">
        <v>43965</v>
      </c>
      <c r="N144" s="30">
        <v>43968</v>
      </c>
      <c r="O144" s="30">
        <v>43972</v>
      </c>
      <c r="P144" s="31">
        <v>43973</v>
      </c>
      <c r="Q144" s="1">
        <v>9</v>
      </c>
      <c r="R144" s="65">
        <f t="shared" si="2"/>
        <v>8</v>
      </c>
      <c r="S144" s="63" t="str">
        <f>IF(Sales[[#This Row],[od_dd-d]]&gt;7,"Late_Delivery","In_Time")</f>
        <v>Late_Delivery</v>
      </c>
    </row>
    <row r="145" spans="1:26">
      <c r="A145" s="26" t="s">
        <v>12</v>
      </c>
      <c r="B145" s="26" t="s">
        <v>72</v>
      </c>
      <c r="C145" s="26" t="s">
        <v>73</v>
      </c>
      <c r="D145" s="26" t="s">
        <v>224</v>
      </c>
      <c r="E145" s="26">
        <v>1</v>
      </c>
      <c r="F145" s="26">
        <v>51361</v>
      </c>
      <c r="G145" s="26">
        <f>Sales[[#This Row],[QUANTITY]]*Sales[[#This Row],[PRICE_PER_UNIT]]</f>
        <v>51361</v>
      </c>
      <c r="H145" s="26" t="s">
        <v>39</v>
      </c>
      <c r="I145" s="26" t="s">
        <v>6</v>
      </c>
      <c r="J145" s="26">
        <v>2</v>
      </c>
      <c r="K145" s="26">
        <v>4</v>
      </c>
      <c r="L145" s="26">
        <v>2025</v>
      </c>
      <c r="M145" s="95">
        <v>45749</v>
      </c>
      <c r="N145" s="27">
        <v>45753</v>
      </c>
      <c r="O145" s="27">
        <v>45755</v>
      </c>
      <c r="P145" s="28">
        <v>45757</v>
      </c>
      <c r="Q145" s="1">
        <v>19</v>
      </c>
      <c r="R145" s="65">
        <f t="shared" si="2"/>
        <v>8</v>
      </c>
      <c r="S145" s="63" t="str">
        <f>IF(Sales[[#This Row],[od_dd-d]]&gt;7,"Late_Delivery","In_Time")</f>
        <v>Late_Delivery</v>
      </c>
    </row>
    <row r="146" spans="1:26">
      <c r="A146" s="29" t="s">
        <v>12</v>
      </c>
      <c r="B146" s="29" t="s">
        <v>72</v>
      </c>
      <c r="C146" s="29" t="s">
        <v>73</v>
      </c>
      <c r="D146" s="29" t="s">
        <v>225</v>
      </c>
      <c r="E146" s="29">
        <v>1</v>
      </c>
      <c r="F146" s="29">
        <v>68987</v>
      </c>
      <c r="G146" s="29">
        <f>Sales[[#This Row],[QUANTITY]]*Sales[[#This Row],[PRICE_PER_UNIT]]</f>
        <v>68987</v>
      </c>
      <c r="H146" s="29" t="s">
        <v>55</v>
      </c>
      <c r="I146" s="29" t="s">
        <v>4</v>
      </c>
      <c r="J146" s="29">
        <v>22</v>
      </c>
      <c r="K146" s="29">
        <v>1</v>
      </c>
      <c r="L146" s="29">
        <v>2023</v>
      </c>
      <c r="M146" s="96">
        <v>44948</v>
      </c>
      <c r="N146" s="30">
        <v>44952</v>
      </c>
      <c r="O146" s="30">
        <v>44956</v>
      </c>
      <c r="P146" s="31">
        <v>44959</v>
      </c>
      <c r="Q146" s="1">
        <v>10</v>
      </c>
      <c r="R146" s="65">
        <f t="shared" si="2"/>
        <v>11</v>
      </c>
      <c r="S146" s="63" t="str">
        <f>IF(Sales[[#This Row],[od_dd-d]]&gt;7,"Late_Delivery","In_Time")</f>
        <v>Late_Delivery</v>
      </c>
    </row>
    <row r="147" spans="1:26">
      <c r="A147" s="26" t="s">
        <v>11</v>
      </c>
      <c r="B147" s="26" t="s">
        <v>82</v>
      </c>
      <c r="C147" s="26" t="s">
        <v>85</v>
      </c>
      <c r="D147" s="26" t="s">
        <v>226</v>
      </c>
      <c r="E147" s="26">
        <v>1</v>
      </c>
      <c r="F147" s="26">
        <v>57087</v>
      </c>
      <c r="G147" s="26">
        <f>Sales[[#This Row],[QUANTITY]]*Sales[[#This Row],[PRICE_PER_UNIT]]</f>
        <v>57087</v>
      </c>
      <c r="H147" s="26" t="s">
        <v>49</v>
      </c>
      <c r="I147" s="26" t="s">
        <v>2</v>
      </c>
      <c r="J147" s="26">
        <v>22</v>
      </c>
      <c r="K147" s="26">
        <v>3</v>
      </c>
      <c r="L147" s="26">
        <v>2017</v>
      </c>
      <c r="M147" s="95">
        <v>42816</v>
      </c>
      <c r="N147" s="27">
        <v>42820</v>
      </c>
      <c r="O147" s="27">
        <v>42824</v>
      </c>
      <c r="P147" s="28">
        <v>42825</v>
      </c>
      <c r="Q147" s="1">
        <v>7</v>
      </c>
      <c r="R147" s="65">
        <f t="shared" si="2"/>
        <v>9</v>
      </c>
      <c r="S147" s="63" t="str">
        <f>IF(Sales[[#This Row],[od_dd-d]]&gt;7,"Late_Delivery","In_Time")</f>
        <v>Late_Delivery</v>
      </c>
    </row>
    <row r="148" spans="1:26">
      <c r="A148" s="29" t="s">
        <v>11</v>
      </c>
      <c r="B148" s="29" t="s">
        <v>82</v>
      </c>
      <c r="C148" s="29" t="s">
        <v>85</v>
      </c>
      <c r="D148" s="29" t="s">
        <v>227</v>
      </c>
      <c r="E148" s="29">
        <v>1</v>
      </c>
      <c r="F148" s="29">
        <v>94011</v>
      </c>
      <c r="G148" s="29">
        <f>Sales[[#This Row],[QUANTITY]]*Sales[[#This Row],[PRICE_PER_UNIT]]</f>
        <v>94011</v>
      </c>
      <c r="H148" s="29" t="s">
        <v>47</v>
      </c>
      <c r="I148" s="29" t="s">
        <v>5</v>
      </c>
      <c r="J148" s="29">
        <v>12</v>
      </c>
      <c r="K148" s="29">
        <v>9</v>
      </c>
      <c r="L148" s="29">
        <v>2019</v>
      </c>
      <c r="M148" s="96">
        <v>43720</v>
      </c>
      <c r="N148" s="30">
        <v>43722</v>
      </c>
      <c r="O148" s="30">
        <v>43726</v>
      </c>
      <c r="P148" s="31">
        <v>43729</v>
      </c>
      <c r="Q148" s="1">
        <v>5</v>
      </c>
      <c r="R148" s="65">
        <f t="shared" si="2"/>
        <v>9</v>
      </c>
      <c r="S148" s="63" t="str">
        <f>IF(Sales[[#This Row],[od_dd-d]]&gt;7,"Late_Delivery","In_Time")</f>
        <v>Late_Delivery</v>
      </c>
      <c r="Y148" s="49" t="s">
        <v>17</v>
      </c>
      <c r="Z148" s="49" t="s">
        <v>18</v>
      </c>
    </row>
    <row r="149" spans="1:26">
      <c r="A149" s="29" t="s">
        <v>11</v>
      </c>
      <c r="B149" s="29" t="s">
        <v>82</v>
      </c>
      <c r="C149" s="29" t="s">
        <v>83</v>
      </c>
      <c r="D149" s="29" t="s">
        <v>228</v>
      </c>
      <c r="E149" s="29">
        <v>1</v>
      </c>
      <c r="F149" s="29">
        <v>113879</v>
      </c>
      <c r="G149" s="29">
        <f>Sales[[#This Row],[QUANTITY]]*Sales[[#This Row],[PRICE_PER_UNIT]]</f>
        <v>113879</v>
      </c>
      <c r="H149" s="29" t="s">
        <v>47</v>
      </c>
      <c r="I149" s="29" t="s">
        <v>5</v>
      </c>
      <c r="J149" s="29">
        <v>24</v>
      </c>
      <c r="K149" s="29">
        <v>7</v>
      </c>
      <c r="L149" s="29">
        <v>2016</v>
      </c>
      <c r="M149" s="96">
        <v>42575</v>
      </c>
      <c r="N149" s="30">
        <v>42577</v>
      </c>
      <c r="O149" s="30">
        <v>42578</v>
      </c>
      <c r="P149" s="31">
        <v>42580</v>
      </c>
      <c r="Q149" s="1">
        <v>19</v>
      </c>
      <c r="R149" s="65">
        <f t="shared" si="2"/>
        <v>5</v>
      </c>
      <c r="S149" s="63" t="str">
        <f>IF(Sales[[#This Row],[od_dd-d]]&gt;7,"Late_Delivery","In_Time")</f>
        <v>In_Time</v>
      </c>
      <c r="Y149" s="46" t="s">
        <v>33</v>
      </c>
      <c r="Z149" s="46" t="s">
        <v>34</v>
      </c>
    </row>
    <row r="150" spans="1:26">
      <c r="A150" s="29" t="s">
        <v>11</v>
      </c>
      <c r="B150" s="29" t="s">
        <v>82</v>
      </c>
      <c r="C150" s="29" t="s">
        <v>85</v>
      </c>
      <c r="D150" s="29" t="s">
        <v>229</v>
      </c>
      <c r="E150" s="29">
        <v>1</v>
      </c>
      <c r="F150" s="29">
        <v>45868</v>
      </c>
      <c r="G150" s="29">
        <f>Sales[[#This Row],[QUANTITY]]*Sales[[#This Row],[PRICE_PER_UNIT]]</f>
        <v>45868</v>
      </c>
      <c r="H150" s="29" t="s">
        <v>47</v>
      </c>
      <c r="I150" s="29" t="s">
        <v>5</v>
      </c>
      <c r="J150" s="29">
        <v>29</v>
      </c>
      <c r="K150" s="29">
        <v>4</v>
      </c>
      <c r="L150" s="29">
        <v>2025</v>
      </c>
      <c r="M150" s="96">
        <v>45776</v>
      </c>
      <c r="N150" s="30">
        <v>45780</v>
      </c>
      <c r="O150" s="30">
        <v>45782</v>
      </c>
      <c r="P150" s="31">
        <v>45783</v>
      </c>
      <c r="Q150" s="1">
        <v>10</v>
      </c>
      <c r="R150" s="65">
        <f t="shared" si="2"/>
        <v>7</v>
      </c>
      <c r="S150" s="63" t="str">
        <f>IF(Sales[[#This Row],[od_dd-d]]&gt;7,"Late_Delivery","In_Time")</f>
        <v>In_Time</v>
      </c>
      <c r="Y150" s="47" t="s">
        <v>37</v>
      </c>
      <c r="Z150" s="47" t="s">
        <v>38</v>
      </c>
    </row>
    <row r="151" spans="1:26">
      <c r="A151" s="26" t="s">
        <v>11</v>
      </c>
      <c r="B151" s="26" t="s">
        <v>82</v>
      </c>
      <c r="C151" s="26" t="s">
        <v>85</v>
      </c>
      <c r="D151" s="26" t="s">
        <v>230</v>
      </c>
      <c r="E151" s="26">
        <v>1</v>
      </c>
      <c r="F151" s="26">
        <v>47082</v>
      </c>
      <c r="G151" s="26">
        <f>Sales[[#This Row],[QUANTITY]]*Sales[[#This Row],[PRICE_PER_UNIT]]</f>
        <v>47082</v>
      </c>
      <c r="H151" s="26" t="s">
        <v>75</v>
      </c>
      <c r="I151" s="26" t="s">
        <v>5</v>
      </c>
      <c r="J151" s="26">
        <v>14</v>
      </c>
      <c r="K151" s="26">
        <v>11</v>
      </c>
      <c r="L151" s="26">
        <v>2024</v>
      </c>
      <c r="M151" s="95">
        <v>45610</v>
      </c>
      <c r="N151" s="27">
        <v>45613</v>
      </c>
      <c r="O151" s="27">
        <v>45616</v>
      </c>
      <c r="P151" s="28">
        <v>45618</v>
      </c>
      <c r="Q151" s="1">
        <v>7</v>
      </c>
      <c r="R151" s="65">
        <f t="shared" si="2"/>
        <v>8</v>
      </c>
      <c r="S151" s="63" t="str">
        <f>IF(Sales[[#This Row],[od_dd-d]]&gt;7,"Late_Delivery","In_Time")</f>
        <v>Late_Delivery</v>
      </c>
      <c r="Y151" s="48" t="s">
        <v>41</v>
      </c>
      <c r="Z151" s="48" t="s">
        <v>42</v>
      </c>
    </row>
    <row r="152" spans="1:26">
      <c r="A152" s="29" t="s">
        <v>12</v>
      </c>
      <c r="B152" s="29" t="s">
        <v>195</v>
      </c>
      <c r="C152" s="29" t="s">
        <v>196</v>
      </c>
      <c r="D152" s="29" t="s">
        <v>231</v>
      </c>
      <c r="E152" s="29">
        <v>1</v>
      </c>
      <c r="F152" s="29">
        <v>32893</v>
      </c>
      <c r="G152" s="29">
        <f>Sales[[#This Row],[QUANTITY]]*Sales[[#This Row],[PRICE_PER_UNIT]]</f>
        <v>32893</v>
      </c>
      <c r="H152" s="29" t="s">
        <v>39</v>
      </c>
      <c r="I152" s="29" t="s">
        <v>5</v>
      </c>
      <c r="J152" s="29">
        <v>12</v>
      </c>
      <c r="K152" s="29">
        <v>7</v>
      </c>
      <c r="L152" s="29">
        <v>2025</v>
      </c>
      <c r="M152" s="96">
        <v>45850</v>
      </c>
      <c r="N152" s="30">
        <v>45852</v>
      </c>
      <c r="O152" s="30">
        <v>45855</v>
      </c>
      <c r="P152" s="31">
        <v>45859</v>
      </c>
      <c r="Q152" s="1">
        <v>2</v>
      </c>
      <c r="R152" s="65">
        <f t="shared" si="2"/>
        <v>9</v>
      </c>
      <c r="S152" s="63" t="str">
        <f>IF(Sales[[#This Row],[od_dd-d]]&gt;7,"Late_Delivery","In_Time")</f>
        <v>Late_Delivery</v>
      </c>
      <c r="Y152" s="46" t="s">
        <v>45</v>
      </c>
      <c r="Z152" s="46" t="s">
        <v>46</v>
      </c>
    </row>
    <row r="153" spans="1:26">
      <c r="A153" s="29" t="s">
        <v>12</v>
      </c>
      <c r="B153" s="29" t="s">
        <v>133</v>
      </c>
      <c r="C153" s="29" t="s">
        <v>134</v>
      </c>
      <c r="D153" s="29" t="s">
        <v>232</v>
      </c>
      <c r="E153" s="29">
        <v>1</v>
      </c>
      <c r="F153" s="29">
        <v>31273</v>
      </c>
      <c r="G153" s="29">
        <f>Sales[[#This Row],[QUANTITY]]*Sales[[#This Row],[PRICE_PER_UNIT]]</f>
        <v>31273</v>
      </c>
      <c r="H153" s="29" t="s">
        <v>43</v>
      </c>
      <c r="I153" s="29" t="s">
        <v>5</v>
      </c>
      <c r="J153" s="29">
        <v>26</v>
      </c>
      <c r="K153" s="29">
        <v>5</v>
      </c>
      <c r="L153" s="29">
        <v>2023</v>
      </c>
      <c r="M153" s="96">
        <v>45072</v>
      </c>
      <c r="N153" s="30">
        <v>45074</v>
      </c>
      <c r="O153" s="30">
        <v>45076</v>
      </c>
      <c r="P153" s="31">
        <v>45078</v>
      </c>
      <c r="Q153" s="1">
        <v>23</v>
      </c>
      <c r="R153" s="65">
        <f t="shared" si="2"/>
        <v>6</v>
      </c>
      <c r="S153" s="63" t="str">
        <f>IF(Sales[[#This Row],[od_dd-d]]&gt;7,"Late_Delivery","In_Time")</f>
        <v>In_Time</v>
      </c>
      <c r="Y153" s="46" t="s">
        <v>45</v>
      </c>
      <c r="Z153" s="46" t="s">
        <v>48</v>
      </c>
    </row>
    <row r="154" spans="1:26">
      <c r="A154" s="26" t="s">
        <v>12</v>
      </c>
      <c r="B154" s="26" t="s">
        <v>133</v>
      </c>
      <c r="C154" s="26" t="s">
        <v>134</v>
      </c>
      <c r="D154" s="26" t="s">
        <v>233</v>
      </c>
      <c r="E154" s="26">
        <v>1</v>
      </c>
      <c r="F154" s="26">
        <v>69307</v>
      </c>
      <c r="G154" s="26">
        <f>Sales[[#This Row],[QUANTITY]]*Sales[[#This Row],[PRICE_PER_UNIT]]</f>
        <v>69307</v>
      </c>
      <c r="H154" s="26" t="s">
        <v>53</v>
      </c>
      <c r="I154" s="26" t="s">
        <v>5</v>
      </c>
      <c r="J154" s="26">
        <v>13</v>
      </c>
      <c r="K154" s="26">
        <v>12</v>
      </c>
      <c r="L154" s="26">
        <v>2022</v>
      </c>
      <c r="M154" s="95">
        <v>44908</v>
      </c>
      <c r="N154" s="27">
        <v>44909</v>
      </c>
      <c r="O154" s="27">
        <v>44913</v>
      </c>
      <c r="P154" s="28">
        <v>44914</v>
      </c>
      <c r="Q154" s="1">
        <v>16</v>
      </c>
      <c r="R154" s="65">
        <f t="shared" si="2"/>
        <v>6</v>
      </c>
      <c r="S154" s="63" t="str">
        <f>IF(Sales[[#This Row],[od_dd-d]]&gt;7,"Late_Delivery","In_Time")</f>
        <v>In_Time</v>
      </c>
      <c r="Y154" s="46" t="s">
        <v>51</v>
      </c>
      <c r="Z154" s="46" t="s">
        <v>52</v>
      </c>
    </row>
    <row r="155" spans="1:26">
      <c r="A155" s="26" t="s">
        <v>11</v>
      </c>
      <c r="B155" s="26" t="s">
        <v>65</v>
      </c>
      <c r="C155" s="26" t="s">
        <v>94</v>
      </c>
      <c r="D155" s="26" t="s">
        <v>234</v>
      </c>
      <c r="E155" s="26">
        <v>1</v>
      </c>
      <c r="F155" s="26">
        <v>88403</v>
      </c>
      <c r="G155" s="26">
        <f>Sales[[#This Row],[QUANTITY]]*Sales[[#This Row],[PRICE_PER_UNIT]]</f>
        <v>88403</v>
      </c>
      <c r="H155" s="26" t="s">
        <v>53</v>
      </c>
      <c r="I155" s="26" t="s">
        <v>5</v>
      </c>
      <c r="J155" s="26">
        <v>12</v>
      </c>
      <c r="K155" s="26">
        <v>2</v>
      </c>
      <c r="L155" s="26">
        <v>2020</v>
      </c>
      <c r="M155" s="95">
        <v>43873</v>
      </c>
      <c r="N155" s="27">
        <v>43874</v>
      </c>
      <c r="O155" s="27">
        <v>43876</v>
      </c>
      <c r="P155" s="28">
        <v>43880</v>
      </c>
      <c r="Q155" s="1">
        <v>22</v>
      </c>
      <c r="R155" s="65">
        <f t="shared" si="2"/>
        <v>7</v>
      </c>
      <c r="S155" s="63" t="str">
        <f>IF(Sales[[#This Row],[od_dd-d]]&gt;7,"Late_Delivery","In_Time")</f>
        <v>In_Time</v>
      </c>
      <c r="Y155" s="48" t="s">
        <v>45</v>
      </c>
      <c r="Z155" s="48" t="s">
        <v>54</v>
      </c>
    </row>
    <row r="156" spans="1:26">
      <c r="A156" s="29" t="s">
        <v>11</v>
      </c>
      <c r="B156" s="29" t="s">
        <v>65</v>
      </c>
      <c r="C156" s="29" t="s">
        <v>94</v>
      </c>
      <c r="D156" s="29" t="s">
        <v>235</v>
      </c>
      <c r="E156" s="29">
        <v>1</v>
      </c>
      <c r="F156" s="29">
        <v>72235</v>
      </c>
      <c r="G156" s="29">
        <f>Sales[[#This Row],[QUANTITY]]*Sales[[#This Row],[PRICE_PER_UNIT]]</f>
        <v>72235</v>
      </c>
      <c r="H156" s="29" t="s">
        <v>89</v>
      </c>
      <c r="I156" s="29" t="s">
        <v>3</v>
      </c>
      <c r="J156" s="29">
        <v>27</v>
      </c>
      <c r="K156" s="29">
        <v>3</v>
      </c>
      <c r="L156" s="29">
        <v>2024</v>
      </c>
      <c r="M156" s="96">
        <v>45378</v>
      </c>
      <c r="N156" s="30">
        <v>45382</v>
      </c>
      <c r="O156" s="30">
        <v>45383</v>
      </c>
      <c r="P156" s="31">
        <v>45387</v>
      </c>
      <c r="Q156" s="1">
        <v>23</v>
      </c>
      <c r="R156" s="65">
        <f t="shared" si="2"/>
        <v>9</v>
      </c>
      <c r="S156" s="63" t="str">
        <f>IF(Sales[[#This Row],[od_dd-d]]&gt;7,"Late_Delivery","In_Time")</f>
        <v>Late_Delivery</v>
      </c>
      <c r="Y156" s="47" t="s">
        <v>57</v>
      </c>
      <c r="Z156" s="47" t="s">
        <v>58</v>
      </c>
    </row>
    <row r="157" spans="1:26">
      <c r="A157" s="29" t="s">
        <v>11</v>
      </c>
      <c r="B157" s="29" t="s">
        <v>65</v>
      </c>
      <c r="C157" s="29" t="s">
        <v>94</v>
      </c>
      <c r="D157" s="29" t="s">
        <v>236</v>
      </c>
      <c r="E157" s="29">
        <v>1</v>
      </c>
      <c r="F157" s="29">
        <v>61574</v>
      </c>
      <c r="G157" s="29">
        <f>Sales[[#This Row],[QUANTITY]]*Sales[[#This Row],[PRICE_PER_UNIT]]</f>
        <v>61574</v>
      </c>
      <c r="H157" s="29" t="s">
        <v>53</v>
      </c>
      <c r="I157" s="29" t="s">
        <v>5</v>
      </c>
      <c r="J157" s="29">
        <v>2</v>
      </c>
      <c r="K157" s="29">
        <v>6</v>
      </c>
      <c r="L157" s="29">
        <v>2024</v>
      </c>
      <c r="M157" s="96">
        <v>45445</v>
      </c>
      <c r="N157" s="30">
        <v>45449</v>
      </c>
      <c r="O157" s="30">
        <v>45452</v>
      </c>
      <c r="P157" s="31">
        <v>45455</v>
      </c>
      <c r="Q157" s="1">
        <v>17</v>
      </c>
      <c r="R157" s="65">
        <f t="shared" si="2"/>
        <v>10</v>
      </c>
      <c r="S157" s="63" t="str">
        <f>IF(Sales[[#This Row],[od_dd-d]]&gt;7,"Late_Delivery","In_Time")</f>
        <v>Late_Delivery</v>
      </c>
      <c r="Y157" s="46" t="s">
        <v>60</v>
      </c>
      <c r="Z157" s="46" t="s">
        <v>61</v>
      </c>
    </row>
    <row r="158" spans="1:26">
      <c r="A158" s="26" t="s">
        <v>12</v>
      </c>
      <c r="B158" s="26" t="s">
        <v>97</v>
      </c>
      <c r="C158" s="26" t="s">
        <v>98</v>
      </c>
      <c r="D158" s="26" t="s">
        <v>237</v>
      </c>
      <c r="E158" s="26">
        <v>1</v>
      </c>
      <c r="F158" s="26">
        <v>57884</v>
      </c>
      <c r="G158" s="26">
        <f>Sales[[#This Row],[QUANTITY]]*Sales[[#This Row],[PRICE_PER_UNIT]]</f>
        <v>57884</v>
      </c>
      <c r="H158" s="26" t="s">
        <v>53</v>
      </c>
      <c r="I158" s="26" t="s">
        <v>3</v>
      </c>
      <c r="J158" s="26">
        <v>16</v>
      </c>
      <c r="K158" s="26">
        <v>7</v>
      </c>
      <c r="L158" s="26">
        <v>2025</v>
      </c>
      <c r="M158" s="95">
        <v>45854</v>
      </c>
      <c r="N158" s="27">
        <v>45856</v>
      </c>
      <c r="O158" s="27">
        <v>45858</v>
      </c>
      <c r="P158" s="28">
        <v>45861</v>
      </c>
      <c r="Q158" s="1">
        <v>9</v>
      </c>
      <c r="R158" s="65">
        <f t="shared" si="2"/>
        <v>7</v>
      </c>
      <c r="S158" s="63" t="str">
        <f>IF(Sales[[#This Row],[od_dd-d]]&gt;7,"Late_Delivery","In_Time")</f>
        <v>In_Time</v>
      </c>
      <c r="Y158" s="46" t="s">
        <v>62</v>
      </c>
      <c r="Z158" s="46" t="s">
        <v>63</v>
      </c>
    </row>
    <row r="159" spans="1:26">
      <c r="A159" s="26" t="s">
        <v>11</v>
      </c>
      <c r="B159" s="26" t="s">
        <v>59</v>
      </c>
      <c r="C159" s="26" t="s">
        <v>100</v>
      </c>
      <c r="D159" s="26" t="s">
        <v>238</v>
      </c>
      <c r="E159" s="26">
        <v>1</v>
      </c>
      <c r="F159" s="26">
        <v>119905</v>
      </c>
      <c r="G159" s="26">
        <f>Sales[[#This Row],[QUANTITY]]*Sales[[#This Row],[PRICE_PER_UNIT]]</f>
        <v>119905</v>
      </c>
      <c r="H159" s="26" t="s">
        <v>55</v>
      </c>
      <c r="I159" s="26" t="s">
        <v>6</v>
      </c>
      <c r="J159" s="26">
        <v>21</v>
      </c>
      <c r="K159" s="26">
        <v>1</v>
      </c>
      <c r="L159" s="26">
        <v>2017</v>
      </c>
      <c r="M159" s="95">
        <v>42756</v>
      </c>
      <c r="N159" s="27">
        <v>42760</v>
      </c>
      <c r="O159" s="27">
        <v>42763</v>
      </c>
      <c r="P159" s="28">
        <v>42764</v>
      </c>
      <c r="Q159" s="1">
        <v>2</v>
      </c>
      <c r="R159" s="65">
        <f t="shared" si="2"/>
        <v>8</v>
      </c>
      <c r="S159" s="63" t="str">
        <f>IF(Sales[[#This Row],[od_dd-d]]&gt;7,"Late_Delivery","In_Time")</f>
        <v>Late_Delivery</v>
      </c>
      <c r="Y159" s="48" t="s">
        <v>66</v>
      </c>
      <c r="Z159" s="48" t="s">
        <v>67</v>
      </c>
    </row>
    <row r="160" spans="1:26">
      <c r="A160" s="26" t="s">
        <v>11</v>
      </c>
      <c r="B160" s="26" t="s">
        <v>59</v>
      </c>
      <c r="C160" s="26" t="s">
        <v>100</v>
      </c>
      <c r="D160" s="26" t="s">
        <v>239</v>
      </c>
      <c r="E160" s="26">
        <v>1</v>
      </c>
      <c r="F160" s="26">
        <v>100493</v>
      </c>
      <c r="G160" s="26">
        <f>Sales[[#This Row],[QUANTITY]]*Sales[[#This Row],[PRICE_PER_UNIT]]</f>
        <v>100493</v>
      </c>
      <c r="H160" s="26" t="s">
        <v>49</v>
      </c>
      <c r="I160" s="26" t="s">
        <v>2</v>
      </c>
      <c r="J160" s="26">
        <v>6</v>
      </c>
      <c r="K160" s="26">
        <v>2</v>
      </c>
      <c r="L160" s="26">
        <v>2019</v>
      </c>
      <c r="M160" s="95">
        <v>43502</v>
      </c>
      <c r="N160" s="27">
        <v>43504</v>
      </c>
      <c r="O160" s="27">
        <v>43507</v>
      </c>
      <c r="P160" s="28">
        <v>43509</v>
      </c>
      <c r="Q160" s="1">
        <v>11</v>
      </c>
      <c r="R160" s="65">
        <f t="shared" si="2"/>
        <v>7</v>
      </c>
      <c r="S160" s="63" t="str">
        <f>IF(Sales[[#This Row],[od_dd-d]]&gt;7,"Late_Delivery","In_Time")</f>
        <v>In_Time</v>
      </c>
      <c r="Y160" s="46" t="s">
        <v>62</v>
      </c>
      <c r="Z160" s="46" t="s">
        <v>68</v>
      </c>
    </row>
    <row r="161" spans="1:26">
      <c r="A161" s="32" t="s">
        <v>11</v>
      </c>
      <c r="B161" s="32" t="s">
        <v>59</v>
      </c>
      <c r="C161" s="32" t="s">
        <v>100</v>
      </c>
      <c r="D161" s="32" t="s">
        <v>240</v>
      </c>
      <c r="E161" s="32">
        <v>1</v>
      </c>
      <c r="F161" s="32">
        <v>84305</v>
      </c>
      <c r="G161" s="32">
        <f>Sales[[#This Row],[QUANTITY]]*Sales[[#This Row],[PRICE_PER_UNIT]]</f>
        <v>84305</v>
      </c>
      <c r="H161" s="32" t="s">
        <v>49</v>
      </c>
      <c r="I161" s="32" t="s">
        <v>2</v>
      </c>
      <c r="J161" s="32">
        <v>12</v>
      </c>
      <c r="K161" s="32">
        <v>7</v>
      </c>
      <c r="L161" s="32">
        <v>2024</v>
      </c>
      <c r="M161" s="97">
        <v>45485</v>
      </c>
      <c r="N161" s="33">
        <v>45487</v>
      </c>
      <c r="O161" s="33">
        <v>45491</v>
      </c>
      <c r="P161" s="34">
        <v>45495</v>
      </c>
      <c r="Q161" s="1">
        <v>10</v>
      </c>
      <c r="R161" s="65">
        <f t="shared" si="2"/>
        <v>10</v>
      </c>
      <c r="S161" s="63" t="str">
        <f>IF(Sales[[#This Row],[od_dd-d]]&gt;7,"Late_Delivery","In_Time")</f>
        <v>Late_Delivery</v>
      </c>
      <c r="Y161" s="46" t="s">
        <v>66</v>
      </c>
      <c r="Z161" s="46" t="s">
        <v>69</v>
      </c>
    </row>
    <row r="162" spans="1:26" ht="15" customHeight="1">
      <c r="Y162" s="46" t="s">
        <v>62</v>
      </c>
      <c r="Z162" s="46" t="s">
        <v>70</v>
      </c>
    </row>
    <row r="163" spans="1:26" ht="15" customHeight="1">
      <c r="Y163" s="48" t="s">
        <v>60</v>
      </c>
      <c r="Z163" s="48">
        <v>7676</v>
      </c>
    </row>
    <row r="164" spans="1:26" ht="15" customHeight="1">
      <c r="Y164" s="47" t="s">
        <v>73</v>
      </c>
      <c r="Z164" s="47" t="s">
        <v>74</v>
      </c>
    </row>
    <row r="165" spans="1:26" ht="15" customHeight="1">
      <c r="Y165" s="46" t="s">
        <v>73</v>
      </c>
      <c r="Z165" s="46" t="s">
        <v>76</v>
      </c>
    </row>
    <row r="166" spans="1:26" ht="15" customHeight="1">
      <c r="Y166" s="46" t="s">
        <v>78</v>
      </c>
      <c r="Z166" s="47" t="s">
        <v>79</v>
      </c>
    </row>
    <row r="167" spans="1:26" ht="15" customHeight="1">
      <c r="Y167" s="46" t="s">
        <v>80</v>
      </c>
      <c r="Z167" s="46" t="s">
        <v>81</v>
      </c>
    </row>
    <row r="168" spans="1:26" ht="15" customHeight="1">
      <c r="Y168" s="46" t="s">
        <v>83</v>
      </c>
      <c r="Z168" s="46" t="s">
        <v>84</v>
      </c>
    </row>
    <row r="169" spans="1:26" ht="15" customHeight="1">
      <c r="Y169" s="48" t="s">
        <v>85</v>
      </c>
      <c r="Z169" s="48" t="s">
        <v>86</v>
      </c>
    </row>
    <row r="170" spans="1:26" ht="15" customHeight="1">
      <c r="Y170" s="46" t="s">
        <v>85</v>
      </c>
      <c r="Z170" s="46" t="s">
        <v>87</v>
      </c>
    </row>
    <row r="171" spans="1:26" ht="15" customHeight="1">
      <c r="Y171" s="48" t="s">
        <v>83</v>
      </c>
      <c r="Z171" s="48" t="s">
        <v>88</v>
      </c>
    </row>
    <row r="172" spans="1:26" ht="15" customHeight="1">
      <c r="Y172" s="46" t="s">
        <v>90</v>
      </c>
      <c r="Z172" s="46" t="s">
        <v>91</v>
      </c>
    </row>
    <row r="173" spans="1:26" ht="15" customHeight="1">
      <c r="Y173" s="46" t="s">
        <v>90</v>
      </c>
      <c r="Z173" s="46" t="s">
        <v>92</v>
      </c>
    </row>
    <row r="174" spans="1:26" ht="15" customHeight="1">
      <c r="Y174" s="46" t="s">
        <v>90</v>
      </c>
      <c r="Z174" s="46" t="s">
        <v>93</v>
      </c>
    </row>
    <row r="175" spans="1:26" ht="15" customHeight="1">
      <c r="Y175" s="48" t="s">
        <v>94</v>
      </c>
      <c r="Z175" s="48">
        <v>7676</v>
      </c>
    </row>
    <row r="176" spans="1:26" ht="15" customHeight="1">
      <c r="Y176" s="46" t="s">
        <v>94</v>
      </c>
      <c r="Z176" s="46" t="s">
        <v>96</v>
      </c>
    </row>
    <row r="177" spans="25:26" ht="15" customHeight="1">
      <c r="Y177" s="48" t="s">
        <v>98</v>
      </c>
      <c r="Z177" s="48" t="s">
        <v>99</v>
      </c>
    </row>
    <row r="178" spans="25:26" ht="15" customHeight="1">
      <c r="Y178" s="47" t="s">
        <v>100</v>
      </c>
      <c r="Z178" s="47" t="s">
        <v>101</v>
      </c>
    </row>
    <row r="179" spans="25:26" ht="15" customHeight="1">
      <c r="Y179" s="46" t="s">
        <v>100</v>
      </c>
      <c r="Z179" s="46" t="s">
        <v>102</v>
      </c>
    </row>
    <row r="180" spans="25:26" ht="15" customHeight="1">
      <c r="Y180" s="46" t="s">
        <v>33</v>
      </c>
      <c r="Z180" s="46" t="s">
        <v>103</v>
      </c>
    </row>
    <row r="181" spans="25:26" ht="15" customHeight="1">
      <c r="Y181" s="48" t="s">
        <v>37</v>
      </c>
      <c r="Z181" s="48" t="s">
        <v>104</v>
      </c>
    </row>
    <row r="182" spans="25:26" ht="15" customHeight="1">
      <c r="Y182" s="47" t="s">
        <v>241</v>
      </c>
      <c r="Z182" s="47" t="s">
        <v>107</v>
      </c>
    </row>
    <row r="183" spans="25:26" ht="15" customHeight="1">
      <c r="Y183" s="46" t="s">
        <v>108</v>
      </c>
      <c r="Z183" s="46" t="s">
        <v>109</v>
      </c>
    </row>
    <row r="184" spans="25:26" ht="15" customHeight="1">
      <c r="Y184" s="47" t="s">
        <v>108</v>
      </c>
      <c r="Z184" s="47" t="s">
        <v>110</v>
      </c>
    </row>
    <row r="185" spans="25:26" ht="15" customHeight="1">
      <c r="Y185" s="46" t="s">
        <v>41</v>
      </c>
      <c r="Z185" s="46" t="s">
        <v>111</v>
      </c>
    </row>
    <row r="186" spans="25:26" ht="15" customHeight="1">
      <c r="Y186" s="46" t="s">
        <v>51</v>
      </c>
      <c r="Z186" s="46" t="s">
        <v>112</v>
      </c>
    </row>
    <row r="187" spans="25:26" ht="15" customHeight="1">
      <c r="Y187" s="48" t="s">
        <v>45</v>
      </c>
      <c r="Z187" s="48" t="s">
        <v>113</v>
      </c>
    </row>
    <row r="188" spans="25:26" ht="15" customHeight="1">
      <c r="Y188" s="47" t="s">
        <v>51</v>
      </c>
      <c r="Z188" s="47" t="s">
        <v>114</v>
      </c>
    </row>
    <row r="189" spans="25:26" ht="15" customHeight="1">
      <c r="Y189" s="46" t="s">
        <v>116</v>
      </c>
      <c r="Z189" s="46">
        <v>7676</v>
      </c>
    </row>
    <row r="190" spans="25:26" ht="15" customHeight="1">
      <c r="Y190" s="47" t="s">
        <v>57</v>
      </c>
      <c r="Z190" s="47" t="s">
        <v>118</v>
      </c>
    </row>
    <row r="191" spans="25:26" ht="15" customHeight="1">
      <c r="Y191" s="46" t="s">
        <v>116</v>
      </c>
      <c r="Z191" s="46" t="s">
        <v>119</v>
      </c>
    </row>
    <row r="192" spans="25:26" ht="15" customHeight="1">
      <c r="Y192" s="46" t="s">
        <v>116</v>
      </c>
      <c r="Z192" s="46" t="s">
        <v>120</v>
      </c>
    </row>
    <row r="193" spans="25:26" ht="15" customHeight="1">
      <c r="Y193" s="48" t="s">
        <v>62</v>
      </c>
      <c r="Z193" s="48" t="s">
        <v>121</v>
      </c>
    </row>
    <row r="194" spans="25:26" ht="15" customHeight="1">
      <c r="Y194" s="46" t="s">
        <v>66</v>
      </c>
      <c r="Z194" s="46" t="s">
        <v>122</v>
      </c>
    </row>
    <row r="195" spans="25:26" ht="15" customHeight="1">
      <c r="Y195" s="48" t="s">
        <v>66</v>
      </c>
      <c r="Z195" s="48" t="s">
        <v>123</v>
      </c>
    </row>
    <row r="196" spans="25:26" ht="15" customHeight="1">
      <c r="Y196" s="47" t="s">
        <v>62</v>
      </c>
      <c r="Z196" s="47" t="s">
        <v>124</v>
      </c>
    </row>
    <row r="197" spans="25:26" ht="15" customHeight="1">
      <c r="Y197" s="46" t="s">
        <v>66</v>
      </c>
      <c r="Z197" s="46" t="s">
        <v>125</v>
      </c>
    </row>
    <row r="198" spans="25:26" ht="15" customHeight="1">
      <c r="Y198" s="46" t="s">
        <v>66</v>
      </c>
      <c r="Z198" s="46" t="s">
        <v>126</v>
      </c>
    </row>
    <row r="199" spans="25:26" ht="15" customHeight="1">
      <c r="Y199" s="46" t="s">
        <v>62</v>
      </c>
      <c r="Z199" s="46" t="s">
        <v>127</v>
      </c>
    </row>
    <row r="200" spans="25:26" ht="15" customHeight="1">
      <c r="Y200" s="46" t="s">
        <v>73</v>
      </c>
      <c r="Z200" s="46" t="s">
        <v>128</v>
      </c>
    </row>
    <row r="201" spans="25:26" ht="15" customHeight="1">
      <c r="Y201" s="48" t="s">
        <v>73</v>
      </c>
      <c r="Z201" s="48" t="s">
        <v>129</v>
      </c>
    </row>
    <row r="202" spans="25:26" ht="15" customHeight="1">
      <c r="Y202" s="46" t="s">
        <v>83</v>
      </c>
      <c r="Z202" s="46" t="s">
        <v>130</v>
      </c>
    </row>
    <row r="203" spans="25:26" ht="15" customHeight="1">
      <c r="Y203" s="46" t="s">
        <v>85</v>
      </c>
      <c r="Z203" s="46" t="s">
        <v>131</v>
      </c>
    </row>
    <row r="204" spans="25:26" ht="15" customHeight="1">
      <c r="Y204" s="46" t="s">
        <v>85</v>
      </c>
      <c r="Z204" s="46" t="s">
        <v>132</v>
      </c>
    </row>
    <row r="205" spans="25:26" ht="15" customHeight="1">
      <c r="Y205" s="48" t="s">
        <v>134</v>
      </c>
      <c r="Z205" s="48" t="s">
        <v>135</v>
      </c>
    </row>
    <row r="206" spans="25:26" ht="15" customHeight="1">
      <c r="Y206" s="47" t="s">
        <v>134</v>
      </c>
      <c r="Z206" s="47" t="s">
        <v>136</v>
      </c>
    </row>
    <row r="207" spans="25:26" ht="15" customHeight="1">
      <c r="Y207" s="46" t="s">
        <v>94</v>
      </c>
      <c r="Z207" s="46" t="s">
        <v>137</v>
      </c>
    </row>
    <row r="208" spans="25:26" ht="15" customHeight="1">
      <c r="Y208" s="46" t="s">
        <v>94</v>
      </c>
      <c r="Z208" s="46" t="s">
        <v>138</v>
      </c>
    </row>
    <row r="209" spans="25:26" ht="15" customHeight="1">
      <c r="Y209" s="48" t="s">
        <v>98</v>
      </c>
      <c r="Z209" s="48" t="s">
        <v>139</v>
      </c>
    </row>
    <row r="210" spans="25:26" ht="15" customHeight="1">
      <c r="Y210" s="47" t="s">
        <v>100</v>
      </c>
      <c r="Z210" s="47" t="s">
        <v>140</v>
      </c>
    </row>
    <row r="211" spans="25:26" ht="15" customHeight="1">
      <c r="Y211" s="46" t="s">
        <v>100</v>
      </c>
      <c r="Z211" s="46" t="s">
        <v>141</v>
      </c>
    </row>
    <row r="212" spans="25:26" ht="15" customHeight="1">
      <c r="Y212" s="47" t="s">
        <v>100</v>
      </c>
      <c r="Z212" s="47" t="s">
        <v>142</v>
      </c>
    </row>
    <row r="213" spans="25:26" ht="15" customHeight="1">
      <c r="Y213" s="48" t="s">
        <v>33</v>
      </c>
      <c r="Z213" s="48" t="s">
        <v>143</v>
      </c>
    </row>
    <row r="214" spans="25:26" ht="15" customHeight="1">
      <c r="Y214" s="46" t="s">
        <v>33</v>
      </c>
      <c r="Z214" s="46" t="s">
        <v>144</v>
      </c>
    </row>
    <row r="215" spans="25:26" ht="15" customHeight="1">
      <c r="Y215" s="48" t="s">
        <v>33</v>
      </c>
      <c r="Z215" s="48" t="s">
        <v>145</v>
      </c>
    </row>
    <row r="216" spans="25:26" ht="15" customHeight="1">
      <c r="Y216" s="47" t="s">
        <v>241</v>
      </c>
      <c r="Z216" s="47" t="s">
        <v>146</v>
      </c>
    </row>
    <row r="217" spans="25:26" ht="15" customHeight="1">
      <c r="Y217" s="46" t="s">
        <v>37</v>
      </c>
      <c r="Z217" s="46">
        <v>7676</v>
      </c>
    </row>
    <row r="218" spans="25:26" ht="15" customHeight="1">
      <c r="Y218" s="47" t="s">
        <v>37</v>
      </c>
      <c r="Z218" s="47" t="s">
        <v>148</v>
      </c>
    </row>
    <row r="219" spans="25:26" ht="15" customHeight="1">
      <c r="Y219" s="46" t="s">
        <v>241</v>
      </c>
      <c r="Z219" s="46" t="s">
        <v>149</v>
      </c>
    </row>
    <row r="220" spans="25:26" ht="15" customHeight="1">
      <c r="Y220" s="47" t="s">
        <v>108</v>
      </c>
      <c r="Z220" s="47" t="s">
        <v>150</v>
      </c>
    </row>
    <row r="221" spans="25:26" ht="15" customHeight="1">
      <c r="Y221" s="46" t="s">
        <v>108</v>
      </c>
      <c r="Z221" s="46" t="s">
        <v>151</v>
      </c>
    </row>
    <row r="222" spans="25:26" ht="15" customHeight="1">
      <c r="Y222" s="47" t="s">
        <v>45</v>
      </c>
      <c r="Z222" s="47" t="s">
        <v>152</v>
      </c>
    </row>
    <row r="223" spans="25:26" ht="15" customHeight="1">
      <c r="Y223" s="46" t="s">
        <v>51</v>
      </c>
      <c r="Z223" s="46" t="s">
        <v>153</v>
      </c>
    </row>
    <row r="224" spans="25:26" ht="15" customHeight="1">
      <c r="Y224" s="46" t="s">
        <v>45</v>
      </c>
      <c r="Z224" s="46" t="s">
        <v>154</v>
      </c>
    </row>
    <row r="225" spans="25:26" ht="15" customHeight="1">
      <c r="Y225" s="48" t="s">
        <v>116</v>
      </c>
      <c r="Z225" s="48" t="s">
        <v>155</v>
      </c>
    </row>
    <row r="226" spans="25:26" ht="15" customHeight="1">
      <c r="Y226" s="47" t="s">
        <v>116</v>
      </c>
      <c r="Z226" s="47" t="s">
        <v>156</v>
      </c>
    </row>
    <row r="227" spans="25:26" ht="15" customHeight="1">
      <c r="Y227" s="46" t="s">
        <v>57</v>
      </c>
      <c r="Z227" s="46" t="s">
        <v>157</v>
      </c>
    </row>
    <row r="228" spans="25:26" ht="15" customHeight="1">
      <c r="Y228" s="47" t="s">
        <v>60</v>
      </c>
      <c r="Z228" s="47" t="s">
        <v>158</v>
      </c>
    </row>
    <row r="229" spans="25:26" ht="15" customHeight="1">
      <c r="Y229" s="48" t="s">
        <v>60</v>
      </c>
      <c r="Z229" s="48" t="s">
        <v>159</v>
      </c>
    </row>
    <row r="230" spans="25:26" ht="15" customHeight="1">
      <c r="Y230" s="47" t="s">
        <v>62</v>
      </c>
      <c r="Z230" s="47" t="s">
        <v>160</v>
      </c>
    </row>
    <row r="231" spans="25:26" ht="15" customHeight="1">
      <c r="Y231" s="48" t="s">
        <v>66</v>
      </c>
      <c r="Z231" s="48" t="s">
        <v>161</v>
      </c>
    </row>
    <row r="232" spans="25:26" ht="15" customHeight="1">
      <c r="Y232" s="47" t="s">
        <v>62</v>
      </c>
      <c r="Z232" s="47" t="s">
        <v>162</v>
      </c>
    </row>
    <row r="233" spans="25:26" ht="15" customHeight="1">
      <c r="Y233" s="46" t="s">
        <v>80</v>
      </c>
      <c r="Z233" s="46" t="s">
        <v>163</v>
      </c>
    </row>
    <row r="234" spans="25:26" ht="15" customHeight="1">
      <c r="Y234" s="46" t="s">
        <v>85</v>
      </c>
      <c r="Z234" s="46" t="s">
        <v>164</v>
      </c>
    </row>
    <row r="235" spans="25:26" ht="15" customHeight="1">
      <c r="Y235" s="48" t="s">
        <v>85</v>
      </c>
      <c r="Z235" s="48" t="s">
        <v>165</v>
      </c>
    </row>
    <row r="236" spans="25:26" ht="15" customHeight="1">
      <c r="Y236" s="47" t="s">
        <v>90</v>
      </c>
      <c r="Z236" s="47" t="s">
        <v>166</v>
      </c>
    </row>
    <row r="237" spans="25:26" ht="15" customHeight="1">
      <c r="Y237" s="48" t="s">
        <v>90</v>
      </c>
      <c r="Z237" s="48" t="s">
        <v>167</v>
      </c>
    </row>
    <row r="238" spans="25:26" ht="15" customHeight="1">
      <c r="Y238" s="46" t="s">
        <v>94</v>
      </c>
      <c r="Z238" s="46" t="s">
        <v>168</v>
      </c>
    </row>
    <row r="239" spans="25:26" ht="15" customHeight="1">
      <c r="Y239" s="46" t="s">
        <v>98</v>
      </c>
      <c r="Z239" s="46" t="s">
        <v>169</v>
      </c>
    </row>
    <row r="240" spans="25:26" ht="15" customHeight="1">
      <c r="Y240" s="47" t="s">
        <v>98</v>
      </c>
      <c r="Z240" s="47" t="s">
        <v>170</v>
      </c>
    </row>
    <row r="241" spans="25:26" ht="15" customHeight="1">
      <c r="Y241" s="48" t="s">
        <v>33</v>
      </c>
      <c r="Z241" s="48" t="s">
        <v>171</v>
      </c>
    </row>
    <row r="242" spans="25:26" ht="15" customHeight="1">
      <c r="Y242" s="46" t="s">
        <v>33</v>
      </c>
      <c r="Z242" s="46" t="s">
        <v>172</v>
      </c>
    </row>
    <row r="243" spans="25:26" ht="15" customHeight="1">
      <c r="Y243" s="48" t="s">
        <v>241</v>
      </c>
      <c r="Z243" s="48" t="s">
        <v>173</v>
      </c>
    </row>
    <row r="244" spans="25:26" ht="15" customHeight="1">
      <c r="Y244" s="46" t="s">
        <v>241</v>
      </c>
      <c r="Z244" s="46" t="s">
        <v>174</v>
      </c>
    </row>
    <row r="245" spans="25:26" ht="15" customHeight="1">
      <c r="Y245" s="46" t="s">
        <v>37</v>
      </c>
      <c r="Z245" s="46" t="s">
        <v>175</v>
      </c>
    </row>
    <row r="246" spans="25:26" ht="15" customHeight="1">
      <c r="Y246" s="46" t="s">
        <v>108</v>
      </c>
      <c r="Z246" s="46" t="s">
        <v>176</v>
      </c>
    </row>
    <row r="247" spans="25:26" ht="15" customHeight="1">
      <c r="Y247" s="46" t="s">
        <v>41</v>
      </c>
      <c r="Z247" s="46" t="s">
        <v>177</v>
      </c>
    </row>
    <row r="248" spans="25:26" ht="15" customHeight="1">
      <c r="Y248" s="47" t="s">
        <v>41</v>
      </c>
      <c r="Z248" s="47" t="s">
        <v>178</v>
      </c>
    </row>
    <row r="249" spans="25:26" ht="15" customHeight="1">
      <c r="Y249" s="46" t="s">
        <v>41</v>
      </c>
      <c r="Z249" s="46" t="s">
        <v>179</v>
      </c>
    </row>
    <row r="250" spans="25:26" ht="15" customHeight="1">
      <c r="Y250" s="46" t="s">
        <v>45</v>
      </c>
      <c r="Z250" s="46" t="s">
        <v>180</v>
      </c>
    </row>
    <row r="251" spans="25:26" ht="15" customHeight="1">
      <c r="Y251" s="48" t="s">
        <v>51</v>
      </c>
      <c r="Z251" s="48" t="s">
        <v>181</v>
      </c>
    </row>
    <row r="252" spans="25:26" ht="15" customHeight="1">
      <c r="Y252" s="47" t="s">
        <v>51</v>
      </c>
      <c r="Z252" s="47" t="s">
        <v>182</v>
      </c>
    </row>
    <row r="253" spans="25:26" ht="15" customHeight="1">
      <c r="Y253" s="48" t="s">
        <v>45</v>
      </c>
      <c r="Z253" s="48" t="s">
        <v>183</v>
      </c>
    </row>
    <row r="254" spans="25:26" ht="15" customHeight="1">
      <c r="Y254" s="46" t="s">
        <v>57</v>
      </c>
      <c r="Z254" s="46" t="s">
        <v>184</v>
      </c>
    </row>
    <row r="255" spans="25:26" ht="15" customHeight="1">
      <c r="Y255" s="46" t="s">
        <v>66</v>
      </c>
      <c r="Z255" s="46" t="s">
        <v>185</v>
      </c>
    </row>
    <row r="256" spans="25:26" ht="15" customHeight="1">
      <c r="Y256" s="47" t="s">
        <v>62</v>
      </c>
      <c r="Z256" s="47" t="s">
        <v>186</v>
      </c>
    </row>
    <row r="257" spans="25:26" ht="15" customHeight="1">
      <c r="Y257" s="46" t="s">
        <v>62</v>
      </c>
      <c r="Z257" s="46" t="s">
        <v>187</v>
      </c>
    </row>
    <row r="258" spans="25:26" ht="15" customHeight="1">
      <c r="Y258" s="46" t="s">
        <v>66</v>
      </c>
      <c r="Z258" s="46" t="s">
        <v>188</v>
      </c>
    </row>
    <row r="259" spans="25:26" ht="15" customHeight="1">
      <c r="Y259" s="48" t="s">
        <v>62</v>
      </c>
      <c r="Z259" s="48" t="s">
        <v>189</v>
      </c>
    </row>
    <row r="260" spans="25:26" ht="15" customHeight="1">
      <c r="Y260" s="47" t="s">
        <v>80</v>
      </c>
      <c r="Z260" s="47" t="s">
        <v>190</v>
      </c>
    </row>
    <row r="261" spans="25:26" ht="15" customHeight="1">
      <c r="Y261" s="48" t="s">
        <v>80</v>
      </c>
      <c r="Z261" s="48" t="s">
        <v>191</v>
      </c>
    </row>
    <row r="262" spans="25:26" ht="15" customHeight="1">
      <c r="Y262" s="47" t="s">
        <v>85</v>
      </c>
      <c r="Z262" s="47" t="s">
        <v>192</v>
      </c>
    </row>
    <row r="263" spans="25:26" ht="15" customHeight="1">
      <c r="Y263" s="48" t="s">
        <v>85</v>
      </c>
      <c r="Z263" s="48" t="s">
        <v>193</v>
      </c>
    </row>
    <row r="264" spans="25:26" ht="15" customHeight="1">
      <c r="Y264" s="46" t="s">
        <v>83</v>
      </c>
      <c r="Z264" s="46" t="s">
        <v>194</v>
      </c>
    </row>
    <row r="265" spans="25:26" ht="15" customHeight="1">
      <c r="Y265" s="48" t="s">
        <v>196</v>
      </c>
      <c r="Z265" s="48" t="s">
        <v>197</v>
      </c>
    </row>
    <row r="266" spans="25:26" ht="15" customHeight="1">
      <c r="Y266" s="46" t="s">
        <v>196</v>
      </c>
      <c r="Z266" s="46" t="s">
        <v>198</v>
      </c>
    </row>
    <row r="267" spans="25:26" ht="15" customHeight="1">
      <c r="Y267" s="46" t="s">
        <v>196</v>
      </c>
      <c r="Z267" s="46" t="s">
        <v>199</v>
      </c>
    </row>
    <row r="268" spans="25:26" ht="15" customHeight="1">
      <c r="Y268" s="46" t="s">
        <v>90</v>
      </c>
      <c r="Z268" s="46" t="s">
        <v>200</v>
      </c>
    </row>
    <row r="269" spans="25:26" ht="15" customHeight="1">
      <c r="Y269" s="48" t="s">
        <v>90</v>
      </c>
      <c r="Z269" s="48" t="s">
        <v>201</v>
      </c>
    </row>
    <row r="270" spans="25:26" ht="15" customHeight="1">
      <c r="Y270" s="47" t="s">
        <v>90</v>
      </c>
      <c r="Z270" s="47" t="s">
        <v>202</v>
      </c>
    </row>
    <row r="271" spans="25:26" ht="15" customHeight="1">
      <c r="Y271" s="48" t="s">
        <v>134</v>
      </c>
      <c r="Z271" s="48" t="s">
        <v>203</v>
      </c>
    </row>
    <row r="272" spans="25:26" ht="15" customHeight="1">
      <c r="Y272" s="46" t="s">
        <v>134</v>
      </c>
      <c r="Z272" s="46" t="s">
        <v>204</v>
      </c>
    </row>
    <row r="273" spans="25:26" ht="15" customHeight="1">
      <c r="Y273" s="46" t="s">
        <v>134</v>
      </c>
      <c r="Z273" s="46" t="s">
        <v>205</v>
      </c>
    </row>
    <row r="274" spans="25:26" ht="15" customHeight="1">
      <c r="Y274" s="47" t="s">
        <v>94</v>
      </c>
      <c r="Z274" s="47" t="s">
        <v>206</v>
      </c>
    </row>
    <row r="275" spans="25:26" ht="15" customHeight="1">
      <c r="Y275" s="48" t="s">
        <v>33</v>
      </c>
      <c r="Z275" s="48" t="s">
        <v>207</v>
      </c>
    </row>
    <row r="276" spans="25:26" ht="15" customHeight="1">
      <c r="Y276" s="46" t="s">
        <v>37</v>
      </c>
      <c r="Z276" s="46" t="s">
        <v>208</v>
      </c>
    </row>
    <row r="277" spans="25:26" ht="15" customHeight="1">
      <c r="Y277" s="46" t="s">
        <v>241</v>
      </c>
      <c r="Z277" s="46" t="s">
        <v>209</v>
      </c>
    </row>
    <row r="278" spans="25:26" ht="15" customHeight="1">
      <c r="Y278" s="46" t="s">
        <v>37</v>
      </c>
      <c r="Z278" s="46" t="s">
        <v>210</v>
      </c>
    </row>
    <row r="279" spans="25:26" ht="15" customHeight="1">
      <c r="Y279" s="48" t="s">
        <v>37</v>
      </c>
      <c r="Z279" s="48" t="s">
        <v>211</v>
      </c>
    </row>
    <row r="280" spans="25:26" ht="15" customHeight="1">
      <c r="Y280" s="47" t="s">
        <v>108</v>
      </c>
      <c r="Z280" s="47" t="s">
        <v>212</v>
      </c>
    </row>
    <row r="281" spans="25:26" ht="15" customHeight="1">
      <c r="Y281" s="48" t="s">
        <v>41</v>
      </c>
      <c r="Z281" s="48" t="s">
        <v>213</v>
      </c>
    </row>
    <row r="282" spans="25:26" ht="15" customHeight="1">
      <c r="Y282" s="46" t="s">
        <v>45</v>
      </c>
      <c r="Z282" s="46" t="s">
        <v>214</v>
      </c>
    </row>
    <row r="283" spans="25:26" ht="15" customHeight="1">
      <c r="Y283" s="48" t="s">
        <v>51</v>
      </c>
      <c r="Z283" s="48" t="s">
        <v>215</v>
      </c>
    </row>
    <row r="284" spans="25:26" ht="15" customHeight="1">
      <c r="Y284" s="46" t="s">
        <v>116</v>
      </c>
      <c r="Z284" s="46" t="s">
        <v>216</v>
      </c>
    </row>
    <row r="285" spans="25:26" ht="15" customHeight="1">
      <c r="Y285" s="48" t="s">
        <v>57</v>
      </c>
      <c r="Z285" s="48" t="s">
        <v>217</v>
      </c>
    </row>
    <row r="286" spans="25:26" ht="15" customHeight="1">
      <c r="Y286" s="46" t="s">
        <v>116</v>
      </c>
      <c r="Z286" s="46" t="s">
        <v>218</v>
      </c>
    </row>
    <row r="287" spans="25:26" ht="15" customHeight="1">
      <c r="Y287" s="48" t="s">
        <v>116</v>
      </c>
      <c r="Z287" s="48" t="s">
        <v>219</v>
      </c>
    </row>
    <row r="288" spans="25:26" ht="15" customHeight="1">
      <c r="Y288" s="46" t="s">
        <v>60</v>
      </c>
      <c r="Z288" s="46" t="s">
        <v>220</v>
      </c>
    </row>
    <row r="289" spans="25:26" ht="15" customHeight="1">
      <c r="Y289" s="48" t="s">
        <v>66</v>
      </c>
      <c r="Z289" s="48" t="s">
        <v>221</v>
      </c>
    </row>
    <row r="290" spans="25:26" ht="15" customHeight="1">
      <c r="Y290" s="46" t="s">
        <v>66</v>
      </c>
      <c r="Z290" s="46" t="s">
        <v>222</v>
      </c>
    </row>
    <row r="291" spans="25:26" ht="15" customHeight="1">
      <c r="Y291" s="48" t="s">
        <v>62</v>
      </c>
      <c r="Z291" s="48" t="s">
        <v>223</v>
      </c>
    </row>
    <row r="292" spans="25:26" ht="15" customHeight="1">
      <c r="Y292" s="46" t="s">
        <v>73</v>
      </c>
      <c r="Z292" s="46" t="s">
        <v>224</v>
      </c>
    </row>
    <row r="293" spans="25:26" ht="15" customHeight="1">
      <c r="Y293" s="48" t="s">
        <v>73</v>
      </c>
      <c r="Z293" s="48" t="s">
        <v>225</v>
      </c>
    </row>
    <row r="294" spans="25:26" ht="15" customHeight="1">
      <c r="Y294" s="46" t="s">
        <v>85</v>
      </c>
      <c r="Z294" s="46" t="s">
        <v>226</v>
      </c>
    </row>
    <row r="295" spans="25:26" ht="15" customHeight="1">
      <c r="Y295" s="48" t="s">
        <v>85</v>
      </c>
      <c r="Z295" s="48" t="s">
        <v>227</v>
      </c>
    </row>
    <row r="296" spans="25:26" ht="15" customHeight="1">
      <c r="Y296" s="47" t="s">
        <v>83</v>
      </c>
      <c r="Z296" s="47" t="s">
        <v>228</v>
      </c>
    </row>
    <row r="297" spans="25:26" ht="15" customHeight="1">
      <c r="Y297" s="48" t="s">
        <v>85</v>
      </c>
      <c r="Z297" s="48" t="s">
        <v>229</v>
      </c>
    </row>
    <row r="298" spans="25:26" ht="15" customHeight="1">
      <c r="Y298" s="46" t="s">
        <v>85</v>
      </c>
      <c r="Z298" s="46" t="s">
        <v>230</v>
      </c>
    </row>
    <row r="299" spans="25:26" ht="15" customHeight="1">
      <c r="Y299" s="48" t="s">
        <v>196</v>
      </c>
      <c r="Z299" s="48" t="s">
        <v>231</v>
      </c>
    </row>
    <row r="300" spans="25:26" ht="15" customHeight="1">
      <c r="Y300" s="47" t="s">
        <v>134</v>
      </c>
      <c r="Z300" s="47" t="s">
        <v>232</v>
      </c>
    </row>
    <row r="301" spans="25:26" ht="15" customHeight="1">
      <c r="Y301" s="46" t="s">
        <v>134</v>
      </c>
      <c r="Z301" s="46" t="s">
        <v>233</v>
      </c>
    </row>
    <row r="302" spans="25:26" ht="15" customHeight="1">
      <c r="Y302" s="46" t="s">
        <v>94</v>
      </c>
      <c r="Z302" s="46" t="s">
        <v>234</v>
      </c>
    </row>
    <row r="303" spans="25:26" ht="15" customHeight="1">
      <c r="Y303" s="48" t="s">
        <v>94</v>
      </c>
      <c r="Z303" s="48" t="s">
        <v>235</v>
      </c>
    </row>
    <row r="304" spans="25:26" ht="15" customHeight="1">
      <c r="Y304" s="47" t="s">
        <v>94</v>
      </c>
      <c r="Z304" s="47" t="s">
        <v>236</v>
      </c>
    </row>
    <row r="305" spans="25:26" ht="15" customHeight="1">
      <c r="Y305" s="46" t="s">
        <v>98</v>
      </c>
      <c r="Z305" s="46" t="s">
        <v>237</v>
      </c>
    </row>
    <row r="306" spans="25:26" ht="15" customHeight="1">
      <c r="Y306" s="46" t="s">
        <v>100</v>
      </c>
      <c r="Z306" s="46" t="s">
        <v>238</v>
      </c>
    </row>
    <row r="307" spans="25:26" ht="15" customHeight="1">
      <c r="Y307" s="46" t="s">
        <v>100</v>
      </c>
      <c r="Z307" s="46" t="s">
        <v>239</v>
      </c>
    </row>
    <row r="308" spans="25:26" ht="15" customHeight="1">
      <c r="Y308" s="29" t="s">
        <v>100</v>
      </c>
      <c r="Z308" s="29" t="s">
        <v>240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28E0F-EF0E-4CDF-9690-ECF551AF74C6}">
  <dimension ref="A1:M161"/>
  <sheetViews>
    <sheetView workbookViewId="0"/>
  </sheetViews>
  <sheetFormatPr defaultRowHeight="14.45"/>
  <cols>
    <col min="1" max="1" width="9.28515625" bestFit="1" customWidth="1"/>
    <col min="2" max="2" width="16.5703125" bestFit="1" customWidth="1"/>
    <col min="3" max="3" width="13" bestFit="1" customWidth="1"/>
    <col min="4" max="4" width="15.140625" bestFit="1" customWidth="1"/>
    <col min="5" max="5" width="12" bestFit="1" customWidth="1"/>
    <col min="6" max="6" width="10.28515625" bestFit="1" customWidth="1"/>
    <col min="7" max="7" width="17.42578125" bestFit="1" customWidth="1"/>
    <col min="8" max="8" width="14.140625" bestFit="1" customWidth="1"/>
    <col min="9" max="9" width="22.5703125" bestFit="1" customWidth="1"/>
    <col min="10" max="10" width="18.5703125" bestFit="1" customWidth="1"/>
    <col min="11" max="11" width="12.5703125" bestFit="1" customWidth="1"/>
    <col min="12" max="12" width="18.140625" bestFit="1" customWidth="1"/>
    <col min="13" max="13" width="16.7109375" bestFit="1" customWidth="1"/>
  </cols>
  <sheetData>
    <row r="1" spans="1:13">
      <c r="A1" s="5" t="s">
        <v>18</v>
      </c>
      <c r="B1" s="5" t="s">
        <v>8</v>
      </c>
      <c r="C1" s="5" t="s">
        <v>242</v>
      </c>
      <c r="D1" s="5" t="s">
        <v>243</v>
      </c>
      <c r="E1" s="5" t="s">
        <v>244</v>
      </c>
      <c r="F1" s="5" t="s">
        <v>245</v>
      </c>
      <c r="G1" s="5" t="s">
        <v>246</v>
      </c>
      <c r="H1" s="5" t="s">
        <v>247</v>
      </c>
      <c r="I1" s="5" t="s">
        <v>248</v>
      </c>
      <c r="J1" s="5" t="s">
        <v>249</v>
      </c>
      <c r="K1" s="5" t="s">
        <v>19</v>
      </c>
      <c r="L1" s="5" t="s">
        <v>20</v>
      </c>
      <c r="M1" s="5" t="s">
        <v>29</v>
      </c>
    </row>
    <row r="2" spans="1:13">
      <c r="A2" s="2" t="s">
        <v>34</v>
      </c>
      <c r="B2" s="3">
        <v>1</v>
      </c>
      <c r="C2" s="3">
        <v>1</v>
      </c>
      <c r="D2" s="3">
        <v>15</v>
      </c>
      <c r="E2" s="3">
        <v>3</v>
      </c>
      <c r="F2" s="3">
        <v>8</v>
      </c>
      <c r="G2" s="2" t="s">
        <v>250</v>
      </c>
      <c r="H2" s="2" t="s">
        <v>251</v>
      </c>
      <c r="I2" s="2" t="s">
        <v>252</v>
      </c>
      <c r="J2" s="2" t="s">
        <v>253</v>
      </c>
      <c r="K2" s="3">
        <v>5</v>
      </c>
      <c r="L2" s="3">
        <v>62011</v>
      </c>
      <c r="M2" s="2">
        <v>22</v>
      </c>
    </row>
    <row r="3" spans="1:13">
      <c r="A3" s="2" t="s">
        <v>171</v>
      </c>
      <c r="B3" s="3">
        <v>1</v>
      </c>
      <c r="C3" s="3">
        <v>1</v>
      </c>
      <c r="D3" s="3">
        <v>15</v>
      </c>
      <c r="E3" s="3">
        <v>1</v>
      </c>
      <c r="F3" s="3">
        <v>10</v>
      </c>
      <c r="G3" s="2" t="s">
        <v>254</v>
      </c>
      <c r="H3" s="2" t="s">
        <v>255</v>
      </c>
      <c r="I3" s="2" t="s">
        <v>256</v>
      </c>
      <c r="J3" s="2" t="s">
        <v>257</v>
      </c>
      <c r="K3" s="3">
        <v>2</v>
      </c>
      <c r="L3" s="3">
        <v>57240</v>
      </c>
      <c r="M3" s="2">
        <v>17</v>
      </c>
    </row>
    <row r="4" spans="1:13">
      <c r="A4" s="2" t="s">
        <v>103</v>
      </c>
      <c r="B4" s="3">
        <v>1</v>
      </c>
      <c r="C4" s="3">
        <v>1</v>
      </c>
      <c r="D4" s="3">
        <v>15</v>
      </c>
      <c r="E4" s="3">
        <v>3</v>
      </c>
      <c r="F4" s="3">
        <v>8</v>
      </c>
      <c r="G4" s="2" t="s">
        <v>258</v>
      </c>
      <c r="H4" s="2" t="s">
        <v>259</v>
      </c>
      <c r="I4" s="2" t="s">
        <v>260</v>
      </c>
      <c r="J4" s="2" t="s">
        <v>261</v>
      </c>
      <c r="K4" s="3">
        <v>4</v>
      </c>
      <c r="L4" s="3">
        <v>54984</v>
      </c>
      <c r="M4" s="2">
        <v>16</v>
      </c>
    </row>
    <row r="5" spans="1:13">
      <c r="A5" s="2" t="s">
        <v>143</v>
      </c>
      <c r="B5" s="3">
        <v>1</v>
      </c>
      <c r="C5" s="3">
        <v>1</v>
      </c>
      <c r="D5" s="3">
        <v>15</v>
      </c>
      <c r="E5" s="3">
        <v>1</v>
      </c>
      <c r="F5" s="3">
        <v>10</v>
      </c>
      <c r="G5" s="2" t="s">
        <v>262</v>
      </c>
      <c r="H5" s="2" t="s">
        <v>263</v>
      </c>
      <c r="I5" s="2" t="s">
        <v>264</v>
      </c>
      <c r="J5" s="2" t="s">
        <v>265</v>
      </c>
      <c r="K5" s="3">
        <v>3</v>
      </c>
      <c r="L5" s="3">
        <v>48970</v>
      </c>
      <c r="M5" s="2">
        <v>12</v>
      </c>
    </row>
    <row r="6" spans="1:13">
      <c r="A6" s="2" t="s">
        <v>144</v>
      </c>
      <c r="B6" s="3">
        <v>1</v>
      </c>
      <c r="C6" s="3">
        <v>1</v>
      </c>
      <c r="D6" s="3">
        <v>15</v>
      </c>
      <c r="E6" s="3">
        <v>2</v>
      </c>
      <c r="F6" s="3">
        <v>7</v>
      </c>
      <c r="G6" s="2" t="s">
        <v>266</v>
      </c>
      <c r="H6" s="2" t="s">
        <v>267</v>
      </c>
      <c r="I6" s="2" t="s">
        <v>268</v>
      </c>
      <c r="J6" s="2" t="s">
        <v>269</v>
      </c>
      <c r="K6" s="3">
        <v>3</v>
      </c>
      <c r="L6" s="3">
        <v>99447</v>
      </c>
      <c r="M6" s="2">
        <v>17</v>
      </c>
    </row>
    <row r="7" spans="1:13">
      <c r="A7" s="2" t="s">
        <v>145</v>
      </c>
      <c r="B7" s="3">
        <v>1</v>
      </c>
      <c r="C7" s="3">
        <v>1</v>
      </c>
      <c r="D7" s="3">
        <v>15</v>
      </c>
      <c r="E7" s="3">
        <v>2</v>
      </c>
      <c r="F7" s="3">
        <v>7</v>
      </c>
      <c r="G7" s="2" t="s">
        <v>270</v>
      </c>
      <c r="H7" s="2" t="s">
        <v>271</v>
      </c>
      <c r="I7" s="2" t="s">
        <v>272</v>
      </c>
      <c r="J7" s="2" t="s">
        <v>273</v>
      </c>
      <c r="K7" s="3">
        <v>3</v>
      </c>
      <c r="L7" s="3">
        <v>49573</v>
      </c>
      <c r="M7" s="2">
        <v>15</v>
      </c>
    </row>
    <row r="8" spans="1:13">
      <c r="A8" s="2" t="s">
        <v>172</v>
      </c>
      <c r="B8" s="3">
        <v>1</v>
      </c>
      <c r="C8" s="3">
        <v>1</v>
      </c>
      <c r="D8" s="3">
        <v>15</v>
      </c>
      <c r="E8" s="3">
        <v>1</v>
      </c>
      <c r="F8" s="3">
        <v>10</v>
      </c>
      <c r="G8" s="2" t="s">
        <v>274</v>
      </c>
      <c r="H8" s="2" t="s">
        <v>275</v>
      </c>
      <c r="I8" s="2" t="s">
        <v>276</v>
      </c>
      <c r="J8" s="2" t="s">
        <v>277</v>
      </c>
      <c r="K8" s="3">
        <v>2</v>
      </c>
      <c r="L8" s="3">
        <v>63680</v>
      </c>
      <c r="M8" s="2">
        <v>15</v>
      </c>
    </row>
    <row r="9" spans="1:13">
      <c r="A9" s="2" t="s">
        <v>207</v>
      </c>
      <c r="B9" s="3">
        <v>1</v>
      </c>
      <c r="C9" s="3">
        <v>1</v>
      </c>
      <c r="D9" s="3">
        <v>15</v>
      </c>
      <c r="E9" s="3">
        <v>3</v>
      </c>
      <c r="F9" s="3">
        <v>5</v>
      </c>
      <c r="G9" s="2" t="s">
        <v>278</v>
      </c>
      <c r="H9" s="2" t="s">
        <v>279</v>
      </c>
      <c r="I9" s="2" t="s">
        <v>280</v>
      </c>
      <c r="J9" s="2" t="s">
        <v>281</v>
      </c>
      <c r="K9" s="3">
        <v>1</v>
      </c>
      <c r="L9" s="3">
        <v>67281</v>
      </c>
      <c r="M9" s="2">
        <v>22</v>
      </c>
    </row>
    <row r="10" spans="1:13">
      <c r="A10" s="2" t="s">
        <v>208</v>
      </c>
      <c r="B10" s="3">
        <v>2</v>
      </c>
      <c r="C10" s="3">
        <v>10</v>
      </c>
      <c r="D10" s="3">
        <v>9</v>
      </c>
      <c r="E10" s="3">
        <v>5</v>
      </c>
      <c r="F10" s="3">
        <v>3</v>
      </c>
      <c r="G10" s="2" t="s">
        <v>282</v>
      </c>
      <c r="H10" s="2" t="s">
        <v>283</v>
      </c>
      <c r="I10" s="2" t="s">
        <v>284</v>
      </c>
      <c r="J10" s="2" t="s">
        <v>285</v>
      </c>
      <c r="K10" s="3">
        <v>1</v>
      </c>
      <c r="L10" s="3">
        <v>15624</v>
      </c>
      <c r="M10" s="2">
        <v>20</v>
      </c>
    </row>
    <row r="11" spans="1:13">
      <c r="A11" s="2" t="s">
        <v>173</v>
      </c>
      <c r="B11" s="3">
        <v>2</v>
      </c>
      <c r="C11" s="3">
        <v>13</v>
      </c>
      <c r="D11" s="3">
        <v>16</v>
      </c>
      <c r="E11" s="3">
        <v>3</v>
      </c>
      <c r="F11" s="3">
        <v>6</v>
      </c>
      <c r="G11" s="2" t="s">
        <v>286</v>
      </c>
      <c r="H11" s="2" t="s">
        <v>287</v>
      </c>
      <c r="I11" s="2" t="s">
        <v>288</v>
      </c>
      <c r="J11" s="2" t="s">
        <v>289</v>
      </c>
      <c r="K11" s="3">
        <v>2</v>
      </c>
      <c r="L11" s="3">
        <v>45254</v>
      </c>
      <c r="M11" s="2">
        <v>7</v>
      </c>
    </row>
    <row r="12" spans="1:13">
      <c r="A12" s="2" t="s">
        <v>174</v>
      </c>
      <c r="B12" s="3">
        <v>2</v>
      </c>
      <c r="C12" s="3">
        <v>13</v>
      </c>
      <c r="D12" s="3">
        <v>16</v>
      </c>
      <c r="E12" s="3">
        <v>3</v>
      </c>
      <c r="F12" s="3">
        <v>5</v>
      </c>
      <c r="G12" s="2" t="s">
        <v>290</v>
      </c>
      <c r="H12" s="2" t="s">
        <v>291</v>
      </c>
      <c r="I12" s="2" t="s">
        <v>292</v>
      </c>
      <c r="J12" s="2" t="s">
        <v>293</v>
      </c>
      <c r="K12" s="3">
        <v>2</v>
      </c>
      <c r="L12" s="3">
        <v>50220</v>
      </c>
      <c r="M12" s="2">
        <v>5</v>
      </c>
    </row>
    <row r="13" spans="1:13">
      <c r="A13" s="2" t="s">
        <v>38</v>
      </c>
      <c r="B13" s="3">
        <v>2</v>
      </c>
      <c r="C13" s="3">
        <v>10</v>
      </c>
      <c r="D13" s="3">
        <v>9</v>
      </c>
      <c r="E13" s="3">
        <v>4</v>
      </c>
      <c r="F13" s="3">
        <v>1</v>
      </c>
      <c r="G13" s="2" t="s">
        <v>294</v>
      </c>
      <c r="H13" s="2" t="s">
        <v>295</v>
      </c>
      <c r="I13" s="2" t="s">
        <v>296</v>
      </c>
      <c r="J13" s="2" t="s">
        <v>297</v>
      </c>
      <c r="K13" s="3">
        <v>5</v>
      </c>
      <c r="L13" s="3">
        <v>56642</v>
      </c>
      <c r="M13" s="2">
        <v>21</v>
      </c>
    </row>
    <row r="14" spans="1:13">
      <c r="A14" s="2" t="s">
        <v>175</v>
      </c>
      <c r="B14" s="3">
        <v>2</v>
      </c>
      <c r="C14" s="3">
        <v>10</v>
      </c>
      <c r="D14" s="3">
        <v>9</v>
      </c>
      <c r="E14" s="3">
        <v>3</v>
      </c>
      <c r="F14" s="3">
        <v>4</v>
      </c>
      <c r="G14" s="2" t="s">
        <v>298</v>
      </c>
      <c r="H14" s="2" t="s">
        <v>299</v>
      </c>
      <c r="I14" s="2" t="s">
        <v>300</v>
      </c>
      <c r="J14" s="2" t="s">
        <v>301</v>
      </c>
      <c r="K14" s="3">
        <v>2</v>
      </c>
      <c r="L14" s="3">
        <v>41980</v>
      </c>
      <c r="M14" s="2">
        <v>3</v>
      </c>
    </row>
    <row r="15" spans="1:13">
      <c r="A15" s="2" t="s">
        <v>104</v>
      </c>
      <c r="B15" s="3">
        <v>2</v>
      </c>
      <c r="C15" s="3">
        <v>10</v>
      </c>
      <c r="D15" s="3">
        <v>9</v>
      </c>
      <c r="E15" s="3">
        <v>4</v>
      </c>
      <c r="F15" s="3">
        <v>2</v>
      </c>
      <c r="G15" s="2" t="s">
        <v>302</v>
      </c>
      <c r="H15" s="2" t="s">
        <v>303</v>
      </c>
      <c r="I15" s="2" t="s">
        <v>304</v>
      </c>
      <c r="J15" s="2" t="s">
        <v>305</v>
      </c>
      <c r="K15" s="3">
        <v>4</v>
      </c>
      <c r="L15" s="3">
        <v>23594</v>
      </c>
      <c r="M15" s="2">
        <v>5</v>
      </c>
    </row>
    <row r="16" spans="1:13">
      <c r="A16" s="2" t="s">
        <v>209</v>
      </c>
      <c r="B16" s="3">
        <v>2</v>
      </c>
      <c r="C16" s="3">
        <v>13</v>
      </c>
      <c r="D16" s="3">
        <v>16</v>
      </c>
      <c r="E16" s="3">
        <v>3</v>
      </c>
      <c r="F16" s="3">
        <v>1</v>
      </c>
      <c r="G16" s="2" t="s">
        <v>306</v>
      </c>
      <c r="H16" s="2" t="s">
        <v>307</v>
      </c>
      <c r="I16" s="2" t="s">
        <v>308</v>
      </c>
      <c r="J16" s="2" t="s">
        <v>309</v>
      </c>
      <c r="K16" s="3">
        <v>1</v>
      </c>
      <c r="L16" s="3">
        <v>78139</v>
      </c>
      <c r="M16" s="2">
        <v>10</v>
      </c>
    </row>
    <row r="17" spans="1:13">
      <c r="A17" s="2" t="s">
        <v>146</v>
      </c>
      <c r="B17" s="3">
        <v>2</v>
      </c>
      <c r="C17" s="3">
        <v>13</v>
      </c>
      <c r="D17" s="3">
        <v>16</v>
      </c>
      <c r="E17" s="3">
        <v>4</v>
      </c>
      <c r="F17" s="3">
        <v>4</v>
      </c>
      <c r="G17" s="2" t="s">
        <v>310</v>
      </c>
      <c r="H17" s="2" t="s">
        <v>311</v>
      </c>
      <c r="I17" s="2" t="s">
        <v>312</v>
      </c>
      <c r="J17" s="2" t="s">
        <v>313</v>
      </c>
      <c r="K17" s="3">
        <v>3</v>
      </c>
      <c r="L17" s="3">
        <v>61792</v>
      </c>
      <c r="M17" s="2">
        <v>12</v>
      </c>
    </row>
    <row r="18" spans="1:13">
      <c r="A18" s="2" t="s">
        <v>210</v>
      </c>
      <c r="B18" s="3">
        <v>2</v>
      </c>
      <c r="C18" s="3">
        <v>10</v>
      </c>
      <c r="D18" s="3">
        <v>9</v>
      </c>
      <c r="E18" s="3">
        <v>5</v>
      </c>
      <c r="F18" s="3">
        <v>5</v>
      </c>
      <c r="G18" s="2" t="s">
        <v>314</v>
      </c>
      <c r="H18" s="2" t="s">
        <v>315</v>
      </c>
      <c r="I18" s="2" t="s">
        <v>316</v>
      </c>
      <c r="J18" s="2" t="s">
        <v>317</v>
      </c>
      <c r="K18" s="3">
        <v>1</v>
      </c>
      <c r="L18" s="3">
        <v>62355</v>
      </c>
      <c r="M18" s="2">
        <v>14</v>
      </c>
    </row>
    <row r="19" spans="1:13">
      <c r="A19" s="2" t="s">
        <v>211</v>
      </c>
      <c r="B19" s="3">
        <v>2</v>
      </c>
      <c r="C19" s="3">
        <v>10</v>
      </c>
      <c r="D19" s="3">
        <v>9</v>
      </c>
      <c r="E19" s="3">
        <v>4</v>
      </c>
      <c r="F19" s="3">
        <v>4</v>
      </c>
      <c r="G19" s="2" t="s">
        <v>318</v>
      </c>
      <c r="H19" s="2" t="s">
        <v>319</v>
      </c>
      <c r="I19" s="2" t="s">
        <v>320</v>
      </c>
      <c r="J19" s="2" t="s">
        <v>321</v>
      </c>
      <c r="K19" s="3">
        <v>1</v>
      </c>
      <c r="L19" s="3">
        <v>67121</v>
      </c>
      <c r="M19" s="2">
        <v>21</v>
      </c>
    </row>
    <row r="20" spans="1:13">
      <c r="A20" s="2" t="s">
        <v>147</v>
      </c>
      <c r="B20" s="3">
        <v>2</v>
      </c>
      <c r="C20" s="3">
        <v>10</v>
      </c>
      <c r="D20" s="3">
        <v>9</v>
      </c>
      <c r="E20" s="3">
        <v>2</v>
      </c>
      <c r="F20" s="3">
        <v>2</v>
      </c>
      <c r="G20" s="2" t="s">
        <v>322</v>
      </c>
      <c r="H20" s="2" t="s">
        <v>323</v>
      </c>
      <c r="I20" s="2" t="s">
        <v>324</v>
      </c>
      <c r="J20" s="2" t="s">
        <v>325</v>
      </c>
      <c r="K20" s="3">
        <v>3</v>
      </c>
      <c r="L20" s="3">
        <v>44283</v>
      </c>
      <c r="M20" s="2">
        <v>20</v>
      </c>
    </row>
    <row r="21" spans="1:13">
      <c r="A21" s="2" t="s">
        <v>148</v>
      </c>
      <c r="B21" s="3">
        <v>2</v>
      </c>
      <c r="C21" s="3">
        <v>10</v>
      </c>
      <c r="D21" s="3">
        <v>9</v>
      </c>
      <c r="E21" s="3">
        <v>3</v>
      </c>
      <c r="F21" s="3">
        <v>5</v>
      </c>
      <c r="G21" s="2" t="s">
        <v>326</v>
      </c>
      <c r="H21" s="2" t="s">
        <v>327</v>
      </c>
      <c r="I21" s="2" t="s">
        <v>328</v>
      </c>
      <c r="J21" s="2" t="s">
        <v>329</v>
      </c>
      <c r="K21" s="3">
        <v>3</v>
      </c>
      <c r="L21" s="3">
        <v>44188</v>
      </c>
      <c r="M21" s="2">
        <v>4</v>
      </c>
    </row>
    <row r="22" spans="1:13">
      <c r="A22" s="2" t="s">
        <v>149</v>
      </c>
      <c r="B22" s="3">
        <v>2</v>
      </c>
      <c r="C22" s="3">
        <v>13</v>
      </c>
      <c r="D22" s="3">
        <v>16</v>
      </c>
      <c r="E22" s="3">
        <v>2</v>
      </c>
      <c r="F22" s="3">
        <v>5</v>
      </c>
      <c r="G22" s="2" t="s">
        <v>330</v>
      </c>
      <c r="H22" s="2" t="s">
        <v>331</v>
      </c>
      <c r="I22" s="2" t="s">
        <v>332</v>
      </c>
      <c r="J22" s="2" t="s">
        <v>333</v>
      </c>
      <c r="K22" s="3">
        <v>3</v>
      </c>
      <c r="L22" s="3">
        <v>50840</v>
      </c>
      <c r="M22" s="2">
        <v>11</v>
      </c>
    </row>
    <row r="23" spans="1:13">
      <c r="A23" s="2" t="s">
        <v>107</v>
      </c>
      <c r="B23" s="3">
        <v>2</v>
      </c>
      <c r="C23" s="3">
        <v>13</v>
      </c>
      <c r="D23" s="3">
        <v>16</v>
      </c>
      <c r="E23" s="3">
        <v>2</v>
      </c>
      <c r="F23" s="3">
        <v>5</v>
      </c>
      <c r="G23" s="2" t="s">
        <v>334</v>
      </c>
      <c r="H23" s="2" t="s">
        <v>294</v>
      </c>
      <c r="I23" s="2" t="s">
        <v>335</v>
      </c>
      <c r="J23" s="2" t="s">
        <v>336</v>
      </c>
      <c r="K23" s="3">
        <v>4</v>
      </c>
      <c r="L23" s="3">
        <v>22456</v>
      </c>
      <c r="M23" s="2">
        <v>21</v>
      </c>
    </row>
    <row r="24" spans="1:13">
      <c r="A24" s="2" t="s">
        <v>176</v>
      </c>
      <c r="B24" s="3">
        <v>1</v>
      </c>
      <c r="C24" s="3">
        <v>7</v>
      </c>
      <c r="D24" s="3">
        <v>4</v>
      </c>
      <c r="E24" s="3">
        <v>4</v>
      </c>
      <c r="F24" s="3">
        <v>6</v>
      </c>
      <c r="G24" s="2" t="s">
        <v>337</v>
      </c>
      <c r="H24" s="2" t="s">
        <v>338</v>
      </c>
      <c r="I24" s="2" t="s">
        <v>339</v>
      </c>
      <c r="J24" s="2" t="s">
        <v>340</v>
      </c>
      <c r="K24" s="3">
        <v>2</v>
      </c>
      <c r="L24" s="3">
        <v>85445</v>
      </c>
      <c r="M24" s="2">
        <v>21</v>
      </c>
    </row>
    <row r="25" spans="1:13">
      <c r="A25" s="2" t="s">
        <v>150</v>
      </c>
      <c r="B25" s="3">
        <v>1</v>
      </c>
      <c r="C25" s="3">
        <v>7</v>
      </c>
      <c r="D25" s="3">
        <v>4</v>
      </c>
      <c r="E25" s="3">
        <v>2</v>
      </c>
      <c r="F25" s="3">
        <v>7</v>
      </c>
      <c r="G25" s="2" t="s">
        <v>341</v>
      </c>
      <c r="H25" s="2" t="s">
        <v>342</v>
      </c>
      <c r="I25" s="2" t="s">
        <v>343</v>
      </c>
      <c r="J25" s="2" t="s">
        <v>344</v>
      </c>
      <c r="K25" s="3">
        <v>3</v>
      </c>
      <c r="L25" s="3">
        <v>49533</v>
      </c>
      <c r="M25" s="2">
        <v>10</v>
      </c>
    </row>
    <row r="26" spans="1:13">
      <c r="A26" s="2" t="s">
        <v>109</v>
      </c>
      <c r="B26" s="3">
        <v>1</v>
      </c>
      <c r="C26" s="3">
        <v>7</v>
      </c>
      <c r="D26" s="3">
        <v>4</v>
      </c>
      <c r="E26" s="3">
        <v>5</v>
      </c>
      <c r="F26" s="3">
        <v>4</v>
      </c>
      <c r="G26" s="2" t="s">
        <v>345</v>
      </c>
      <c r="H26" s="2" t="s">
        <v>346</v>
      </c>
      <c r="I26" s="2" t="s">
        <v>347</v>
      </c>
      <c r="J26" s="2" t="s">
        <v>348</v>
      </c>
      <c r="K26" s="3">
        <v>4</v>
      </c>
      <c r="L26" s="3">
        <v>65659</v>
      </c>
      <c r="M26" s="2">
        <v>19</v>
      </c>
    </row>
    <row r="27" spans="1:13">
      <c r="A27" s="2" t="s">
        <v>212</v>
      </c>
      <c r="B27" s="3">
        <v>1</v>
      </c>
      <c r="C27" s="3">
        <v>7</v>
      </c>
      <c r="D27" s="3">
        <v>4</v>
      </c>
      <c r="E27" s="3">
        <v>3</v>
      </c>
      <c r="F27" s="3">
        <v>8</v>
      </c>
      <c r="G27" s="2" t="s">
        <v>349</v>
      </c>
      <c r="H27" s="2" t="s">
        <v>350</v>
      </c>
      <c r="I27" s="2" t="s">
        <v>351</v>
      </c>
      <c r="J27" s="2" t="s">
        <v>352</v>
      </c>
      <c r="K27" s="3">
        <v>1</v>
      </c>
      <c r="L27" s="3">
        <v>56224</v>
      </c>
      <c r="M27" s="2">
        <v>17</v>
      </c>
    </row>
    <row r="28" spans="1:13">
      <c r="A28" s="2" t="s">
        <v>151</v>
      </c>
      <c r="B28" s="3">
        <v>1</v>
      </c>
      <c r="C28" s="3">
        <v>7</v>
      </c>
      <c r="D28" s="3">
        <v>4</v>
      </c>
      <c r="E28" s="3">
        <v>4</v>
      </c>
      <c r="F28" s="3">
        <v>3</v>
      </c>
      <c r="G28" s="2" t="s">
        <v>353</v>
      </c>
      <c r="H28" s="2" t="s">
        <v>354</v>
      </c>
      <c r="I28" s="2" t="s">
        <v>355</v>
      </c>
      <c r="J28" s="2" t="s">
        <v>356</v>
      </c>
      <c r="K28" s="3">
        <v>3</v>
      </c>
      <c r="L28" s="3">
        <v>54509</v>
      </c>
      <c r="M28" s="2">
        <v>14</v>
      </c>
    </row>
    <row r="29" spans="1:13">
      <c r="A29" s="2" t="s">
        <v>110</v>
      </c>
      <c r="B29" s="3">
        <v>1</v>
      </c>
      <c r="C29" s="3">
        <v>7</v>
      </c>
      <c r="D29" s="3">
        <v>4</v>
      </c>
      <c r="E29" s="3">
        <v>1</v>
      </c>
      <c r="F29" s="3">
        <v>10</v>
      </c>
      <c r="G29" s="2" t="s">
        <v>357</v>
      </c>
      <c r="H29" s="2" t="s">
        <v>358</v>
      </c>
      <c r="I29" s="2" t="s">
        <v>359</v>
      </c>
      <c r="J29" s="2" t="s">
        <v>360</v>
      </c>
      <c r="K29" s="3">
        <v>4</v>
      </c>
      <c r="L29" s="3">
        <v>103163</v>
      </c>
      <c r="M29" s="2">
        <v>18</v>
      </c>
    </row>
    <row r="30" spans="1:13">
      <c r="A30" s="2" t="s">
        <v>111</v>
      </c>
      <c r="B30" s="3">
        <v>2</v>
      </c>
      <c r="C30" s="3">
        <v>16</v>
      </c>
      <c r="D30" s="3">
        <v>17</v>
      </c>
      <c r="E30" s="3">
        <v>5</v>
      </c>
      <c r="F30" s="3">
        <v>2</v>
      </c>
      <c r="G30" s="2" t="s">
        <v>361</v>
      </c>
      <c r="H30" s="2" t="s">
        <v>362</v>
      </c>
      <c r="I30" s="2" t="s">
        <v>363</v>
      </c>
      <c r="J30" s="2" t="s">
        <v>364</v>
      </c>
      <c r="K30" s="3">
        <v>4</v>
      </c>
      <c r="L30" s="3">
        <v>61702</v>
      </c>
      <c r="M30" s="2">
        <v>5</v>
      </c>
    </row>
    <row r="31" spans="1:13">
      <c r="A31" s="2" t="s">
        <v>42</v>
      </c>
      <c r="B31" s="3">
        <v>2</v>
      </c>
      <c r="C31" s="3">
        <v>16</v>
      </c>
      <c r="D31" s="3">
        <v>17</v>
      </c>
      <c r="E31" s="3">
        <v>3</v>
      </c>
      <c r="F31" s="3">
        <v>5</v>
      </c>
      <c r="G31" s="2" t="s">
        <v>365</v>
      </c>
      <c r="H31" s="2" t="s">
        <v>366</v>
      </c>
      <c r="I31" s="2" t="s">
        <v>367</v>
      </c>
      <c r="J31" s="2" t="s">
        <v>368</v>
      </c>
      <c r="K31" s="3">
        <v>5</v>
      </c>
      <c r="L31" s="3">
        <v>53967</v>
      </c>
      <c r="M31" s="2">
        <v>7</v>
      </c>
    </row>
    <row r="32" spans="1:13">
      <c r="A32" s="2" t="s">
        <v>177</v>
      </c>
      <c r="B32" s="3">
        <v>2</v>
      </c>
      <c r="C32" s="3">
        <v>16</v>
      </c>
      <c r="D32" s="3">
        <v>17</v>
      </c>
      <c r="E32" s="3">
        <v>2</v>
      </c>
      <c r="F32" s="3">
        <v>5</v>
      </c>
      <c r="G32" s="2" t="s">
        <v>369</v>
      </c>
      <c r="H32" s="2" t="s">
        <v>370</v>
      </c>
      <c r="I32" s="2" t="s">
        <v>371</v>
      </c>
      <c r="J32" s="2" t="s">
        <v>372</v>
      </c>
      <c r="K32" s="3">
        <v>2</v>
      </c>
      <c r="L32" s="3">
        <v>69619</v>
      </c>
      <c r="M32" s="2">
        <v>18</v>
      </c>
    </row>
    <row r="33" spans="1:13">
      <c r="A33" s="2" t="s">
        <v>178</v>
      </c>
      <c r="B33" s="3">
        <v>2</v>
      </c>
      <c r="C33" s="3">
        <v>16</v>
      </c>
      <c r="D33" s="3">
        <v>17</v>
      </c>
      <c r="E33" s="3">
        <v>2</v>
      </c>
      <c r="F33" s="3">
        <v>1</v>
      </c>
      <c r="G33" s="2" t="s">
        <v>373</v>
      </c>
      <c r="H33" s="2" t="s">
        <v>374</v>
      </c>
      <c r="I33" s="2" t="s">
        <v>375</v>
      </c>
      <c r="J33" s="2" t="s">
        <v>376</v>
      </c>
      <c r="K33" s="3">
        <v>2</v>
      </c>
      <c r="L33" s="3">
        <v>33125</v>
      </c>
      <c r="M33" s="2">
        <v>23</v>
      </c>
    </row>
    <row r="34" spans="1:13">
      <c r="A34" s="2" t="s">
        <v>179</v>
      </c>
      <c r="B34" s="3">
        <v>2</v>
      </c>
      <c r="C34" s="3">
        <v>16</v>
      </c>
      <c r="D34" s="3">
        <v>17</v>
      </c>
      <c r="E34" s="3">
        <v>2</v>
      </c>
      <c r="F34" s="3">
        <v>3</v>
      </c>
      <c r="G34" s="2" t="s">
        <v>377</v>
      </c>
      <c r="H34" s="2" t="s">
        <v>378</v>
      </c>
      <c r="I34" s="2" t="s">
        <v>379</v>
      </c>
      <c r="J34" s="2" t="s">
        <v>380</v>
      </c>
      <c r="K34" s="3">
        <v>2</v>
      </c>
      <c r="L34" s="3">
        <v>19109</v>
      </c>
      <c r="M34" s="2">
        <v>23</v>
      </c>
    </row>
    <row r="35" spans="1:13">
      <c r="A35" s="2" t="s">
        <v>213</v>
      </c>
      <c r="B35" s="3">
        <v>2</v>
      </c>
      <c r="C35" s="3">
        <v>16</v>
      </c>
      <c r="D35" s="3">
        <v>17</v>
      </c>
      <c r="E35" s="3">
        <v>3</v>
      </c>
      <c r="F35" s="3">
        <v>3</v>
      </c>
      <c r="G35" s="2" t="s">
        <v>381</v>
      </c>
      <c r="H35" s="2" t="s">
        <v>382</v>
      </c>
      <c r="I35" s="2" t="s">
        <v>383</v>
      </c>
      <c r="J35" s="2" t="s">
        <v>384</v>
      </c>
      <c r="K35" s="3">
        <v>1</v>
      </c>
      <c r="L35" s="3">
        <v>88989</v>
      </c>
      <c r="M35" s="2">
        <v>19</v>
      </c>
    </row>
    <row r="36" spans="1:13">
      <c r="A36" s="2" t="s">
        <v>46</v>
      </c>
      <c r="B36" s="3">
        <v>1</v>
      </c>
      <c r="C36" s="3">
        <v>3</v>
      </c>
      <c r="D36" s="3">
        <v>18</v>
      </c>
      <c r="E36" s="3">
        <v>4</v>
      </c>
      <c r="F36" s="3">
        <v>3</v>
      </c>
      <c r="G36" s="2" t="s">
        <v>385</v>
      </c>
      <c r="H36" s="2" t="s">
        <v>386</v>
      </c>
      <c r="I36" s="2" t="s">
        <v>387</v>
      </c>
      <c r="J36" s="2" t="s">
        <v>388</v>
      </c>
      <c r="K36" s="3">
        <v>5</v>
      </c>
      <c r="L36" s="3">
        <v>91084</v>
      </c>
      <c r="M36" s="2">
        <v>20</v>
      </c>
    </row>
    <row r="37" spans="1:13">
      <c r="A37" s="2" t="s">
        <v>152</v>
      </c>
      <c r="B37" s="3">
        <v>1</v>
      </c>
      <c r="C37" s="3">
        <v>3</v>
      </c>
      <c r="D37" s="3">
        <v>18</v>
      </c>
      <c r="E37" s="3">
        <v>1</v>
      </c>
      <c r="F37" s="3">
        <v>10</v>
      </c>
      <c r="G37" s="2" t="s">
        <v>389</v>
      </c>
      <c r="H37" s="2" t="s">
        <v>390</v>
      </c>
      <c r="I37" s="2" t="s">
        <v>391</v>
      </c>
      <c r="J37" s="2" t="s">
        <v>392</v>
      </c>
      <c r="K37" s="3">
        <v>3</v>
      </c>
      <c r="L37" s="3">
        <v>67976</v>
      </c>
      <c r="M37" s="2">
        <v>9</v>
      </c>
    </row>
    <row r="38" spans="1:13">
      <c r="A38" s="2" t="s">
        <v>180</v>
      </c>
      <c r="B38" s="3">
        <v>1</v>
      </c>
      <c r="C38" s="3">
        <v>3</v>
      </c>
      <c r="D38" s="3">
        <v>18</v>
      </c>
      <c r="E38" s="3">
        <v>5</v>
      </c>
      <c r="F38" s="3">
        <v>4</v>
      </c>
      <c r="G38" s="2" t="s">
        <v>393</v>
      </c>
      <c r="H38" s="2" t="s">
        <v>394</v>
      </c>
      <c r="I38" s="2" t="s">
        <v>395</v>
      </c>
      <c r="J38" s="2" t="s">
        <v>396</v>
      </c>
      <c r="K38" s="3">
        <v>2</v>
      </c>
      <c r="L38" s="3">
        <v>82353</v>
      </c>
      <c r="M38" s="2">
        <v>13</v>
      </c>
    </row>
    <row r="39" spans="1:13">
      <c r="A39" s="2" t="s">
        <v>181</v>
      </c>
      <c r="B39" s="3">
        <v>1</v>
      </c>
      <c r="C39" s="3">
        <v>7</v>
      </c>
      <c r="D39" s="3">
        <v>19</v>
      </c>
      <c r="E39" s="3">
        <v>4</v>
      </c>
      <c r="F39" s="3">
        <v>2</v>
      </c>
      <c r="G39" s="2" t="s">
        <v>397</v>
      </c>
      <c r="H39" s="2" t="s">
        <v>398</v>
      </c>
      <c r="I39" s="2" t="s">
        <v>399</v>
      </c>
      <c r="J39" s="2" t="s">
        <v>400</v>
      </c>
      <c r="K39" s="3">
        <v>2</v>
      </c>
      <c r="L39" s="3">
        <v>65285</v>
      </c>
      <c r="M39" s="2">
        <v>1</v>
      </c>
    </row>
    <row r="40" spans="1:13">
      <c r="A40" s="2" t="s">
        <v>48</v>
      </c>
      <c r="B40" s="3">
        <v>1</v>
      </c>
      <c r="C40" s="3">
        <v>3</v>
      </c>
      <c r="D40" s="3">
        <v>18</v>
      </c>
      <c r="E40" s="3">
        <v>1</v>
      </c>
      <c r="F40" s="3">
        <v>9</v>
      </c>
      <c r="G40" s="2" t="s">
        <v>401</v>
      </c>
      <c r="H40" s="2" t="s">
        <v>402</v>
      </c>
      <c r="I40" s="2" t="s">
        <v>403</v>
      </c>
      <c r="J40" s="2" t="s">
        <v>404</v>
      </c>
      <c r="K40" s="3">
        <v>5</v>
      </c>
      <c r="L40" s="3">
        <v>104901</v>
      </c>
      <c r="M40" s="2">
        <v>18</v>
      </c>
    </row>
    <row r="41" spans="1:13">
      <c r="A41" s="2" t="s">
        <v>182</v>
      </c>
      <c r="B41" s="3">
        <v>1</v>
      </c>
      <c r="C41" s="3">
        <v>7</v>
      </c>
      <c r="D41" s="3">
        <v>19</v>
      </c>
      <c r="E41" s="3">
        <v>5</v>
      </c>
      <c r="F41" s="3">
        <v>4</v>
      </c>
      <c r="G41" s="2" t="s">
        <v>405</v>
      </c>
      <c r="H41" s="2" t="s">
        <v>406</v>
      </c>
      <c r="I41" s="2" t="s">
        <v>407</v>
      </c>
      <c r="J41" s="2" t="s">
        <v>408</v>
      </c>
      <c r="K41" s="3">
        <v>2</v>
      </c>
      <c r="L41" s="3">
        <v>68107</v>
      </c>
      <c r="M41" s="2">
        <v>3</v>
      </c>
    </row>
    <row r="42" spans="1:13">
      <c r="A42" s="2" t="s">
        <v>52</v>
      </c>
      <c r="B42" s="3">
        <v>1</v>
      </c>
      <c r="C42" s="3">
        <v>7</v>
      </c>
      <c r="D42" s="3">
        <v>19</v>
      </c>
      <c r="E42" s="3">
        <v>4</v>
      </c>
      <c r="F42" s="3">
        <v>6</v>
      </c>
      <c r="G42" s="2" t="s">
        <v>409</v>
      </c>
      <c r="H42" s="2" t="s">
        <v>410</v>
      </c>
      <c r="I42" s="2" t="s">
        <v>411</v>
      </c>
      <c r="J42" s="2" t="s">
        <v>412</v>
      </c>
      <c r="K42" s="3">
        <v>5</v>
      </c>
      <c r="L42" s="3">
        <v>87400</v>
      </c>
      <c r="M42" s="2">
        <v>18</v>
      </c>
    </row>
    <row r="43" spans="1:13">
      <c r="A43" s="2" t="s">
        <v>183</v>
      </c>
      <c r="B43" s="3">
        <v>1</v>
      </c>
      <c r="C43" s="3">
        <v>3</v>
      </c>
      <c r="D43" s="3">
        <v>18</v>
      </c>
      <c r="E43" s="3">
        <v>1</v>
      </c>
      <c r="F43" s="3">
        <v>10</v>
      </c>
      <c r="G43" s="2" t="s">
        <v>413</v>
      </c>
      <c r="H43" s="2" t="s">
        <v>414</v>
      </c>
      <c r="I43" s="2" t="s">
        <v>415</v>
      </c>
      <c r="J43" s="2" t="s">
        <v>416</v>
      </c>
      <c r="K43" s="3">
        <v>2</v>
      </c>
      <c r="L43" s="3">
        <v>105836</v>
      </c>
      <c r="M43" s="2">
        <v>16</v>
      </c>
    </row>
    <row r="44" spans="1:13">
      <c r="A44" s="2" t="s">
        <v>112</v>
      </c>
      <c r="B44" s="3">
        <v>1</v>
      </c>
      <c r="C44" s="3">
        <v>7</v>
      </c>
      <c r="D44" s="3">
        <v>19</v>
      </c>
      <c r="E44" s="3">
        <v>5</v>
      </c>
      <c r="F44" s="3">
        <v>4</v>
      </c>
      <c r="G44" s="2" t="s">
        <v>417</v>
      </c>
      <c r="H44" s="2" t="s">
        <v>418</v>
      </c>
      <c r="I44" s="2" t="s">
        <v>419</v>
      </c>
      <c r="J44" s="2" t="s">
        <v>420</v>
      </c>
      <c r="K44" s="3">
        <v>4</v>
      </c>
      <c r="L44" s="3">
        <v>95916</v>
      </c>
      <c r="M44" s="2">
        <v>2</v>
      </c>
    </row>
    <row r="45" spans="1:13">
      <c r="A45" s="2" t="s">
        <v>113</v>
      </c>
      <c r="B45" s="3">
        <v>1</v>
      </c>
      <c r="C45" s="3">
        <v>3</v>
      </c>
      <c r="D45" s="3">
        <v>18</v>
      </c>
      <c r="E45" s="3">
        <v>2</v>
      </c>
      <c r="F45" s="3">
        <v>1</v>
      </c>
      <c r="G45" s="2" t="s">
        <v>421</v>
      </c>
      <c r="H45" s="2" t="s">
        <v>422</v>
      </c>
      <c r="I45" s="2" t="s">
        <v>423</v>
      </c>
      <c r="J45" s="2" t="s">
        <v>424</v>
      </c>
      <c r="K45" s="3">
        <v>4</v>
      </c>
      <c r="L45" s="3">
        <v>66725</v>
      </c>
      <c r="M45" s="2">
        <v>13</v>
      </c>
    </row>
    <row r="46" spans="1:13">
      <c r="A46" s="2" t="s">
        <v>153</v>
      </c>
      <c r="B46" s="3">
        <v>1</v>
      </c>
      <c r="C46" s="3">
        <v>7</v>
      </c>
      <c r="D46" s="3">
        <v>19</v>
      </c>
      <c r="E46" s="3">
        <v>4</v>
      </c>
      <c r="F46" s="3">
        <v>2</v>
      </c>
      <c r="G46" s="2" t="s">
        <v>425</v>
      </c>
      <c r="H46" s="2" t="s">
        <v>426</v>
      </c>
      <c r="I46" s="2" t="s">
        <v>427</v>
      </c>
      <c r="J46" s="2" t="s">
        <v>428</v>
      </c>
      <c r="K46" s="3">
        <v>3</v>
      </c>
      <c r="L46" s="3">
        <v>45942</v>
      </c>
      <c r="M46" s="2">
        <v>5</v>
      </c>
    </row>
    <row r="47" spans="1:13">
      <c r="A47" s="2" t="s">
        <v>114</v>
      </c>
      <c r="B47" s="3">
        <v>1</v>
      </c>
      <c r="C47" s="3">
        <v>7</v>
      </c>
      <c r="D47" s="3">
        <v>19</v>
      </c>
      <c r="E47" s="3">
        <v>2</v>
      </c>
      <c r="F47" s="3">
        <v>1</v>
      </c>
      <c r="G47" s="2" t="s">
        <v>381</v>
      </c>
      <c r="H47" s="2" t="s">
        <v>429</v>
      </c>
      <c r="I47" s="2" t="s">
        <v>382</v>
      </c>
      <c r="J47" s="2" t="s">
        <v>430</v>
      </c>
      <c r="K47" s="3">
        <v>4</v>
      </c>
      <c r="L47" s="3">
        <v>79393</v>
      </c>
      <c r="M47" s="2">
        <v>21</v>
      </c>
    </row>
    <row r="48" spans="1:13">
      <c r="A48" s="2" t="s">
        <v>154</v>
      </c>
      <c r="B48" s="3">
        <v>1</v>
      </c>
      <c r="C48" s="3">
        <v>3</v>
      </c>
      <c r="D48" s="3">
        <v>18</v>
      </c>
      <c r="E48" s="3">
        <v>5</v>
      </c>
      <c r="F48" s="3">
        <v>4</v>
      </c>
      <c r="G48" s="2" t="s">
        <v>431</v>
      </c>
      <c r="H48" s="2" t="s">
        <v>432</v>
      </c>
      <c r="I48" s="2" t="s">
        <v>433</v>
      </c>
      <c r="J48" s="2" t="s">
        <v>434</v>
      </c>
      <c r="K48" s="3">
        <v>3</v>
      </c>
      <c r="L48" s="3">
        <v>115336</v>
      </c>
      <c r="M48" s="2">
        <v>20</v>
      </c>
    </row>
    <row r="49" spans="1:13">
      <c r="A49" s="2" t="s">
        <v>54</v>
      </c>
      <c r="B49" s="3">
        <v>1</v>
      </c>
      <c r="C49" s="3">
        <v>3</v>
      </c>
      <c r="D49" s="3">
        <v>18</v>
      </c>
      <c r="E49" s="3">
        <v>5</v>
      </c>
      <c r="F49" s="3">
        <v>4</v>
      </c>
      <c r="G49" s="2" t="s">
        <v>435</v>
      </c>
      <c r="H49" s="2" t="s">
        <v>436</v>
      </c>
      <c r="I49" s="2" t="s">
        <v>437</v>
      </c>
      <c r="J49" s="2" t="s">
        <v>438</v>
      </c>
      <c r="K49" s="3">
        <v>5</v>
      </c>
      <c r="L49" s="3">
        <v>79624</v>
      </c>
      <c r="M49" s="2">
        <v>16</v>
      </c>
    </row>
    <row r="50" spans="1:13">
      <c r="A50" s="2" t="s">
        <v>214</v>
      </c>
      <c r="B50" s="3">
        <v>1</v>
      </c>
      <c r="C50" s="3">
        <v>3</v>
      </c>
      <c r="D50" s="3">
        <v>18</v>
      </c>
      <c r="E50" s="3">
        <v>1</v>
      </c>
      <c r="F50" s="3">
        <v>10</v>
      </c>
      <c r="G50" s="2" t="s">
        <v>439</v>
      </c>
      <c r="H50" s="2" t="s">
        <v>440</v>
      </c>
      <c r="I50" s="2" t="s">
        <v>441</v>
      </c>
      <c r="J50" s="2" t="s">
        <v>442</v>
      </c>
      <c r="K50" s="3">
        <v>1</v>
      </c>
      <c r="L50" s="3">
        <v>114507</v>
      </c>
      <c r="M50" s="2">
        <v>17</v>
      </c>
    </row>
    <row r="51" spans="1:13">
      <c r="A51" s="2" t="s">
        <v>215</v>
      </c>
      <c r="B51" s="3">
        <v>1</v>
      </c>
      <c r="C51" s="3">
        <v>7</v>
      </c>
      <c r="D51" s="3">
        <v>19</v>
      </c>
      <c r="E51" s="3">
        <v>4</v>
      </c>
      <c r="F51" s="3">
        <v>3</v>
      </c>
      <c r="G51" s="2" t="s">
        <v>443</v>
      </c>
      <c r="H51" s="2" t="s">
        <v>444</v>
      </c>
      <c r="I51" s="2" t="s">
        <v>445</v>
      </c>
      <c r="J51" s="2" t="s">
        <v>446</v>
      </c>
      <c r="K51" s="3">
        <v>1</v>
      </c>
      <c r="L51" s="3">
        <v>105811</v>
      </c>
      <c r="M51" s="2">
        <v>3</v>
      </c>
    </row>
    <row r="52" spans="1:13">
      <c r="A52" s="2" t="s">
        <v>117</v>
      </c>
      <c r="B52" s="3">
        <v>2</v>
      </c>
      <c r="C52" s="3">
        <v>8</v>
      </c>
      <c r="D52" s="3">
        <v>8</v>
      </c>
      <c r="E52" s="3">
        <v>5</v>
      </c>
      <c r="F52" s="3">
        <v>5</v>
      </c>
      <c r="G52" s="2" t="s">
        <v>447</v>
      </c>
      <c r="H52" s="2" t="s">
        <v>448</v>
      </c>
      <c r="I52" s="2" t="s">
        <v>449</v>
      </c>
      <c r="J52" s="2" t="s">
        <v>450</v>
      </c>
      <c r="K52" s="3">
        <v>4</v>
      </c>
      <c r="L52" s="3">
        <v>26124</v>
      </c>
      <c r="M52" s="2">
        <v>17</v>
      </c>
    </row>
    <row r="53" spans="1:13">
      <c r="A53" s="2" t="s">
        <v>155</v>
      </c>
      <c r="B53" s="3">
        <v>2</v>
      </c>
      <c r="C53" s="3">
        <v>8</v>
      </c>
      <c r="D53" s="3">
        <v>8</v>
      </c>
      <c r="E53" s="3">
        <v>5</v>
      </c>
      <c r="F53" s="3">
        <v>5</v>
      </c>
      <c r="G53" s="2" t="s">
        <v>451</v>
      </c>
      <c r="H53" s="2" t="s">
        <v>452</v>
      </c>
      <c r="I53" s="2" t="s">
        <v>453</v>
      </c>
      <c r="J53" s="2" t="s">
        <v>454</v>
      </c>
      <c r="K53" s="3">
        <v>3</v>
      </c>
      <c r="L53" s="3">
        <v>41447</v>
      </c>
      <c r="M53" s="2">
        <v>6</v>
      </c>
    </row>
    <row r="54" spans="1:13">
      <c r="A54" s="2" t="s">
        <v>184</v>
      </c>
      <c r="B54" s="3">
        <v>2</v>
      </c>
      <c r="C54" s="3">
        <v>12</v>
      </c>
      <c r="D54" s="3">
        <v>12</v>
      </c>
      <c r="E54" s="3">
        <v>5</v>
      </c>
      <c r="F54" s="3">
        <v>1</v>
      </c>
      <c r="G54" s="2" t="s">
        <v>455</v>
      </c>
      <c r="H54" s="2" t="s">
        <v>456</v>
      </c>
      <c r="I54" s="2" t="s">
        <v>457</v>
      </c>
      <c r="J54" s="2" t="s">
        <v>458</v>
      </c>
      <c r="K54" s="3">
        <v>2</v>
      </c>
      <c r="L54" s="3">
        <v>82795</v>
      </c>
      <c r="M54" s="2">
        <v>12</v>
      </c>
    </row>
    <row r="55" spans="1:13">
      <c r="A55" s="2" t="s">
        <v>118</v>
      </c>
      <c r="B55" s="3">
        <v>2</v>
      </c>
      <c r="C55" s="3">
        <v>12</v>
      </c>
      <c r="D55" s="3">
        <v>12</v>
      </c>
      <c r="E55" s="3">
        <v>3</v>
      </c>
      <c r="F55" s="3">
        <v>2</v>
      </c>
      <c r="G55" s="2" t="s">
        <v>459</v>
      </c>
      <c r="H55" s="2" t="s">
        <v>460</v>
      </c>
      <c r="I55" s="2" t="s">
        <v>461</v>
      </c>
      <c r="J55" s="2" t="s">
        <v>462</v>
      </c>
      <c r="K55" s="3">
        <v>4</v>
      </c>
      <c r="L55" s="3">
        <v>25166</v>
      </c>
      <c r="M55" s="2">
        <v>11</v>
      </c>
    </row>
    <row r="56" spans="1:13">
      <c r="A56" s="2" t="s">
        <v>216</v>
      </c>
      <c r="B56" s="3">
        <v>2</v>
      </c>
      <c r="C56" s="3">
        <v>8</v>
      </c>
      <c r="D56" s="3">
        <v>8</v>
      </c>
      <c r="E56" s="3">
        <v>5</v>
      </c>
      <c r="F56" s="3">
        <v>2</v>
      </c>
      <c r="G56" s="2" t="s">
        <v>463</v>
      </c>
      <c r="H56" s="2" t="s">
        <v>464</v>
      </c>
      <c r="I56" s="2" t="s">
        <v>465</v>
      </c>
      <c r="J56" s="2" t="s">
        <v>466</v>
      </c>
      <c r="K56" s="3">
        <v>1</v>
      </c>
      <c r="L56" s="3">
        <v>42564</v>
      </c>
      <c r="M56" s="2">
        <v>4</v>
      </c>
    </row>
    <row r="57" spans="1:13">
      <c r="A57" s="2" t="s">
        <v>156</v>
      </c>
      <c r="B57" s="3">
        <v>2</v>
      </c>
      <c r="C57" s="3">
        <v>8</v>
      </c>
      <c r="D57" s="3">
        <v>8</v>
      </c>
      <c r="E57" s="3">
        <v>4</v>
      </c>
      <c r="F57" s="3">
        <v>4</v>
      </c>
      <c r="G57" s="2" t="s">
        <v>467</v>
      </c>
      <c r="H57" s="2" t="s">
        <v>453</v>
      </c>
      <c r="I57" s="2" t="s">
        <v>468</v>
      </c>
      <c r="J57" s="2" t="s">
        <v>469</v>
      </c>
      <c r="K57" s="3">
        <v>3</v>
      </c>
      <c r="L57" s="3">
        <v>87888</v>
      </c>
      <c r="M57" s="2">
        <v>20</v>
      </c>
    </row>
    <row r="58" spans="1:13">
      <c r="A58" s="2" t="s">
        <v>119</v>
      </c>
      <c r="B58" s="3">
        <v>2</v>
      </c>
      <c r="C58" s="3">
        <v>8</v>
      </c>
      <c r="D58" s="3">
        <v>8</v>
      </c>
      <c r="E58" s="3">
        <v>2</v>
      </c>
      <c r="F58" s="3">
        <v>1</v>
      </c>
      <c r="G58" s="2" t="s">
        <v>470</v>
      </c>
      <c r="H58" s="2" t="s">
        <v>471</v>
      </c>
      <c r="I58" s="2" t="s">
        <v>472</v>
      </c>
      <c r="J58" s="2" t="s">
        <v>473</v>
      </c>
      <c r="K58" s="3">
        <v>4</v>
      </c>
      <c r="L58" s="3">
        <v>87933</v>
      </c>
      <c r="M58" s="2">
        <v>1</v>
      </c>
    </row>
    <row r="59" spans="1:13">
      <c r="A59" s="2" t="s">
        <v>217</v>
      </c>
      <c r="B59" s="3">
        <v>2</v>
      </c>
      <c r="C59" s="3">
        <v>12</v>
      </c>
      <c r="D59" s="3">
        <v>12</v>
      </c>
      <c r="E59" s="3">
        <v>5</v>
      </c>
      <c r="F59" s="3">
        <v>6</v>
      </c>
      <c r="G59" s="2" t="s">
        <v>474</v>
      </c>
      <c r="H59" s="2" t="s">
        <v>475</v>
      </c>
      <c r="I59" s="2" t="s">
        <v>476</v>
      </c>
      <c r="J59" s="2" t="s">
        <v>477</v>
      </c>
      <c r="K59" s="3">
        <v>1</v>
      </c>
      <c r="L59" s="3">
        <v>17461</v>
      </c>
      <c r="M59" s="2">
        <v>3</v>
      </c>
    </row>
    <row r="60" spans="1:13">
      <c r="A60" s="2" t="s">
        <v>120</v>
      </c>
      <c r="B60" s="3">
        <v>2</v>
      </c>
      <c r="C60" s="3">
        <v>8</v>
      </c>
      <c r="D60" s="3">
        <v>8</v>
      </c>
      <c r="E60" s="3">
        <v>2</v>
      </c>
      <c r="F60" s="3">
        <v>2</v>
      </c>
      <c r="G60" s="2" t="s">
        <v>478</v>
      </c>
      <c r="H60" s="2" t="s">
        <v>479</v>
      </c>
      <c r="I60" s="2" t="s">
        <v>480</v>
      </c>
      <c r="J60" s="2" t="s">
        <v>481</v>
      </c>
      <c r="K60" s="3">
        <v>4</v>
      </c>
      <c r="L60" s="3">
        <v>23297</v>
      </c>
      <c r="M60" s="2">
        <v>10</v>
      </c>
    </row>
    <row r="61" spans="1:13">
      <c r="A61" s="2" t="s">
        <v>58</v>
      </c>
      <c r="B61" s="3">
        <v>2</v>
      </c>
      <c r="C61" s="3">
        <v>12</v>
      </c>
      <c r="D61" s="3">
        <v>12</v>
      </c>
      <c r="E61" s="3">
        <v>2</v>
      </c>
      <c r="F61" s="3">
        <v>1</v>
      </c>
      <c r="G61" s="2" t="s">
        <v>482</v>
      </c>
      <c r="H61" s="2" t="s">
        <v>483</v>
      </c>
      <c r="I61" s="2" t="s">
        <v>484</v>
      </c>
      <c r="J61" s="2" t="s">
        <v>485</v>
      </c>
      <c r="K61" s="3">
        <v>5</v>
      </c>
      <c r="L61" s="3">
        <v>26045</v>
      </c>
      <c r="M61" s="2">
        <v>8</v>
      </c>
    </row>
    <row r="62" spans="1:13">
      <c r="A62" s="2" t="s">
        <v>218</v>
      </c>
      <c r="B62" s="3">
        <v>2</v>
      </c>
      <c r="C62" s="3">
        <v>8</v>
      </c>
      <c r="D62" s="3">
        <v>8</v>
      </c>
      <c r="E62" s="3">
        <v>3</v>
      </c>
      <c r="F62" s="3">
        <v>6</v>
      </c>
      <c r="G62" s="2" t="s">
        <v>486</v>
      </c>
      <c r="H62" s="2" t="s">
        <v>487</v>
      </c>
      <c r="I62" s="2" t="s">
        <v>307</v>
      </c>
      <c r="J62" s="2" t="s">
        <v>488</v>
      </c>
      <c r="K62" s="3">
        <v>1</v>
      </c>
      <c r="L62" s="3">
        <v>26059</v>
      </c>
      <c r="M62" s="2">
        <v>4</v>
      </c>
    </row>
    <row r="63" spans="1:13">
      <c r="A63" s="2" t="s">
        <v>219</v>
      </c>
      <c r="B63" s="3">
        <v>2</v>
      </c>
      <c r="C63" s="3">
        <v>8</v>
      </c>
      <c r="D63" s="3">
        <v>8</v>
      </c>
      <c r="E63" s="3">
        <v>5</v>
      </c>
      <c r="F63" s="3">
        <v>2</v>
      </c>
      <c r="G63" s="2" t="s">
        <v>489</v>
      </c>
      <c r="H63" s="2" t="s">
        <v>335</v>
      </c>
      <c r="I63" s="2" t="s">
        <v>297</v>
      </c>
      <c r="J63" s="2" t="s">
        <v>490</v>
      </c>
      <c r="K63" s="3">
        <v>1</v>
      </c>
      <c r="L63" s="3">
        <v>27872</v>
      </c>
      <c r="M63" s="2">
        <v>21</v>
      </c>
    </row>
    <row r="64" spans="1:13">
      <c r="A64" s="2" t="s">
        <v>157</v>
      </c>
      <c r="B64" s="3">
        <v>2</v>
      </c>
      <c r="C64" s="3">
        <v>12</v>
      </c>
      <c r="D64" s="3">
        <v>12</v>
      </c>
      <c r="E64" s="3">
        <v>5</v>
      </c>
      <c r="F64" s="3">
        <v>1</v>
      </c>
      <c r="G64" s="2" t="s">
        <v>491</v>
      </c>
      <c r="H64" s="2" t="s">
        <v>492</v>
      </c>
      <c r="I64" s="2" t="s">
        <v>493</v>
      </c>
      <c r="J64" s="2" t="s">
        <v>494</v>
      </c>
      <c r="K64" s="3">
        <v>3</v>
      </c>
      <c r="L64" s="3">
        <v>58146</v>
      </c>
      <c r="M64" s="2">
        <v>18</v>
      </c>
    </row>
    <row r="65" spans="1:13">
      <c r="A65" s="2" t="s">
        <v>158</v>
      </c>
      <c r="B65" s="3">
        <v>1</v>
      </c>
      <c r="C65" s="3">
        <v>4</v>
      </c>
      <c r="D65" s="3">
        <v>5</v>
      </c>
      <c r="E65" s="3">
        <v>3</v>
      </c>
      <c r="F65" s="3">
        <v>8</v>
      </c>
      <c r="G65" s="2" t="s">
        <v>495</v>
      </c>
      <c r="H65" s="2" t="s">
        <v>496</v>
      </c>
      <c r="I65" s="2" t="s">
        <v>497</v>
      </c>
      <c r="J65" s="2" t="s">
        <v>498</v>
      </c>
      <c r="K65" s="3">
        <v>3</v>
      </c>
      <c r="L65" s="3">
        <v>96072</v>
      </c>
      <c r="M65" s="2">
        <v>22</v>
      </c>
    </row>
    <row r="66" spans="1:13">
      <c r="A66" s="2" t="s">
        <v>185</v>
      </c>
      <c r="B66" s="3">
        <v>1</v>
      </c>
      <c r="C66" s="3">
        <v>6</v>
      </c>
      <c r="D66" s="3">
        <v>13</v>
      </c>
      <c r="E66" s="3">
        <v>1</v>
      </c>
      <c r="F66" s="3">
        <v>10</v>
      </c>
      <c r="G66" s="2" t="s">
        <v>499</v>
      </c>
      <c r="H66" s="2" t="s">
        <v>500</v>
      </c>
      <c r="I66" s="2" t="s">
        <v>501</v>
      </c>
      <c r="J66" s="2" t="s">
        <v>502</v>
      </c>
      <c r="K66" s="3">
        <v>2</v>
      </c>
      <c r="L66" s="3">
        <v>100311</v>
      </c>
      <c r="M66" s="2">
        <v>20</v>
      </c>
    </row>
    <row r="67" spans="1:13">
      <c r="A67" s="2" t="s">
        <v>121</v>
      </c>
      <c r="B67" s="3">
        <v>1</v>
      </c>
      <c r="C67" s="3">
        <v>3</v>
      </c>
      <c r="D67" s="3">
        <v>21</v>
      </c>
      <c r="E67" s="3">
        <v>4</v>
      </c>
      <c r="F67" s="3">
        <v>6</v>
      </c>
      <c r="G67" s="2" t="s">
        <v>503</v>
      </c>
      <c r="H67" s="2" t="s">
        <v>504</v>
      </c>
      <c r="I67" s="2" t="s">
        <v>505</v>
      </c>
      <c r="J67" s="2" t="s">
        <v>506</v>
      </c>
      <c r="K67" s="3">
        <v>4</v>
      </c>
      <c r="L67" s="3">
        <v>87672</v>
      </c>
      <c r="M67" s="2">
        <v>7</v>
      </c>
    </row>
    <row r="68" spans="1:13">
      <c r="A68" s="2" t="s">
        <v>122</v>
      </c>
      <c r="B68" s="3">
        <v>1</v>
      </c>
      <c r="C68" s="3">
        <v>6</v>
      </c>
      <c r="D68" s="3">
        <v>13</v>
      </c>
      <c r="E68" s="3">
        <v>4</v>
      </c>
      <c r="F68" s="3">
        <v>2</v>
      </c>
      <c r="G68" s="2" t="s">
        <v>507</v>
      </c>
      <c r="H68" s="2" t="s">
        <v>508</v>
      </c>
      <c r="I68" s="2" t="s">
        <v>509</v>
      </c>
      <c r="J68" s="2" t="s">
        <v>510</v>
      </c>
      <c r="K68" s="3">
        <v>4</v>
      </c>
      <c r="L68" s="3">
        <v>84444</v>
      </c>
      <c r="M68" s="2">
        <v>1</v>
      </c>
    </row>
    <row r="69" spans="1:13">
      <c r="A69" s="2" t="s">
        <v>123</v>
      </c>
      <c r="B69" s="3">
        <v>1</v>
      </c>
      <c r="C69" s="3">
        <v>6</v>
      </c>
      <c r="D69" s="3">
        <v>13</v>
      </c>
      <c r="E69" s="3">
        <v>2</v>
      </c>
      <c r="F69" s="3">
        <v>7</v>
      </c>
      <c r="G69" s="2" t="s">
        <v>511</v>
      </c>
      <c r="H69" s="2" t="s">
        <v>512</v>
      </c>
      <c r="I69" s="2" t="s">
        <v>513</v>
      </c>
      <c r="J69" s="2" t="s">
        <v>514</v>
      </c>
      <c r="K69" s="3">
        <v>4</v>
      </c>
      <c r="L69" s="3">
        <v>96499</v>
      </c>
      <c r="M69" s="2">
        <v>10</v>
      </c>
    </row>
    <row r="70" spans="1:13">
      <c r="A70" s="2" t="s">
        <v>61</v>
      </c>
      <c r="B70" s="3">
        <v>1</v>
      </c>
      <c r="C70" s="3">
        <v>4</v>
      </c>
      <c r="D70" s="3">
        <v>5</v>
      </c>
      <c r="E70" s="3">
        <v>2</v>
      </c>
      <c r="F70" s="3">
        <v>1</v>
      </c>
      <c r="G70" s="2" t="s">
        <v>515</v>
      </c>
      <c r="H70" s="2" t="s">
        <v>516</v>
      </c>
      <c r="I70" s="2" t="s">
        <v>517</v>
      </c>
      <c r="J70" s="2" t="s">
        <v>518</v>
      </c>
      <c r="K70" s="3">
        <v>5</v>
      </c>
      <c r="L70" s="3">
        <v>67954</v>
      </c>
      <c r="M70" s="2">
        <v>1</v>
      </c>
    </row>
    <row r="71" spans="1:13">
      <c r="A71" s="2" t="s">
        <v>186</v>
      </c>
      <c r="B71" s="3">
        <v>1</v>
      </c>
      <c r="C71" s="3">
        <v>3</v>
      </c>
      <c r="D71" s="3">
        <v>21</v>
      </c>
      <c r="E71" s="3">
        <v>1</v>
      </c>
      <c r="F71" s="3">
        <v>10</v>
      </c>
      <c r="G71" s="2" t="s">
        <v>519</v>
      </c>
      <c r="H71" s="2" t="s">
        <v>520</v>
      </c>
      <c r="I71" s="2" t="s">
        <v>521</v>
      </c>
      <c r="J71" s="2" t="s">
        <v>522</v>
      </c>
      <c r="K71" s="3">
        <v>2</v>
      </c>
      <c r="L71" s="3">
        <v>72979</v>
      </c>
      <c r="M71" s="2">
        <v>2</v>
      </c>
    </row>
    <row r="72" spans="1:13">
      <c r="A72" s="2" t="s">
        <v>220</v>
      </c>
      <c r="B72" s="3">
        <v>1</v>
      </c>
      <c r="C72" s="3">
        <v>4</v>
      </c>
      <c r="D72" s="3">
        <v>5</v>
      </c>
      <c r="E72" s="3">
        <v>3</v>
      </c>
      <c r="F72" s="3">
        <v>8</v>
      </c>
      <c r="G72" s="2" t="s">
        <v>523</v>
      </c>
      <c r="H72" s="2" t="s">
        <v>524</v>
      </c>
      <c r="I72" s="2" t="s">
        <v>445</v>
      </c>
      <c r="J72" s="2" t="s">
        <v>525</v>
      </c>
      <c r="K72" s="3">
        <v>1</v>
      </c>
      <c r="L72" s="3">
        <v>73160</v>
      </c>
      <c r="M72" s="2">
        <v>12</v>
      </c>
    </row>
    <row r="73" spans="1:13">
      <c r="A73" s="2" t="s">
        <v>159</v>
      </c>
      <c r="B73" s="3">
        <v>1</v>
      </c>
      <c r="C73" s="3">
        <v>4</v>
      </c>
      <c r="D73" s="3">
        <v>5</v>
      </c>
      <c r="E73" s="3">
        <v>4</v>
      </c>
      <c r="F73" s="3">
        <v>2</v>
      </c>
      <c r="G73" s="2" t="s">
        <v>526</v>
      </c>
      <c r="H73" s="2" t="s">
        <v>527</v>
      </c>
      <c r="I73" s="2" t="s">
        <v>528</v>
      </c>
      <c r="J73" s="2" t="s">
        <v>529</v>
      </c>
      <c r="K73" s="3">
        <v>3</v>
      </c>
      <c r="L73" s="3">
        <v>69461</v>
      </c>
      <c r="M73" s="2">
        <v>8</v>
      </c>
    </row>
    <row r="74" spans="1:13">
      <c r="A74" s="2" t="s">
        <v>187</v>
      </c>
      <c r="B74" s="3">
        <v>1</v>
      </c>
      <c r="C74" s="3">
        <v>3</v>
      </c>
      <c r="D74" s="3">
        <v>21</v>
      </c>
      <c r="E74" s="3">
        <v>1</v>
      </c>
      <c r="F74" s="3">
        <v>9</v>
      </c>
      <c r="G74" s="2" t="s">
        <v>299</v>
      </c>
      <c r="H74" s="2" t="s">
        <v>300</v>
      </c>
      <c r="I74" s="2" t="s">
        <v>530</v>
      </c>
      <c r="J74" s="2" t="s">
        <v>531</v>
      </c>
      <c r="K74" s="3">
        <v>2</v>
      </c>
      <c r="L74" s="3">
        <v>108534</v>
      </c>
      <c r="M74" s="2">
        <v>2</v>
      </c>
    </row>
    <row r="75" spans="1:13">
      <c r="A75" s="2" t="s">
        <v>160</v>
      </c>
      <c r="B75" s="3">
        <v>1</v>
      </c>
      <c r="C75" s="3">
        <v>3</v>
      </c>
      <c r="D75" s="3">
        <v>21</v>
      </c>
      <c r="E75" s="3">
        <v>4</v>
      </c>
      <c r="F75" s="3">
        <v>3</v>
      </c>
      <c r="G75" s="2" t="s">
        <v>532</v>
      </c>
      <c r="H75" s="2" t="s">
        <v>533</v>
      </c>
      <c r="I75" s="2" t="s">
        <v>534</v>
      </c>
      <c r="J75" s="2" t="s">
        <v>535</v>
      </c>
      <c r="K75" s="3">
        <v>3</v>
      </c>
      <c r="L75" s="3">
        <v>83539</v>
      </c>
      <c r="M75" s="2">
        <v>21</v>
      </c>
    </row>
    <row r="76" spans="1:13">
      <c r="A76" s="2" t="s">
        <v>188</v>
      </c>
      <c r="B76" s="3">
        <v>1</v>
      </c>
      <c r="C76" s="3">
        <v>6</v>
      </c>
      <c r="D76" s="3">
        <v>13</v>
      </c>
      <c r="E76" s="3">
        <v>4</v>
      </c>
      <c r="F76" s="3">
        <v>2</v>
      </c>
      <c r="G76" s="2" t="s">
        <v>536</v>
      </c>
      <c r="H76" s="2" t="s">
        <v>537</v>
      </c>
      <c r="I76" s="2" t="s">
        <v>538</v>
      </c>
      <c r="J76" s="2" t="s">
        <v>539</v>
      </c>
      <c r="K76" s="3">
        <v>2</v>
      </c>
      <c r="L76" s="3">
        <v>102302</v>
      </c>
      <c r="M76" s="2">
        <v>12</v>
      </c>
    </row>
    <row r="77" spans="1:13">
      <c r="A77" s="2" t="s">
        <v>221</v>
      </c>
      <c r="B77" s="3">
        <v>1</v>
      </c>
      <c r="C77" s="3">
        <v>6</v>
      </c>
      <c r="D77" s="3">
        <v>13</v>
      </c>
      <c r="E77" s="3">
        <v>1</v>
      </c>
      <c r="F77" s="3">
        <v>9</v>
      </c>
      <c r="G77" s="2" t="s">
        <v>540</v>
      </c>
      <c r="H77" s="2" t="s">
        <v>541</v>
      </c>
      <c r="I77" s="2" t="s">
        <v>542</v>
      </c>
      <c r="J77" s="2" t="s">
        <v>543</v>
      </c>
      <c r="K77" s="3">
        <v>1</v>
      </c>
      <c r="L77" s="3">
        <v>81879</v>
      </c>
      <c r="M77" s="2">
        <v>18</v>
      </c>
    </row>
    <row r="78" spans="1:13">
      <c r="A78" s="2" t="s">
        <v>63</v>
      </c>
      <c r="B78" s="3">
        <v>1</v>
      </c>
      <c r="C78" s="3">
        <v>3</v>
      </c>
      <c r="D78" s="3">
        <v>21</v>
      </c>
      <c r="E78" s="3">
        <v>1</v>
      </c>
      <c r="F78" s="3">
        <v>10</v>
      </c>
      <c r="G78" s="2" t="s">
        <v>544</v>
      </c>
      <c r="H78" s="2" t="s">
        <v>545</v>
      </c>
      <c r="I78" s="2" t="s">
        <v>546</v>
      </c>
      <c r="J78" s="2" t="s">
        <v>547</v>
      </c>
      <c r="K78" s="3">
        <v>5</v>
      </c>
      <c r="L78" s="3">
        <v>95837</v>
      </c>
      <c r="M78" s="2">
        <v>7</v>
      </c>
    </row>
    <row r="79" spans="1:13">
      <c r="A79" s="2" t="s">
        <v>67</v>
      </c>
      <c r="B79" s="3">
        <v>1</v>
      </c>
      <c r="C79" s="3">
        <v>6</v>
      </c>
      <c r="D79" s="3">
        <v>13</v>
      </c>
      <c r="E79" s="3">
        <v>4</v>
      </c>
      <c r="F79" s="3">
        <v>6</v>
      </c>
      <c r="G79" s="2" t="s">
        <v>548</v>
      </c>
      <c r="H79" s="2" t="s">
        <v>549</v>
      </c>
      <c r="I79" s="2" t="s">
        <v>550</v>
      </c>
      <c r="J79" s="2" t="s">
        <v>551</v>
      </c>
      <c r="K79" s="3">
        <v>5</v>
      </c>
      <c r="L79" s="3">
        <v>55340</v>
      </c>
      <c r="M79" s="2">
        <v>11</v>
      </c>
    </row>
    <row r="80" spans="1:13">
      <c r="A80" s="2" t="s">
        <v>68</v>
      </c>
      <c r="B80" s="3">
        <v>1</v>
      </c>
      <c r="C80" s="3">
        <v>3</v>
      </c>
      <c r="D80" s="3">
        <v>21</v>
      </c>
      <c r="E80" s="3">
        <v>1</v>
      </c>
      <c r="F80" s="3">
        <v>10</v>
      </c>
      <c r="G80" s="2" t="s">
        <v>552</v>
      </c>
      <c r="H80" s="2" t="s">
        <v>553</v>
      </c>
      <c r="I80" s="2" t="s">
        <v>554</v>
      </c>
      <c r="J80" s="2" t="s">
        <v>555</v>
      </c>
      <c r="K80" s="3">
        <v>5</v>
      </c>
      <c r="L80" s="3">
        <v>71100</v>
      </c>
      <c r="M80" s="2">
        <v>5</v>
      </c>
    </row>
    <row r="81" spans="1:13">
      <c r="A81" s="2" t="s">
        <v>161</v>
      </c>
      <c r="B81" s="3">
        <v>1</v>
      </c>
      <c r="C81" s="3">
        <v>6</v>
      </c>
      <c r="D81" s="3">
        <v>13</v>
      </c>
      <c r="E81" s="3">
        <v>2</v>
      </c>
      <c r="F81" s="3">
        <v>7</v>
      </c>
      <c r="G81" s="2" t="s">
        <v>556</v>
      </c>
      <c r="H81" s="2" t="s">
        <v>557</v>
      </c>
      <c r="I81" s="2" t="s">
        <v>558</v>
      </c>
      <c r="J81" s="2" t="s">
        <v>559</v>
      </c>
      <c r="K81" s="3">
        <v>3</v>
      </c>
      <c r="L81" s="3">
        <v>100948</v>
      </c>
      <c r="M81" s="2">
        <v>9</v>
      </c>
    </row>
    <row r="82" spans="1:13">
      <c r="A82" s="2" t="s">
        <v>69</v>
      </c>
      <c r="B82" s="3">
        <v>1</v>
      </c>
      <c r="C82" s="3">
        <v>6</v>
      </c>
      <c r="D82" s="3">
        <v>13</v>
      </c>
      <c r="E82" s="3">
        <v>4</v>
      </c>
      <c r="F82" s="3">
        <v>6</v>
      </c>
      <c r="G82" s="2" t="s">
        <v>560</v>
      </c>
      <c r="H82" s="2" t="s">
        <v>561</v>
      </c>
      <c r="I82" s="2" t="s">
        <v>562</v>
      </c>
      <c r="J82" s="2" t="s">
        <v>563</v>
      </c>
      <c r="K82" s="3">
        <v>5</v>
      </c>
      <c r="L82" s="3">
        <v>113267</v>
      </c>
      <c r="M82" s="2">
        <v>14</v>
      </c>
    </row>
    <row r="83" spans="1:13">
      <c r="A83" s="2" t="s">
        <v>162</v>
      </c>
      <c r="B83" s="3">
        <v>1</v>
      </c>
      <c r="C83" s="3">
        <v>3</v>
      </c>
      <c r="D83" s="3">
        <v>21</v>
      </c>
      <c r="E83" s="3">
        <v>2</v>
      </c>
      <c r="F83" s="3">
        <v>7</v>
      </c>
      <c r="G83" s="2" t="s">
        <v>564</v>
      </c>
      <c r="H83" s="2" t="s">
        <v>565</v>
      </c>
      <c r="I83" s="2" t="s">
        <v>566</v>
      </c>
      <c r="J83" s="2" t="s">
        <v>550</v>
      </c>
      <c r="K83" s="3">
        <v>3</v>
      </c>
      <c r="L83" s="3">
        <v>93983</v>
      </c>
      <c r="M83" s="2">
        <v>9</v>
      </c>
    </row>
    <row r="84" spans="1:13">
      <c r="A84" s="2" t="s">
        <v>70</v>
      </c>
      <c r="B84" s="3">
        <v>1</v>
      </c>
      <c r="C84" s="3">
        <v>3</v>
      </c>
      <c r="D84" s="3">
        <v>21</v>
      </c>
      <c r="E84" s="3">
        <v>3</v>
      </c>
      <c r="F84" s="3">
        <v>8</v>
      </c>
      <c r="G84" s="2" t="s">
        <v>567</v>
      </c>
      <c r="H84" s="2" t="s">
        <v>568</v>
      </c>
      <c r="I84" s="2" t="s">
        <v>569</v>
      </c>
      <c r="J84" s="2" t="s">
        <v>570</v>
      </c>
      <c r="K84" s="3">
        <v>5</v>
      </c>
      <c r="L84" s="3">
        <v>110308</v>
      </c>
      <c r="M84" s="2">
        <v>21</v>
      </c>
    </row>
    <row r="85" spans="1:13">
      <c r="A85" s="2" t="s">
        <v>124</v>
      </c>
      <c r="B85" s="3">
        <v>1</v>
      </c>
      <c r="C85" s="3">
        <v>3</v>
      </c>
      <c r="D85" s="3">
        <v>21</v>
      </c>
      <c r="E85" s="3">
        <v>4</v>
      </c>
      <c r="F85" s="3">
        <v>6</v>
      </c>
      <c r="G85" s="2" t="s">
        <v>571</v>
      </c>
      <c r="H85" s="2" t="s">
        <v>572</v>
      </c>
      <c r="I85" s="2" t="s">
        <v>573</v>
      </c>
      <c r="J85" s="2" t="s">
        <v>574</v>
      </c>
      <c r="K85" s="3">
        <v>4</v>
      </c>
      <c r="L85" s="3">
        <v>92592</v>
      </c>
      <c r="M85" s="2">
        <v>22</v>
      </c>
    </row>
    <row r="86" spans="1:13">
      <c r="A86" s="2" t="s">
        <v>125</v>
      </c>
      <c r="B86" s="3">
        <v>1</v>
      </c>
      <c r="C86" s="3">
        <v>6</v>
      </c>
      <c r="D86" s="3">
        <v>13</v>
      </c>
      <c r="E86" s="3">
        <v>3</v>
      </c>
      <c r="F86" s="3">
        <v>8</v>
      </c>
      <c r="G86" s="2" t="s">
        <v>575</v>
      </c>
      <c r="H86" s="2" t="s">
        <v>576</v>
      </c>
      <c r="I86" s="2" t="s">
        <v>577</v>
      </c>
      <c r="J86" s="2" t="s">
        <v>578</v>
      </c>
      <c r="K86" s="3">
        <v>4</v>
      </c>
      <c r="L86" s="3">
        <v>65907</v>
      </c>
      <c r="M86" s="2">
        <v>4</v>
      </c>
    </row>
    <row r="87" spans="1:13">
      <c r="A87" s="2" t="s">
        <v>189</v>
      </c>
      <c r="B87" s="3">
        <v>1</v>
      </c>
      <c r="C87" s="3">
        <v>3</v>
      </c>
      <c r="D87" s="3">
        <v>21</v>
      </c>
      <c r="E87" s="3">
        <v>2</v>
      </c>
      <c r="F87" s="3">
        <v>1</v>
      </c>
      <c r="G87" s="2" t="s">
        <v>579</v>
      </c>
      <c r="H87" s="2" t="s">
        <v>481</v>
      </c>
      <c r="I87" s="2" t="s">
        <v>580</v>
      </c>
      <c r="J87" s="2" t="s">
        <v>581</v>
      </c>
      <c r="K87" s="3">
        <v>2</v>
      </c>
      <c r="L87" s="3">
        <v>95160</v>
      </c>
      <c r="M87" s="2">
        <v>3</v>
      </c>
    </row>
    <row r="88" spans="1:13">
      <c r="A88" s="2" t="s">
        <v>222</v>
      </c>
      <c r="B88" s="3">
        <v>1</v>
      </c>
      <c r="C88" s="3">
        <v>6</v>
      </c>
      <c r="D88" s="3">
        <v>13</v>
      </c>
      <c r="E88" s="3">
        <v>2</v>
      </c>
      <c r="F88" s="3">
        <v>7</v>
      </c>
      <c r="G88" s="2" t="s">
        <v>582</v>
      </c>
      <c r="H88" s="2" t="s">
        <v>583</v>
      </c>
      <c r="I88" s="2" t="s">
        <v>584</v>
      </c>
      <c r="J88" s="2" t="s">
        <v>585</v>
      </c>
      <c r="K88" s="3">
        <v>1</v>
      </c>
      <c r="L88" s="3">
        <v>77223</v>
      </c>
      <c r="M88" s="2">
        <v>1</v>
      </c>
    </row>
    <row r="89" spans="1:13">
      <c r="A89" s="2" t="s">
        <v>71</v>
      </c>
      <c r="B89" s="3">
        <v>1</v>
      </c>
      <c r="C89" s="3">
        <v>4</v>
      </c>
      <c r="D89" s="3">
        <v>5</v>
      </c>
      <c r="E89" s="3">
        <v>4</v>
      </c>
      <c r="F89" s="3">
        <v>6</v>
      </c>
      <c r="G89" s="2" t="s">
        <v>586</v>
      </c>
      <c r="H89" s="2" t="s">
        <v>587</v>
      </c>
      <c r="I89" s="2" t="s">
        <v>588</v>
      </c>
      <c r="J89" s="2" t="s">
        <v>589</v>
      </c>
      <c r="K89" s="3">
        <v>5</v>
      </c>
      <c r="L89" s="3">
        <v>45458</v>
      </c>
      <c r="M89" s="2">
        <v>5</v>
      </c>
    </row>
    <row r="90" spans="1:13">
      <c r="A90" s="2" t="s">
        <v>126</v>
      </c>
      <c r="B90" s="3">
        <v>1</v>
      </c>
      <c r="C90" s="3">
        <v>6</v>
      </c>
      <c r="D90" s="3">
        <v>13</v>
      </c>
      <c r="E90" s="3">
        <v>1</v>
      </c>
      <c r="F90" s="3">
        <v>9</v>
      </c>
      <c r="G90" s="2" t="s">
        <v>590</v>
      </c>
      <c r="H90" s="2" t="s">
        <v>591</v>
      </c>
      <c r="I90" s="2" t="s">
        <v>592</v>
      </c>
      <c r="J90" s="2" t="s">
        <v>593</v>
      </c>
      <c r="K90" s="3">
        <v>4</v>
      </c>
      <c r="L90" s="3">
        <v>60349</v>
      </c>
      <c r="M90" s="2">
        <v>3</v>
      </c>
    </row>
    <row r="91" spans="1:13">
      <c r="A91" s="2" t="s">
        <v>223</v>
      </c>
      <c r="B91" s="3">
        <v>1</v>
      </c>
      <c r="C91" s="3">
        <v>3</v>
      </c>
      <c r="D91" s="3">
        <v>21</v>
      </c>
      <c r="E91" s="3">
        <v>4</v>
      </c>
      <c r="F91" s="3">
        <v>6</v>
      </c>
      <c r="G91" s="2" t="s">
        <v>489</v>
      </c>
      <c r="H91" s="2" t="s">
        <v>335</v>
      </c>
      <c r="I91" s="2" t="s">
        <v>336</v>
      </c>
      <c r="J91" s="2" t="s">
        <v>490</v>
      </c>
      <c r="K91" s="3">
        <v>1</v>
      </c>
      <c r="L91" s="3">
        <v>52724</v>
      </c>
      <c r="M91" s="2">
        <v>9</v>
      </c>
    </row>
    <row r="92" spans="1:13">
      <c r="A92" s="2" t="s">
        <v>127</v>
      </c>
      <c r="B92" s="3">
        <v>1</v>
      </c>
      <c r="C92" s="3">
        <v>3</v>
      </c>
      <c r="D92" s="3">
        <v>21</v>
      </c>
      <c r="E92" s="3">
        <v>3</v>
      </c>
      <c r="F92" s="3">
        <v>8</v>
      </c>
      <c r="G92" s="2" t="s">
        <v>594</v>
      </c>
      <c r="H92" s="2" t="s">
        <v>389</v>
      </c>
      <c r="I92" s="2" t="s">
        <v>595</v>
      </c>
      <c r="J92" s="2" t="s">
        <v>596</v>
      </c>
      <c r="K92" s="3">
        <v>4</v>
      </c>
      <c r="L92" s="3">
        <v>115162</v>
      </c>
      <c r="M92" s="2">
        <v>9</v>
      </c>
    </row>
    <row r="93" spans="1:13">
      <c r="A93" s="2" t="s">
        <v>74</v>
      </c>
      <c r="B93" s="3">
        <v>2</v>
      </c>
      <c r="C93" s="3">
        <v>14</v>
      </c>
      <c r="D93" s="3">
        <v>2</v>
      </c>
      <c r="E93" s="3">
        <v>3</v>
      </c>
      <c r="F93" s="3">
        <v>2</v>
      </c>
      <c r="G93" s="2" t="s">
        <v>377</v>
      </c>
      <c r="H93" s="2" t="s">
        <v>379</v>
      </c>
      <c r="I93" s="2" t="s">
        <v>597</v>
      </c>
      <c r="J93" s="2" t="s">
        <v>598</v>
      </c>
      <c r="K93" s="3">
        <v>5</v>
      </c>
      <c r="L93" s="3">
        <v>57429</v>
      </c>
      <c r="M93" s="2">
        <v>6</v>
      </c>
    </row>
    <row r="94" spans="1:13">
      <c r="A94" s="2" t="s">
        <v>128</v>
      </c>
      <c r="B94" s="3">
        <v>2</v>
      </c>
      <c r="C94" s="3">
        <v>14</v>
      </c>
      <c r="D94" s="3">
        <v>2</v>
      </c>
      <c r="E94" s="3">
        <v>4</v>
      </c>
      <c r="F94" s="3">
        <v>2</v>
      </c>
      <c r="G94" s="2" t="s">
        <v>599</v>
      </c>
      <c r="H94" s="2" t="s">
        <v>600</v>
      </c>
      <c r="I94" s="2" t="s">
        <v>601</v>
      </c>
      <c r="J94" s="2" t="s">
        <v>602</v>
      </c>
      <c r="K94" s="3">
        <v>4</v>
      </c>
      <c r="L94" s="3">
        <v>30710</v>
      </c>
      <c r="M94" s="2">
        <v>10</v>
      </c>
    </row>
    <row r="95" spans="1:13">
      <c r="A95" s="2" t="s">
        <v>190</v>
      </c>
      <c r="B95" s="3">
        <v>2</v>
      </c>
      <c r="C95" s="3">
        <v>11</v>
      </c>
      <c r="D95" s="3">
        <v>11</v>
      </c>
      <c r="E95" s="3">
        <v>2</v>
      </c>
      <c r="F95" s="3">
        <v>5</v>
      </c>
      <c r="G95" s="2" t="s">
        <v>603</v>
      </c>
      <c r="H95" s="2" t="s">
        <v>604</v>
      </c>
      <c r="I95" s="2" t="s">
        <v>605</v>
      </c>
      <c r="J95" s="2" t="s">
        <v>606</v>
      </c>
      <c r="K95" s="3">
        <v>2</v>
      </c>
      <c r="L95" s="3">
        <v>47995</v>
      </c>
      <c r="M95" s="2">
        <v>1</v>
      </c>
    </row>
    <row r="96" spans="1:13">
      <c r="A96" s="2" t="s">
        <v>163</v>
      </c>
      <c r="B96" s="3">
        <v>2</v>
      </c>
      <c r="C96" s="3">
        <v>11</v>
      </c>
      <c r="D96" s="3">
        <v>11</v>
      </c>
      <c r="E96" s="3">
        <v>3</v>
      </c>
      <c r="F96" s="3">
        <v>6</v>
      </c>
      <c r="G96" s="2" t="s">
        <v>607</v>
      </c>
      <c r="H96" s="2" t="s">
        <v>608</v>
      </c>
      <c r="I96" s="2" t="s">
        <v>609</v>
      </c>
      <c r="J96" s="2" t="s">
        <v>610</v>
      </c>
      <c r="K96" s="3">
        <v>3</v>
      </c>
      <c r="L96" s="3">
        <v>15212</v>
      </c>
      <c r="M96" s="2">
        <v>14</v>
      </c>
    </row>
    <row r="97" spans="1:13">
      <c r="A97" s="2" t="s">
        <v>129</v>
      </c>
      <c r="B97" s="3">
        <v>2</v>
      </c>
      <c r="C97" s="3">
        <v>14</v>
      </c>
      <c r="D97" s="3">
        <v>2</v>
      </c>
      <c r="E97" s="3">
        <v>3</v>
      </c>
      <c r="F97" s="3">
        <v>3</v>
      </c>
      <c r="G97" s="2" t="s">
        <v>611</v>
      </c>
      <c r="H97" s="2" t="s">
        <v>612</v>
      </c>
      <c r="I97" s="2" t="s">
        <v>613</v>
      </c>
      <c r="J97" s="2" t="s">
        <v>614</v>
      </c>
      <c r="K97" s="3">
        <v>4</v>
      </c>
      <c r="L97" s="3">
        <v>22816</v>
      </c>
      <c r="M97" s="2">
        <v>19</v>
      </c>
    </row>
    <row r="98" spans="1:13">
      <c r="A98" s="2" t="s">
        <v>76</v>
      </c>
      <c r="B98" s="3">
        <v>2</v>
      </c>
      <c r="C98" s="3">
        <v>14</v>
      </c>
      <c r="D98" s="3">
        <v>2</v>
      </c>
      <c r="E98" s="3">
        <v>5</v>
      </c>
      <c r="F98" s="3">
        <v>5</v>
      </c>
      <c r="G98" s="2" t="s">
        <v>615</v>
      </c>
      <c r="H98" s="2" t="s">
        <v>616</v>
      </c>
      <c r="I98" s="2" t="s">
        <v>405</v>
      </c>
      <c r="J98" s="2" t="s">
        <v>407</v>
      </c>
      <c r="K98" s="3">
        <v>5</v>
      </c>
      <c r="L98" s="3">
        <v>33402</v>
      </c>
      <c r="M98" s="2">
        <v>6</v>
      </c>
    </row>
    <row r="99" spans="1:13">
      <c r="A99" s="2" t="s">
        <v>191</v>
      </c>
      <c r="B99" s="3">
        <v>2</v>
      </c>
      <c r="C99" s="3">
        <v>11</v>
      </c>
      <c r="D99" s="3">
        <v>11</v>
      </c>
      <c r="E99" s="3">
        <v>2</v>
      </c>
      <c r="F99" s="3">
        <v>4</v>
      </c>
      <c r="G99" s="2" t="s">
        <v>617</v>
      </c>
      <c r="H99" s="2" t="s">
        <v>618</v>
      </c>
      <c r="I99" s="2" t="s">
        <v>619</v>
      </c>
      <c r="J99" s="2" t="s">
        <v>620</v>
      </c>
      <c r="K99" s="3">
        <v>2</v>
      </c>
      <c r="L99" s="3">
        <v>47277</v>
      </c>
      <c r="M99" s="2">
        <v>11</v>
      </c>
    </row>
    <row r="100" spans="1:13">
      <c r="A100" s="2" t="s">
        <v>224</v>
      </c>
      <c r="B100" s="3">
        <v>2</v>
      </c>
      <c r="C100" s="3">
        <v>14</v>
      </c>
      <c r="D100" s="3">
        <v>2</v>
      </c>
      <c r="E100" s="3">
        <v>5</v>
      </c>
      <c r="F100" s="3">
        <v>1</v>
      </c>
      <c r="G100" s="2" t="s">
        <v>621</v>
      </c>
      <c r="H100" s="2" t="s">
        <v>622</v>
      </c>
      <c r="I100" s="2" t="s">
        <v>623</v>
      </c>
      <c r="J100" s="2" t="s">
        <v>624</v>
      </c>
      <c r="K100" s="3">
        <v>1</v>
      </c>
      <c r="L100" s="3">
        <v>51361</v>
      </c>
      <c r="M100" s="2">
        <v>19</v>
      </c>
    </row>
    <row r="101" spans="1:13">
      <c r="A101" s="2" t="s">
        <v>79</v>
      </c>
      <c r="B101" s="3">
        <v>2</v>
      </c>
      <c r="C101" s="3">
        <v>11</v>
      </c>
      <c r="D101" s="3">
        <v>11</v>
      </c>
      <c r="E101" s="3">
        <v>2</v>
      </c>
      <c r="F101" s="3">
        <v>4</v>
      </c>
      <c r="G101" s="2" t="s">
        <v>625</v>
      </c>
      <c r="H101" s="2" t="s">
        <v>626</v>
      </c>
      <c r="I101" s="2" t="s">
        <v>627</v>
      </c>
      <c r="J101" s="2" t="s">
        <v>628</v>
      </c>
      <c r="K101" s="3">
        <v>5</v>
      </c>
      <c r="L101" s="3">
        <v>57381</v>
      </c>
      <c r="M101" s="2">
        <v>9</v>
      </c>
    </row>
    <row r="102" spans="1:13">
      <c r="A102" s="2" t="s">
        <v>81</v>
      </c>
      <c r="B102" s="3">
        <v>2</v>
      </c>
      <c r="C102" s="3">
        <v>11</v>
      </c>
      <c r="D102" s="3">
        <v>11</v>
      </c>
      <c r="E102" s="3">
        <v>3</v>
      </c>
      <c r="F102" s="3">
        <v>1</v>
      </c>
      <c r="G102" s="2" t="s">
        <v>629</v>
      </c>
      <c r="H102" s="2" t="s">
        <v>630</v>
      </c>
      <c r="I102" s="2" t="s">
        <v>631</v>
      </c>
      <c r="J102" s="2" t="s">
        <v>632</v>
      </c>
      <c r="K102" s="3">
        <v>5</v>
      </c>
      <c r="L102" s="3">
        <v>28161</v>
      </c>
      <c r="M102" s="2">
        <v>1</v>
      </c>
    </row>
    <row r="103" spans="1:13">
      <c r="A103" s="2" t="s">
        <v>225</v>
      </c>
      <c r="B103" s="3">
        <v>2</v>
      </c>
      <c r="C103" s="3">
        <v>14</v>
      </c>
      <c r="D103" s="3">
        <v>2</v>
      </c>
      <c r="E103" s="3">
        <v>3</v>
      </c>
      <c r="F103" s="3">
        <v>4</v>
      </c>
      <c r="G103" s="2" t="s">
        <v>633</v>
      </c>
      <c r="H103" s="2" t="s">
        <v>429</v>
      </c>
      <c r="I103" s="2" t="s">
        <v>634</v>
      </c>
      <c r="J103" s="2" t="s">
        <v>383</v>
      </c>
      <c r="K103" s="3">
        <v>1</v>
      </c>
      <c r="L103" s="3">
        <v>68987</v>
      </c>
      <c r="M103" s="2">
        <v>10</v>
      </c>
    </row>
    <row r="104" spans="1:13">
      <c r="A104" s="2" t="s">
        <v>84</v>
      </c>
      <c r="B104" s="3">
        <v>1</v>
      </c>
      <c r="C104" s="3">
        <v>9</v>
      </c>
      <c r="D104" s="3">
        <v>7</v>
      </c>
      <c r="E104" s="3">
        <v>3</v>
      </c>
      <c r="F104" s="3">
        <v>5</v>
      </c>
      <c r="G104" s="2" t="s">
        <v>635</v>
      </c>
      <c r="H104" s="2" t="s">
        <v>636</v>
      </c>
      <c r="I104" s="2" t="s">
        <v>637</v>
      </c>
      <c r="J104" s="2" t="s">
        <v>638</v>
      </c>
      <c r="K104" s="3">
        <v>5</v>
      </c>
      <c r="L104" s="3">
        <v>100663</v>
      </c>
      <c r="M104" s="2">
        <v>5</v>
      </c>
    </row>
    <row r="105" spans="1:13">
      <c r="A105" s="2" t="s">
        <v>86</v>
      </c>
      <c r="B105" s="3">
        <v>1</v>
      </c>
      <c r="C105" s="3">
        <v>9</v>
      </c>
      <c r="D105" s="3">
        <v>3</v>
      </c>
      <c r="E105" s="3">
        <v>4</v>
      </c>
      <c r="F105" s="3">
        <v>6</v>
      </c>
      <c r="G105" s="2" t="s">
        <v>639</v>
      </c>
      <c r="H105" s="2" t="s">
        <v>640</v>
      </c>
      <c r="I105" s="2" t="s">
        <v>641</v>
      </c>
      <c r="J105" s="2" t="s">
        <v>642</v>
      </c>
      <c r="K105" s="3">
        <v>5</v>
      </c>
      <c r="L105" s="3">
        <v>107793</v>
      </c>
      <c r="M105" s="2">
        <v>22</v>
      </c>
    </row>
    <row r="106" spans="1:13">
      <c r="A106" s="2" t="s">
        <v>226</v>
      </c>
      <c r="B106" s="3">
        <v>1</v>
      </c>
      <c r="C106" s="3">
        <v>9</v>
      </c>
      <c r="D106" s="3">
        <v>3</v>
      </c>
      <c r="E106" s="3">
        <v>1</v>
      </c>
      <c r="F106" s="3">
        <v>9</v>
      </c>
      <c r="G106" s="2" t="s">
        <v>643</v>
      </c>
      <c r="H106" s="2" t="s">
        <v>644</v>
      </c>
      <c r="I106" s="2" t="s">
        <v>645</v>
      </c>
      <c r="J106" s="2" t="s">
        <v>646</v>
      </c>
      <c r="K106" s="3">
        <v>1</v>
      </c>
      <c r="L106" s="3">
        <v>57087</v>
      </c>
      <c r="M106" s="2">
        <v>7</v>
      </c>
    </row>
    <row r="107" spans="1:13">
      <c r="A107" s="2" t="s">
        <v>192</v>
      </c>
      <c r="B107" s="3">
        <v>1</v>
      </c>
      <c r="C107" s="3">
        <v>9</v>
      </c>
      <c r="D107" s="3">
        <v>3</v>
      </c>
      <c r="E107" s="3">
        <v>4</v>
      </c>
      <c r="F107" s="3">
        <v>2</v>
      </c>
      <c r="G107" s="2" t="s">
        <v>647</v>
      </c>
      <c r="H107" s="2" t="s">
        <v>552</v>
      </c>
      <c r="I107" s="2" t="s">
        <v>554</v>
      </c>
      <c r="J107" s="2" t="s">
        <v>555</v>
      </c>
      <c r="K107" s="3">
        <v>2</v>
      </c>
      <c r="L107" s="3">
        <v>77624</v>
      </c>
      <c r="M107" s="2">
        <v>20</v>
      </c>
    </row>
    <row r="108" spans="1:13">
      <c r="A108" s="2" t="s">
        <v>164</v>
      </c>
      <c r="B108" s="3">
        <v>1</v>
      </c>
      <c r="C108" s="3">
        <v>9</v>
      </c>
      <c r="D108" s="3">
        <v>3</v>
      </c>
      <c r="E108" s="3">
        <v>4</v>
      </c>
      <c r="F108" s="3">
        <v>2</v>
      </c>
      <c r="G108" s="2" t="s">
        <v>648</v>
      </c>
      <c r="H108" s="2" t="s">
        <v>649</v>
      </c>
      <c r="I108" s="2" t="s">
        <v>650</v>
      </c>
      <c r="J108" s="2" t="s">
        <v>651</v>
      </c>
      <c r="K108" s="3">
        <v>3</v>
      </c>
      <c r="L108" s="3">
        <v>45613</v>
      </c>
      <c r="M108" s="2">
        <v>4</v>
      </c>
    </row>
    <row r="109" spans="1:13">
      <c r="A109" s="2" t="s">
        <v>227</v>
      </c>
      <c r="B109" s="3">
        <v>1</v>
      </c>
      <c r="C109" s="3">
        <v>9</v>
      </c>
      <c r="D109" s="3">
        <v>3</v>
      </c>
      <c r="E109" s="3">
        <v>4</v>
      </c>
      <c r="F109" s="3">
        <v>3</v>
      </c>
      <c r="G109" s="2" t="s">
        <v>393</v>
      </c>
      <c r="H109" s="2" t="s">
        <v>395</v>
      </c>
      <c r="I109" s="2" t="s">
        <v>396</v>
      </c>
      <c r="J109" s="2" t="s">
        <v>503</v>
      </c>
      <c r="K109" s="3">
        <v>1</v>
      </c>
      <c r="L109" s="3">
        <v>94011</v>
      </c>
      <c r="M109" s="2">
        <v>5</v>
      </c>
    </row>
    <row r="110" spans="1:13">
      <c r="A110" s="2" t="s">
        <v>130</v>
      </c>
      <c r="B110" s="3">
        <v>1</v>
      </c>
      <c r="C110" s="3">
        <v>9</v>
      </c>
      <c r="D110" s="3">
        <v>7</v>
      </c>
      <c r="E110" s="3">
        <v>1</v>
      </c>
      <c r="F110" s="3">
        <v>10</v>
      </c>
      <c r="G110" s="2" t="s">
        <v>609</v>
      </c>
      <c r="H110" s="2" t="s">
        <v>652</v>
      </c>
      <c r="I110" s="2" t="s">
        <v>610</v>
      </c>
      <c r="J110" s="2" t="s">
        <v>653</v>
      </c>
      <c r="K110" s="3">
        <v>4</v>
      </c>
      <c r="L110" s="3">
        <v>119589</v>
      </c>
      <c r="M110" s="2">
        <v>1</v>
      </c>
    </row>
    <row r="111" spans="1:13">
      <c r="A111" s="2" t="s">
        <v>228</v>
      </c>
      <c r="B111" s="3">
        <v>1</v>
      </c>
      <c r="C111" s="3">
        <v>9</v>
      </c>
      <c r="D111" s="3">
        <v>7</v>
      </c>
      <c r="E111" s="3">
        <v>4</v>
      </c>
      <c r="F111" s="3">
        <v>3</v>
      </c>
      <c r="G111" s="2" t="s">
        <v>327</v>
      </c>
      <c r="H111" s="2" t="s">
        <v>328</v>
      </c>
      <c r="I111" s="2" t="s">
        <v>654</v>
      </c>
      <c r="J111" s="2" t="s">
        <v>655</v>
      </c>
      <c r="K111" s="3">
        <v>1</v>
      </c>
      <c r="L111" s="3">
        <v>113879</v>
      </c>
      <c r="M111" s="2">
        <v>19</v>
      </c>
    </row>
    <row r="112" spans="1:13">
      <c r="A112" s="2" t="s">
        <v>87</v>
      </c>
      <c r="B112" s="3">
        <v>1</v>
      </c>
      <c r="C112" s="3">
        <v>9</v>
      </c>
      <c r="D112" s="3">
        <v>3</v>
      </c>
      <c r="E112" s="3">
        <v>3</v>
      </c>
      <c r="F112" s="3">
        <v>5</v>
      </c>
      <c r="G112" s="2" t="s">
        <v>656</v>
      </c>
      <c r="H112" s="2" t="s">
        <v>657</v>
      </c>
      <c r="I112" s="2" t="s">
        <v>658</v>
      </c>
      <c r="J112" s="2" t="s">
        <v>386</v>
      </c>
      <c r="K112" s="3">
        <v>5</v>
      </c>
      <c r="L112" s="3">
        <v>95552</v>
      </c>
      <c r="M112" s="2">
        <v>17</v>
      </c>
    </row>
    <row r="113" spans="1:13">
      <c r="A113" s="2" t="s">
        <v>88</v>
      </c>
      <c r="B113" s="3">
        <v>1</v>
      </c>
      <c r="C113" s="3">
        <v>9</v>
      </c>
      <c r="D113" s="3">
        <v>7</v>
      </c>
      <c r="E113" s="3">
        <v>2</v>
      </c>
      <c r="F113" s="3">
        <v>7</v>
      </c>
      <c r="G113" s="2" t="s">
        <v>659</v>
      </c>
      <c r="H113" s="2" t="s">
        <v>660</v>
      </c>
      <c r="I113" s="2" t="s">
        <v>661</v>
      </c>
      <c r="J113" s="2" t="s">
        <v>662</v>
      </c>
      <c r="K113" s="3">
        <v>5</v>
      </c>
      <c r="L113" s="3">
        <v>89611</v>
      </c>
      <c r="M113" s="2">
        <v>8</v>
      </c>
    </row>
    <row r="114" spans="1:13">
      <c r="A114" s="2" t="s">
        <v>131</v>
      </c>
      <c r="B114" s="3">
        <v>1</v>
      </c>
      <c r="C114" s="3">
        <v>9</v>
      </c>
      <c r="D114" s="3">
        <v>3</v>
      </c>
      <c r="E114" s="3">
        <v>5</v>
      </c>
      <c r="F114" s="3">
        <v>4</v>
      </c>
      <c r="G114" s="2" t="s">
        <v>541</v>
      </c>
      <c r="H114" s="2" t="s">
        <v>663</v>
      </c>
      <c r="I114" s="2" t="s">
        <v>542</v>
      </c>
      <c r="J114" s="2" t="s">
        <v>664</v>
      </c>
      <c r="K114" s="3">
        <v>4</v>
      </c>
      <c r="L114" s="3">
        <v>117107</v>
      </c>
      <c r="M114" s="2">
        <v>18</v>
      </c>
    </row>
    <row r="115" spans="1:13">
      <c r="A115" s="2" t="s">
        <v>193</v>
      </c>
      <c r="B115" s="3">
        <v>1</v>
      </c>
      <c r="C115" s="3">
        <v>9</v>
      </c>
      <c r="D115" s="3">
        <v>3</v>
      </c>
      <c r="E115" s="3">
        <v>3</v>
      </c>
      <c r="F115" s="3">
        <v>8</v>
      </c>
      <c r="G115" s="2" t="s">
        <v>665</v>
      </c>
      <c r="H115" s="2" t="s">
        <v>666</v>
      </c>
      <c r="I115" s="2" t="s">
        <v>667</v>
      </c>
      <c r="J115" s="2" t="s">
        <v>668</v>
      </c>
      <c r="K115" s="3">
        <v>2</v>
      </c>
      <c r="L115" s="3">
        <v>102776</v>
      </c>
      <c r="M115" s="2">
        <v>15</v>
      </c>
    </row>
    <row r="116" spans="1:13">
      <c r="A116" s="2" t="s">
        <v>132</v>
      </c>
      <c r="B116" s="3">
        <v>1</v>
      </c>
      <c r="C116" s="3">
        <v>9</v>
      </c>
      <c r="D116" s="3">
        <v>3</v>
      </c>
      <c r="E116" s="3">
        <v>4</v>
      </c>
      <c r="F116" s="3">
        <v>6</v>
      </c>
      <c r="G116" s="2" t="s">
        <v>669</v>
      </c>
      <c r="H116" s="2" t="s">
        <v>670</v>
      </c>
      <c r="I116" s="2" t="s">
        <v>671</v>
      </c>
      <c r="J116" s="2" t="s">
        <v>672</v>
      </c>
      <c r="K116" s="3">
        <v>4</v>
      </c>
      <c r="L116" s="3">
        <v>83072</v>
      </c>
      <c r="M116" s="2">
        <v>16</v>
      </c>
    </row>
    <row r="117" spans="1:13">
      <c r="A117" s="2" t="s">
        <v>229</v>
      </c>
      <c r="B117" s="3">
        <v>1</v>
      </c>
      <c r="C117" s="3">
        <v>9</v>
      </c>
      <c r="D117" s="3">
        <v>3</v>
      </c>
      <c r="E117" s="3">
        <v>4</v>
      </c>
      <c r="F117" s="3">
        <v>3</v>
      </c>
      <c r="G117" s="2" t="s">
        <v>673</v>
      </c>
      <c r="H117" s="2" t="s">
        <v>674</v>
      </c>
      <c r="I117" s="2" t="s">
        <v>675</v>
      </c>
      <c r="J117" s="2" t="s">
        <v>676</v>
      </c>
      <c r="K117" s="3">
        <v>1</v>
      </c>
      <c r="L117" s="3">
        <v>45868</v>
      </c>
      <c r="M117" s="2">
        <v>10</v>
      </c>
    </row>
    <row r="118" spans="1:13">
      <c r="A118" s="2" t="s">
        <v>194</v>
      </c>
      <c r="B118" s="3">
        <v>1</v>
      </c>
      <c r="C118" s="3">
        <v>9</v>
      </c>
      <c r="D118" s="3">
        <v>7</v>
      </c>
      <c r="E118" s="3">
        <v>3</v>
      </c>
      <c r="F118" s="3">
        <v>8</v>
      </c>
      <c r="G118" s="2" t="s">
        <v>456</v>
      </c>
      <c r="H118" s="2" t="s">
        <v>677</v>
      </c>
      <c r="I118" s="2" t="s">
        <v>457</v>
      </c>
      <c r="J118" s="2" t="s">
        <v>458</v>
      </c>
      <c r="K118" s="3">
        <v>2</v>
      </c>
      <c r="L118" s="3">
        <v>110876</v>
      </c>
      <c r="M118" s="2">
        <v>23</v>
      </c>
    </row>
    <row r="119" spans="1:13">
      <c r="A119" s="2" t="s">
        <v>165</v>
      </c>
      <c r="B119" s="3">
        <v>1</v>
      </c>
      <c r="C119" s="3">
        <v>9</v>
      </c>
      <c r="D119" s="3">
        <v>3</v>
      </c>
      <c r="E119" s="3">
        <v>1</v>
      </c>
      <c r="F119" s="3">
        <v>10</v>
      </c>
      <c r="G119" s="2" t="s">
        <v>591</v>
      </c>
      <c r="H119" s="2" t="s">
        <v>678</v>
      </c>
      <c r="I119" s="2" t="s">
        <v>593</v>
      </c>
      <c r="J119" s="2" t="s">
        <v>679</v>
      </c>
      <c r="K119" s="3">
        <v>3</v>
      </c>
      <c r="L119" s="3">
        <v>100961</v>
      </c>
      <c r="M119" s="2">
        <v>14</v>
      </c>
    </row>
    <row r="120" spans="1:13">
      <c r="A120" s="2" t="s">
        <v>230</v>
      </c>
      <c r="B120" s="3">
        <v>1</v>
      </c>
      <c r="C120" s="3">
        <v>9</v>
      </c>
      <c r="D120" s="3">
        <v>3</v>
      </c>
      <c r="E120" s="3">
        <v>4</v>
      </c>
      <c r="F120" s="3">
        <v>2</v>
      </c>
      <c r="G120" s="2" t="s">
        <v>680</v>
      </c>
      <c r="H120" s="2" t="s">
        <v>681</v>
      </c>
      <c r="I120" s="2" t="s">
        <v>682</v>
      </c>
      <c r="J120" s="2" t="s">
        <v>683</v>
      </c>
      <c r="K120" s="3">
        <v>1</v>
      </c>
      <c r="L120" s="3">
        <v>47082</v>
      </c>
      <c r="M120" s="2">
        <v>7</v>
      </c>
    </row>
    <row r="121" spans="1:13">
      <c r="A121" s="2" t="s">
        <v>197</v>
      </c>
      <c r="B121" s="3">
        <v>2</v>
      </c>
      <c r="C121" s="3">
        <v>2</v>
      </c>
      <c r="D121" s="3">
        <v>6</v>
      </c>
      <c r="E121" s="3">
        <v>2</v>
      </c>
      <c r="F121" s="3">
        <v>5</v>
      </c>
      <c r="G121" s="2" t="s">
        <v>455</v>
      </c>
      <c r="H121" s="2" t="s">
        <v>684</v>
      </c>
      <c r="I121" s="2" t="s">
        <v>685</v>
      </c>
      <c r="J121" s="2" t="s">
        <v>686</v>
      </c>
      <c r="K121" s="3">
        <v>2</v>
      </c>
      <c r="L121" s="3">
        <v>89091</v>
      </c>
      <c r="M121" s="2">
        <v>22</v>
      </c>
    </row>
    <row r="122" spans="1:13">
      <c r="A122" s="2" t="s">
        <v>198</v>
      </c>
      <c r="B122" s="3">
        <v>2</v>
      </c>
      <c r="C122" s="3">
        <v>2</v>
      </c>
      <c r="D122" s="3">
        <v>6</v>
      </c>
      <c r="E122" s="3">
        <v>2</v>
      </c>
      <c r="F122" s="3">
        <v>6</v>
      </c>
      <c r="G122" s="2" t="s">
        <v>687</v>
      </c>
      <c r="H122" s="2" t="s">
        <v>688</v>
      </c>
      <c r="I122" s="2" t="s">
        <v>464</v>
      </c>
      <c r="J122" s="2" t="s">
        <v>689</v>
      </c>
      <c r="K122" s="3">
        <v>2</v>
      </c>
      <c r="L122" s="3">
        <v>43797</v>
      </c>
      <c r="M122" s="2">
        <v>22</v>
      </c>
    </row>
    <row r="123" spans="1:13">
      <c r="A123" s="2" t="s">
        <v>231</v>
      </c>
      <c r="B123" s="3">
        <v>2</v>
      </c>
      <c r="C123" s="3">
        <v>2</v>
      </c>
      <c r="D123" s="3">
        <v>6</v>
      </c>
      <c r="E123" s="3">
        <v>4</v>
      </c>
      <c r="F123" s="3">
        <v>1</v>
      </c>
      <c r="G123" s="2" t="s">
        <v>690</v>
      </c>
      <c r="H123" s="2" t="s">
        <v>691</v>
      </c>
      <c r="I123" s="2" t="s">
        <v>692</v>
      </c>
      <c r="J123" s="2" t="s">
        <v>693</v>
      </c>
      <c r="K123" s="3">
        <v>1</v>
      </c>
      <c r="L123" s="3">
        <v>32893</v>
      </c>
      <c r="M123" s="2">
        <v>2</v>
      </c>
    </row>
    <row r="124" spans="1:13">
      <c r="A124" s="2" t="s">
        <v>199</v>
      </c>
      <c r="B124" s="3">
        <v>2</v>
      </c>
      <c r="C124" s="3">
        <v>2</v>
      </c>
      <c r="D124" s="3">
        <v>6</v>
      </c>
      <c r="E124" s="3">
        <v>3</v>
      </c>
      <c r="F124" s="3">
        <v>1</v>
      </c>
      <c r="G124" s="2" t="s">
        <v>694</v>
      </c>
      <c r="H124" s="2" t="s">
        <v>695</v>
      </c>
      <c r="I124" s="2" t="s">
        <v>696</v>
      </c>
      <c r="J124" s="2" t="s">
        <v>697</v>
      </c>
      <c r="K124" s="3">
        <v>2</v>
      </c>
      <c r="L124" s="3">
        <v>81376</v>
      </c>
      <c r="M124" s="2">
        <v>4</v>
      </c>
    </row>
    <row r="125" spans="1:13">
      <c r="A125" s="2" t="s">
        <v>166</v>
      </c>
      <c r="B125" s="3">
        <v>1</v>
      </c>
      <c r="C125" s="3">
        <v>1</v>
      </c>
      <c r="D125" s="3">
        <v>1</v>
      </c>
      <c r="E125" s="3">
        <v>4</v>
      </c>
      <c r="F125" s="3">
        <v>6</v>
      </c>
      <c r="G125" s="2" t="s">
        <v>698</v>
      </c>
      <c r="H125" s="2" t="s">
        <v>699</v>
      </c>
      <c r="I125" s="2" t="s">
        <v>700</v>
      </c>
      <c r="J125" s="2" t="s">
        <v>270</v>
      </c>
      <c r="K125" s="3">
        <v>3</v>
      </c>
      <c r="L125" s="3">
        <v>98041</v>
      </c>
      <c r="M125" s="2">
        <v>19</v>
      </c>
    </row>
    <row r="126" spans="1:13">
      <c r="A126" s="2" t="s">
        <v>91</v>
      </c>
      <c r="B126" s="3">
        <v>1</v>
      </c>
      <c r="C126" s="3">
        <v>1</v>
      </c>
      <c r="D126" s="3">
        <v>1</v>
      </c>
      <c r="E126" s="3">
        <v>4</v>
      </c>
      <c r="F126" s="3">
        <v>6</v>
      </c>
      <c r="G126" s="2" t="s">
        <v>701</v>
      </c>
      <c r="H126" s="2" t="s">
        <v>702</v>
      </c>
      <c r="I126" s="2" t="s">
        <v>703</v>
      </c>
      <c r="J126" s="2" t="s">
        <v>704</v>
      </c>
      <c r="K126" s="3">
        <v>5</v>
      </c>
      <c r="L126" s="3">
        <v>62573</v>
      </c>
      <c r="M126" s="2">
        <v>23</v>
      </c>
    </row>
    <row r="127" spans="1:13">
      <c r="A127" s="2" t="s">
        <v>167</v>
      </c>
      <c r="B127" s="3">
        <v>1</v>
      </c>
      <c r="C127" s="3">
        <v>1</v>
      </c>
      <c r="D127" s="3">
        <v>1</v>
      </c>
      <c r="E127" s="3">
        <v>1</v>
      </c>
      <c r="F127" s="3">
        <v>9</v>
      </c>
      <c r="G127" s="2" t="s">
        <v>705</v>
      </c>
      <c r="H127" s="2" t="s">
        <v>706</v>
      </c>
      <c r="I127" s="2" t="s">
        <v>707</v>
      </c>
      <c r="J127" s="2" t="s">
        <v>708</v>
      </c>
      <c r="K127" s="3">
        <v>3</v>
      </c>
      <c r="L127" s="3">
        <v>70126</v>
      </c>
      <c r="M127" s="2">
        <v>20</v>
      </c>
    </row>
    <row r="128" spans="1:13">
      <c r="A128" s="2" t="s">
        <v>200</v>
      </c>
      <c r="B128" s="3">
        <v>1</v>
      </c>
      <c r="C128" s="3">
        <v>1</v>
      </c>
      <c r="D128" s="3">
        <v>1</v>
      </c>
      <c r="E128" s="3">
        <v>1</v>
      </c>
      <c r="F128" s="3">
        <v>9</v>
      </c>
      <c r="G128" s="2" t="s">
        <v>709</v>
      </c>
      <c r="H128" s="2" t="s">
        <v>710</v>
      </c>
      <c r="I128" s="2" t="s">
        <v>711</v>
      </c>
      <c r="J128" s="2" t="s">
        <v>712</v>
      </c>
      <c r="K128" s="3">
        <v>2</v>
      </c>
      <c r="L128" s="3">
        <v>56557</v>
      </c>
      <c r="M128" s="2">
        <v>18</v>
      </c>
    </row>
    <row r="129" spans="1:13">
      <c r="A129" s="2" t="s">
        <v>201</v>
      </c>
      <c r="B129" s="3">
        <v>1</v>
      </c>
      <c r="C129" s="3">
        <v>1</v>
      </c>
      <c r="D129" s="3">
        <v>1</v>
      </c>
      <c r="E129" s="3">
        <v>1</v>
      </c>
      <c r="F129" s="3">
        <v>9</v>
      </c>
      <c r="G129" s="2" t="s">
        <v>713</v>
      </c>
      <c r="H129" s="2" t="s">
        <v>357</v>
      </c>
      <c r="I129" s="2" t="s">
        <v>359</v>
      </c>
      <c r="J129" s="2" t="s">
        <v>714</v>
      </c>
      <c r="K129" s="3">
        <v>2</v>
      </c>
      <c r="L129" s="3">
        <v>79084</v>
      </c>
      <c r="M129" s="2">
        <v>11</v>
      </c>
    </row>
    <row r="130" spans="1:13">
      <c r="A130" s="2" t="s">
        <v>92</v>
      </c>
      <c r="B130" s="3">
        <v>1</v>
      </c>
      <c r="C130" s="3">
        <v>1</v>
      </c>
      <c r="D130" s="3">
        <v>1</v>
      </c>
      <c r="E130" s="3">
        <v>2</v>
      </c>
      <c r="F130" s="3">
        <v>1</v>
      </c>
      <c r="G130" s="2" t="s">
        <v>715</v>
      </c>
      <c r="H130" s="2" t="s">
        <v>716</v>
      </c>
      <c r="I130" s="2" t="s">
        <v>717</v>
      </c>
      <c r="J130" s="2" t="s">
        <v>718</v>
      </c>
      <c r="K130" s="3">
        <v>5</v>
      </c>
      <c r="L130" s="3">
        <v>87968</v>
      </c>
      <c r="M130" s="2">
        <v>1</v>
      </c>
    </row>
    <row r="131" spans="1:13">
      <c r="A131" s="2" t="s">
        <v>202</v>
      </c>
      <c r="B131" s="3">
        <v>1</v>
      </c>
      <c r="C131" s="3">
        <v>1</v>
      </c>
      <c r="D131" s="3">
        <v>1</v>
      </c>
      <c r="E131" s="3">
        <v>5</v>
      </c>
      <c r="F131" s="3">
        <v>4</v>
      </c>
      <c r="G131" s="2" t="s">
        <v>719</v>
      </c>
      <c r="H131" s="2" t="s">
        <v>720</v>
      </c>
      <c r="I131" s="2" t="s">
        <v>721</v>
      </c>
      <c r="J131" s="2" t="s">
        <v>722</v>
      </c>
      <c r="K131" s="3">
        <v>2</v>
      </c>
      <c r="L131" s="3">
        <v>97934</v>
      </c>
      <c r="M131" s="2">
        <v>7</v>
      </c>
    </row>
    <row r="132" spans="1:13">
      <c r="A132" s="2" t="s">
        <v>93</v>
      </c>
      <c r="B132" s="3">
        <v>1</v>
      </c>
      <c r="C132" s="3">
        <v>1</v>
      </c>
      <c r="D132" s="3">
        <v>1</v>
      </c>
      <c r="E132" s="3">
        <v>4</v>
      </c>
      <c r="F132" s="3">
        <v>2</v>
      </c>
      <c r="G132" s="2" t="s">
        <v>723</v>
      </c>
      <c r="H132" s="2" t="s">
        <v>681</v>
      </c>
      <c r="I132" s="2" t="s">
        <v>724</v>
      </c>
      <c r="J132" s="2" t="s">
        <v>725</v>
      </c>
      <c r="K132" s="3">
        <v>5</v>
      </c>
      <c r="L132" s="3">
        <v>58053</v>
      </c>
      <c r="M132" s="2">
        <v>20</v>
      </c>
    </row>
    <row r="133" spans="1:13">
      <c r="A133" s="2" t="s">
        <v>203</v>
      </c>
      <c r="B133" s="3">
        <v>2</v>
      </c>
      <c r="C133" s="3">
        <v>15</v>
      </c>
      <c r="D133" s="3">
        <v>20</v>
      </c>
      <c r="E133" s="3">
        <v>4</v>
      </c>
      <c r="F133" s="3">
        <v>2</v>
      </c>
      <c r="G133" s="2" t="s">
        <v>726</v>
      </c>
      <c r="H133" s="2" t="s">
        <v>727</v>
      </c>
      <c r="I133" s="2" t="s">
        <v>728</v>
      </c>
      <c r="J133" s="2" t="s">
        <v>729</v>
      </c>
      <c r="K133" s="3">
        <v>2</v>
      </c>
      <c r="L133" s="3">
        <v>66123</v>
      </c>
      <c r="M133" s="2">
        <v>18</v>
      </c>
    </row>
    <row r="134" spans="1:13">
      <c r="A134" s="2" t="s">
        <v>204</v>
      </c>
      <c r="B134" s="3">
        <v>2</v>
      </c>
      <c r="C134" s="3">
        <v>15</v>
      </c>
      <c r="D134" s="3">
        <v>20</v>
      </c>
      <c r="E134" s="3">
        <v>2</v>
      </c>
      <c r="F134" s="3">
        <v>6</v>
      </c>
      <c r="G134" s="2" t="s">
        <v>730</v>
      </c>
      <c r="H134" s="2" t="s">
        <v>731</v>
      </c>
      <c r="I134" s="2" t="s">
        <v>732</v>
      </c>
      <c r="J134" s="2" t="s">
        <v>733</v>
      </c>
      <c r="K134" s="3">
        <v>2</v>
      </c>
      <c r="L134" s="3">
        <v>39135</v>
      </c>
      <c r="M134" s="2">
        <v>13</v>
      </c>
    </row>
    <row r="135" spans="1:13">
      <c r="A135" s="2" t="s">
        <v>232</v>
      </c>
      <c r="B135" s="3">
        <v>2</v>
      </c>
      <c r="C135" s="3">
        <v>15</v>
      </c>
      <c r="D135" s="3">
        <v>20</v>
      </c>
      <c r="E135" s="3">
        <v>4</v>
      </c>
      <c r="F135" s="3">
        <v>5</v>
      </c>
      <c r="G135" s="2" t="s">
        <v>734</v>
      </c>
      <c r="H135" s="2" t="s">
        <v>735</v>
      </c>
      <c r="I135" s="2" t="s">
        <v>736</v>
      </c>
      <c r="J135" s="2" t="s">
        <v>737</v>
      </c>
      <c r="K135" s="3">
        <v>1</v>
      </c>
      <c r="L135" s="3">
        <v>31273</v>
      </c>
      <c r="M135" s="2">
        <v>23</v>
      </c>
    </row>
    <row r="136" spans="1:13">
      <c r="A136" s="2" t="s">
        <v>233</v>
      </c>
      <c r="B136" s="3">
        <v>2</v>
      </c>
      <c r="C136" s="3">
        <v>15</v>
      </c>
      <c r="D136" s="3">
        <v>20</v>
      </c>
      <c r="E136" s="3">
        <v>4</v>
      </c>
      <c r="F136" s="3">
        <v>6</v>
      </c>
      <c r="G136" s="2" t="s">
        <v>422</v>
      </c>
      <c r="H136" s="2" t="s">
        <v>738</v>
      </c>
      <c r="I136" s="2" t="s">
        <v>424</v>
      </c>
      <c r="J136" s="2" t="s">
        <v>739</v>
      </c>
      <c r="K136" s="3">
        <v>1</v>
      </c>
      <c r="L136" s="3">
        <v>69307</v>
      </c>
      <c r="M136" s="2">
        <v>16</v>
      </c>
    </row>
    <row r="137" spans="1:13">
      <c r="A137" s="2" t="s">
        <v>135</v>
      </c>
      <c r="B137" s="3">
        <v>2</v>
      </c>
      <c r="C137" s="3">
        <v>15</v>
      </c>
      <c r="D137" s="3">
        <v>20</v>
      </c>
      <c r="E137" s="3">
        <v>4</v>
      </c>
      <c r="F137" s="3">
        <v>5</v>
      </c>
      <c r="G137" s="2" t="s">
        <v>740</v>
      </c>
      <c r="H137" s="2" t="s">
        <v>741</v>
      </c>
      <c r="I137" s="2" t="s">
        <v>742</v>
      </c>
      <c r="J137" s="2" t="s">
        <v>743</v>
      </c>
      <c r="K137" s="3">
        <v>4</v>
      </c>
      <c r="L137" s="3">
        <v>50654</v>
      </c>
      <c r="M137" s="2">
        <v>14</v>
      </c>
    </row>
    <row r="138" spans="1:13">
      <c r="A138" s="2" t="s">
        <v>205</v>
      </c>
      <c r="B138" s="3">
        <v>2</v>
      </c>
      <c r="C138" s="3">
        <v>15</v>
      </c>
      <c r="D138" s="3">
        <v>20</v>
      </c>
      <c r="E138" s="3">
        <v>2</v>
      </c>
      <c r="F138" s="3">
        <v>1</v>
      </c>
      <c r="G138" s="2" t="s">
        <v>395</v>
      </c>
      <c r="H138" s="2" t="s">
        <v>396</v>
      </c>
      <c r="I138" s="2" t="s">
        <v>744</v>
      </c>
      <c r="J138" s="2" t="s">
        <v>745</v>
      </c>
      <c r="K138" s="3">
        <v>2</v>
      </c>
      <c r="L138" s="3">
        <v>62646</v>
      </c>
      <c r="M138" s="2">
        <v>18</v>
      </c>
    </row>
    <row r="139" spans="1:13">
      <c r="A139" s="2" t="s">
        <v>136</v>
      </c>
      <c r="B139" s="3">
        <v>2</v>
      </c>
      <c r="C139" s="3">
        <v>15</v>
      </c>
      <c r="D139" s="3">
        <v>20</v>
      </c>
      <c r="E139" s="3">
        <v>3</v>
      </c>
      <c r="F139" s="3">
        <v>4</v>
      </c>
      <c r="G139" s="2" t="s">
        <v>746</v>
      </c>
      <c r="H139" s="2" t="s">
        <v>747</v>
      </c>
      <c r="I139" s="2" t="s">
        <v>713</v>
      </c>
      <c r="J139" s="2" t="s">
        <v>748</v>
      </c>
      <c r="K139" s="3">
        <v>4</v>
      </c>
      <c r="L139" s="3">
        <v>71760</v>
      </c>
      <c r="M139" s="2">
        <v>8</v>
      </c>
    </row>
    <row r="140" spans="1:13">
      <c r="A140" s="2" t="s">
        <v>234</v>
      </c>
      <c r="B140" s="3">
        <v>1</v>
      </c>
      <c r="C140" s="3">
        <v>6</v>
      </c>
      <c r="D140" s="3">
        <v>10</v>
      </c>
      <c r="E140" s="3">
        <v>4</v>
      </c>
      <c r="F140" s="3">
        <v>6</v>
      </c>
      <c r="G140" s="2" t="s">
        <v>749</v>
      </c>
      <c r="H140" s="2" t="s">
        <v>750</v>
      </c>
      <c r="I140" s="2" t="s">
        <v>751</v>
      </c>
      <c r="J140" s="2" t="s">
        <v>495</v>
      </c>
      <c r="K140" s="3">
        <v>1</v>
      </c>
      <c r="L140" s="3">
        <v>88403</v>
      </c>
      <c r="M140" s="2">
        <v>22</v>
      </c>
    </row>
    <row r="141" spans="1:13">
      <c r="A141" s="2" t="s">
        <v>95</v>
      </c>
      <c r="B141" s="3">
        <v>1</v>
      </c>
      <c r="C141" s="3">
        <v>6</v>
      </c>
      <c r="D141" s="3">
        <v>10</v>
      </c>
      <c r="E141" s="3">
        <v>1</v>
      </c>
      <c r="F141" s="3">
        <v>10</v>
      </c>
      <c r="G141" s="2" t="s">
        <v>752</v>
      </c>
      <c r="H141" s="2" t="s">
        <v>753</v>
      </c>
      <c r="I141" s="2" t="s">
        <v>754</v>
      </c>
      <c r="J141" s="2" t="s">
        <v>755</v>
      </c>
      <c r="K141" s="3">
        <v>5</v>
      </c>
      <c r="L141" s="3">
        <v>116551</v>
      </c>
      <c r="M141" s="2">
        <v>17</v>
      </c>
    </row>
    <row r="142" spans="1:13">
      <c r="A142" s="2" t="s">
        <v>137</v>
      </c>
      <c r="B142" s="3">
        <v>1</v>
      </c>
      <c r="C142" s="3">
        <v>6</v>
      </c>
      <c r="D142" s="3">
        <v>10</v>
      </c>
      <c r="E142" s="3">
        <v>4</v>
      </c>
      <c r="F142" s="3">
        <v>2</v>
      </c>
      <c r="G142" s="2" t="s">
        <v>756</v>
      </c>
      <c r="H142" s="2" t="s">
        <v>757</v>
      </c>
      <c r="I142" s="2" t="s">
        <v>746</v>
      </c>
      <c r="J142" s="2" t="s">
        <v>758</v>
      </c>
      <c r="K142" s="3">
        <v>4</v>
      </c>
      <c r="L142" s="3">
        <v>95618</v>
      </c>
      <c r="M142" s="2">
        <v>9</v>
      </c>
    </row>
    <row r="143" spans="1:13">
      <c r="A143" s="2" t="s">
        <v>235</v>
      </c>
      <c r="B143" s="3">
        <v>1</v>
      </c>
      <c r="C143" s="3">
        <v>6</v>
      </c>
      <c r="D143" s="3">
        <v>10</v>
      </c>
      <c r="E143" s="3">
        <v>2</v>
      </c>
      <c r="F143" s="3">
        <v>7</v>
      </c>
      <c r="G143" s="2" t="s">
        <v>759</v>
      </c>
      <c r="H143" s="2" t="s">
        <v>760</v>
      </c>
      <c r="I143" s="2" t="s">
        <v>761</v>
      </c>
      <c r="J143" s="2" t="s">
        <v>762</v>
      </c>
      <c r="K143" s="3">
        <v>1</v>
      </c>
      <c r="L143" s="3">
        <v>72235</v>
      </c>
      <c r="M143" s="2">
        <v>23</v>
      </c>
    </row>
    <row r="144" spans="1:13">
      <c r="A144" s="2" t="s">
        <v>168</v>
      </c>
      <c r="B144" s="3">
        <v>1</v>
      </c>
      <c r="C144" s="3">
        <v>6</v>
      </c>
      <c r="D144" s="3">
        <v>10</v>
      </c>
      <c r="E144" s="3">
        <v>3</v>
      </c>
      <c r="F144" s="3">
        <v>8</v>
      </c>
      <c r="G144" s="2" t="s">
        <v>763</v>
      </c>
      <c r="H144" s="2" t="s">
        <v>764</v>
      </c>
      <c r="I144" s="2" t="s">
        <v>765</v>
      </c>
      <c r="J144" s="2" t="s">
        <v>766</v>
      </c>
      <c r="K144" s="3">
        <v>3</v>
      </c>
      <c r="L144" s="3">
        <v>81687</v>
      </c>
      <c r="M144" s="2">
        <v>19</v>
      </c>
    </row>
    <row r="145" spans="1:13">
      <c r="A145" s="2" t="s">
        <v>206</v>
      </c>
      <c r="B145" s="3">
        <v>1</v>
      </c>
      <c r="C145" s="3">
        <v>6</v>
      </c>
      <c r="D145" s="3">
        <v>10</v>
      </c>
      <c r="E145" s="3">
        <v>5</v>
      </c>
      <c r="F145" s="3">
        <v>4</v>
      </c>
      <c r="G145" s="2" t="s">
        <v>767</v>
      </c>
      <c r="H145" s="2" t="s">
        <v>768</v>
      </c>
      <c r="I145" s="2" t="s">
        <v>769</v>
      </c>
      <c r="J145" s="2" t="s">
        <v>770</v>
      </c>
      <c r="K145" s="3">
        <v>2</v>
      </c>
      <c r="L145" s="3">
        <v>89014</v>
      </c>
      <c r="M145" s="2">
        <v>4</v>
      </c>
    </row>
    <row r="146" spans="1:13">
      <c r="A146" s="2" t="s">
        <v>138</v>
      </c>
      <c r="B146" s="3">
        <v>1</v>
      </c>
      <c r="C146" s="3">
        <v>6</v>
      </c>
      <c r="D146" s="3">
        <v>10</v>
      </c>
      <c r="E146" s="3">
        <v>2</v>
      </c>
      <c r="F146" s="3">
        <v>7</v>
      </c>
      <c r="G146" s="2" t="s">
        <v>771</v>
      </c>
      <c r="H146" s="2" t="s">
        <v>772</v>
      </c>
      <c r="I146" s="2" t="s">
        <v>773</v>
      </c>
      <c r="J146" s="2" t="s">
        <v>774</v>
      </c>
      <c r="K146" s="3">
        <v>4</v>
      </c>
      <c r="L146" s="3">
        <v>52476</v>
      </c>
      <c r="M146" s="2">
        <v>9</v>
      </c>
    </row>
    <row r="147" spans="1:13">
      <c r="A147" s="2" t="s">
        <v>236</v>
      </c>
      <c r="B147" s="3">
        <v>1</v>
      </c>
      <c r="C147" s="3">
        <v>6</v>
      </c>
      <c r="D147" s="3">
        <v>10</v>
      </c>
      <c r="E147" s="3">
        <v>4</v>
      </c>
      <c r="F147" s="3">
        <v>6</v>
      </c>
      <c r="G147" s="2" t="s">
        <v>775</v>
      </c>
      <c r="H147" s="2" t="s">
        <v>519</v>
      </c>
      <c r="I147" s="2" t="s">
        <v>776</v>
      </c>
      <c r="J147" s="2" t="s">
        <v>777</v>
      </c>
      <c r="K147" s="3">
        <v>1</v>
      </c>
      <c r="L147" s="3">
        <v>61574</v>
      </c>
      <c r="M147" s="2">
        <v>17</v>
      </c>
    </row>
    <row r="148" spans="1:13">
      <c r="A148" s="2" t="s">
        <v>96</v>
      </c>
      <c r="B148" s="3">
        <v>1</v>
      </c>
      <c r="C148" s="3">
        <v>6</v>
      </c>
      <c r="D148" s="3">
        <v>10</v>
      </c>
      <c r="E148" s="3">
        <v>4</v>
      </c>
      <c r="F148" s="3">
        <v>2</v>
      </c>
      <c r="G148" s="2" t="s">
        <v>778</v>
      </c>
      <c r="H148" s="2" t="s">
        <v>779</v>
      </c>
      <c r="I148" s="2" t="s">
        <v>519</v>
      </c>
      <c r="J148" s="2" t="s">
        <v>520</v>
      </c>
      <c r="K148" s="3">
        <v>5</v>
      </c>
      <c r="L148" s="3">
        <v>62500</v>
      </c>
      <c r="M148" s="2">
        <v>21</v>
      </c>
    </row>
    <row r="149" spans="1:13">
      <c r="A149" s="2" t="s">
        <v>139</v>
      </c>
      <c r="B149" s="3">
        <v>2</v>
      </c>
      <c r="C149" s="3">
        <v>5</v>
      </c>
      <c r="D149" s="3">
        <v>14</v>
      </c>
      <c r="E149" s="3">
        <v>5</v>
      </c>
      <c r="F149" s="3">
        <v>5</v>
      </c>
      <c r="G149" s="2" t="s">
        <v>780</v>
      </c>
      <c r="H149" s="2" t="s">
        <v>781</v>
      </c>
      <c r="I149" s="2" t="s">
        <v>782</v>
      </c>
      <c r="J149" s="2" t="s">
        <v>783</v>
      </c>
      <c r="K149" s="3">
        <v>4</v>
      </c>
      <c r="L149" s="3">
        <v>77679</v>
      </c>
      <c r="M149" s="2">
        <v>17</v>
      </c>
    </row>
    <row r="150" spans="1:13">
      <c r="A150" s="2" t="s">
        <v>237</v>
      </c>
      <c r="B150" s="3">
        <v>2</v>
      </c>
      <c r="C150" s="3">
        <v>5</v>
      </c>
      <c r="D150" s="3">
        <v>14</v>
      </c>
      <c r="E150" s="3">
        <v>2</v>
      </c>
      <c r="F150" s="3">
        <v>6</v>
      </c>
      <c r="G150" s="2" t="s">
        <v>784</v>
      </c>
      <c r="H150" s="2" t="s">
        <v>785</v>
      </c>
      <c r="I150" s="2" t="s">
        <v>786</v>
      </c>
      <c r="J150" s="2" t="s">
        <v>787</v>
      </c>
      <c r="K150" s="3">
        <v>1</v>
      </c>
      <c r="L150" s="3">
        <v>57884</v>
      </c>
      <c r="M150" s="2">
        <v>9</v>
      </c>
    </row>
    <row r="151" spans="1:13">
      <c r="A151" s="2" t="s">
        <v>99</v>
      </c>
      <c r="B151" s="3">
        <v>2</v>
      </c>
      <c r="C151" s="3">
        <v>5</v>
      </c>
      <c r="D151" s="3">
        <v>14</v>
      </c>
      <c r="E151" s="3">
        <v>3</v>
      </c>
      <c r="F151" s="3">
        <v>1</v>
      </c>
      <c r="G151" s="2" t="s">
        <v>788</v>
      </c>
      <c r="H151" s="2" t="s">
        <v>789</v>
      </c>
      <c r="I151" s="2" t="s">
        <v>790</v>
      </c>
      <c r="J151" s="2" t="s">
        <v>791</v>
      </c>
      <c r="K151" s="3">
        <v>5</v>
      </c>
      <c r="L151" s="3">
        <v>13403</v>
      </c>
      <c r="M151" s="2">
        <v>5</v>
      </c>
    </row>
    <row r="152" spans="1:13">
      <c r="A152" s="2" t="s">
        <v>169</v>
      </c>
      <c r="B152" s="3">
        <v>2</v>
      </c>
      <c r="C152" s="3">
        <v>5</v>
      </c>
      <c r="D152" s="3">
        <v>14</v>
      </c>
      <c r="E152" s="3">
        <v>2</v>
      </c>
      <c r="F152" s="3">
        <v>1</v>
      </c>
      <c r="G152" s="2" t="s">
        <v>792</v>
      </c>
      <c r="H152" s="2" t="s">
        <v>793</v>
      </c>
      <c r="I152" s="2" t="s">
        <v>794</v>
      </c>
      <c r="J152" s="2" t="s">
        <v>795</v>
      </c>
      <c r="K152" s="3">
        <v>3</v>
      </c>
      <c r="L152" s="3">
        <v>80420</v>
      </c>
      <c r="M152" s="2">
        <v>20</v>
      </c>
    </row>
    <row r="153" spans="1:13">
      <c r="A153" s="2" t="s">
        <v>170</v>
      </c>
      <c r="B153" s="3">
        <v>2</v>
      </c>
      <c r="C153" s="3">
        <v>5</v>
      </c>
      <c r="D153" s="3">
        <v>14</v>
      </c>
      <c r="E153" s="3">
        <v>2</v>
      </c>
      <c r="F153" s="3">
        <v>2</v>
      </c>
      <c r="G153" s="2" t="s">
        <v>796</v>
      </c>
      <c r="H153" s="2" t="s">
        <v>797</v>
      </c>
      <c r="I153" s="2" t="s">
        <v>798</v>
      </c>
      <c r="J153" s="2" t="s">
        <v>799</v>
      </c>
      <c r="K153" s="3">
        <v>3</v>
      </c>
      <c r="L153" s="3">
        <v>68782</v>
      </c>
      <c r="M153" s="2">
        <v>1</v>
      </c>
    </row>
    <row r="154" spans="1:13">
      <c r="A154" s="2" t="s">
        <v>238</v>
      </c>
      <c r="B154" s="3">
        <v>1</v>
      </c>
      <c r="C154" s="3">
        <v>4</v>
      </c>
      <c r="D154" s="3">
        <v>22</v>
      </c>
      <c r="E154" s="3">
        <v>5</v>
      </c>
      <c r="F154" s="3">
        <v>4</v>
      </c>
      <c r="G154" s="2" t="s">
        <v>800</v>
      </c>
      <c r="H154" s="2" t="s">
        <v>801</v>
      </c>
      <c r="I154" s="2" t="s">
        <v>802</v>
      </c>
      <c r="J154" s="2" t="s">
        <v>803</v>
      </c>
      <c r="K154" s="3">
        <v>1</v>
      </c>
      <c r="L154" s="3">
        <v>119905</v>
      </c>
      <c r="M154" s="2">
        <v>2</v>
      </c>
    </row>
    <row r="155" spans="1:13">
      <c r="A155" s="2" t="s">
        <v>101</v>
      </c>
      <c r="B155" s="3">
        <v>1</v>
      </c>
      <c r="C155" s="3">
        <v>4</v>
      </c>
      <c r="D155" s="3">
        <v>22</v>
      </c>
      <c r="E155" s="3">
        <v>1</v>
      </c>
      <c r="F155" s="3">
        <v>9</v>
      </c>
      <c r="G155" s="2" t="s">
        <v>804</v>
      </c>
      <c r="H155" s="2" t="s">
        <v>805</v>
      </c>
      <c r="I155" s="2" t="s">
        <v>806</v>
      </c>
      <c r="J155" s="2" t="s">
        <v>673</v>
      </c>
      <c r="K155" s="3">
        <v>5</v>
      </c>
      <c r="L155" s="3">
        <v>71406</v>
      </c>
      <c r="M155" s="2">
        <v>20</v>
      </c>
    </row>
    <row r="156" spans="1:13">
      <c r="A156" s="2" t="s">
        <v>239</v>
      </c>
      <c r="B156" s="3">
        <v>1</v>
      </c>
      <c r="C156" s="3">
        <v>4</v>
      </c>
      <c r="D156" s="3">
        <v>22</v>
      </c>
      <c r="E156" s="3">
        <v>1</v>
      </c>
      <c r="F156" s="3">
        <v>9</v>
      </c>
      <c r="G156" s="2" t="s">
        <v>807</v>
      </c>
      <c r="H156" s="2" t="s">
        <v>808</v>
      </c>
      <c r="I156" s="2" t="s">
        <v>809</v>
      </c>
      <c r="J156" s="2" t="s">
        <v>810</v>
      </c>
      <c r="K156" s="3">
        <v>1</v>
      </c>
      <c r="L156" s="3">
        <v>100493</v>
      </c>
      <c r="M156" s="2">
        <v>11</v>
      </c>
    </row>
    <row r="157" spans="1:13">
      <c r="A157" s="2" t="s">
        <v>140</v>
      </c>
      <c r="B157" s="3">
        <v>1</v>
      </c>
      <c r="C157" s="3">
        <v>4</v>
      </c>
      <c r="D157" s="3">
        <v>22</v>
      </c>
      <c r="E157" s="3">
        <v>1</v>
      </c>
      <c r="F157" s="3">
        <v>10</v>
      </c>
      <c r="G157" s="2" t="s">
        <v>811</v>
      </c>
      <c r="H157" s="2" t="s">
        <v>812</v>
      </c>
      <c r="I157" s="2" t="s">
        <v>813</v>
      </c>
      <c r="J157" s="2" t="s">
        <v>814</v>
      </c>
      <c r="K157" s="3">
        <v>4</v>
      </c>
      <c r="L157" s="3">
        <v>53632</v>
      </c>
      <c r="M157" s="2">
        <v>10</v>
      </c>
    </row>
    <row r="158" spans="1:13">
      <c r="A158" s="2" t="s">
        <v>141</v>
      </c>
      <c r="B158" s="3">
        <v>1</v>
      </c>
      <c r="C158" s="3">
        <v>4</v>
      </c>
      <c r="D158" s="3">
        <v>22</v>
      </c>
      <c r="E158" s="3">
        <v>4</v>
      </c>
      <c r="F158" s="3">
        <v>2</v>
      </c>
      <c r="G158" s="2" t="s">
        <v>815</v>
      </c>
      <c r="H158" s="2" t="s">
        <v>816</v>
      </c>
      <c r="I158" s="2" t="s">
        <v>817</v>
      </c>
      <c r="J158" s="2" t="s">
        <v>818</v>
      </c>
      <c r="K158" s="3">
        <v>4</v>
      </c>
      <c r="L158" s="3">
        <v>63622</v>
      </c>
      <c r="M158" s="2">
        <v>22</v>
      </c>
    </row>
    <row r="159" spans="1:13">
      <c r="A159" s="2" t="s">
        <v>240</v>
      </c>
      <c r="B159" s="3">
        <v>1</v>
      </c>
      <c r="C159" s="3">
        <v>4</v>
      </c>
      <c r="D159" s="3">
        <v>22</v>
      </c>
      <c r="E159" s="3">
        <v>1</v>
      </c>
      <c r="F159" s="3">
        <v>9</v>
      </c>
      <c r="G159" s="2" t="s">
        <v>819</v>
      </c>
      <c r="H159" s="2" t="s">
        <v>820</v>
      </c>
      <c r="I159" s="2" t="s">
        <v>290</v>
      </c>
      <c r="J159" s="2" t="s">
        <v>821</v>
      </c>
      <c r="K159" s="3">
        <v>1</v>
      </c>
      <c r="L159" s="3">
        <v>84305</v>
      </c>
      <c r="M159" s="2">
        <v>10</v>
      </c>
    </row>
    <row r="160" spans="1:13">
      <c r="A160" s="2" t="s">
        <v>102</v>
      </c>
      <c r="B160" s="3">
        <v>1</v>
      </c>
      <c r="C160" s="3">
        <v>4</v>
      </c>
      <c r="D160" s="3">
        <v>22</v>
      </c>
      <c r="E160" s="3">
        <v>5</v>
      </c>
      <c r="F160" s="3">
        <v>4</v>
      </c>
      <c r="G160" s="2" t="s">
        <v>822</v>
      </c>
      <c r="H160" s="2" t="s">
        <v>823</v>
      </c>
      <c r="I160" s="2" t="s">
        <v>824</v>
      </c>
      <c r="J160" s="2" t="s">
        <v>825</v>
      </c>
      <c r="K160" s="3">
        <v>5</v>
      </c>
      <c r="L160" s="3">
        <v>68983</v>
      </c>
      <c r="M160" s="2">
        <v>7</v>
      </c>
    </row>
    <row r="161" spans="1:13">
      <c r="A161" s="2" t="s">
        <v>142</v>
      </c>
      <c r="B161" s="3">
        <v>1</v>
      </c>
      <c r="C161" s="3">
        <v>4</v>
      </c>
      <c r="D161" s="3">
        <v>22</v>
      </c>
      <c r="E161" s="3">
        <v>2</v>
      </c>
      <c r="F161" s="3">
        <v>7</v>
      </c>
      <c r="G161" s="2" t="s">
        <v>826</v>
      </c>
      <c r="H161" s="2" t="s">
        <v>827</v>
      </c>
      <c r="I161" s="2" t="s">
        <v>828</v>
      </c>
      <c r="J161" s="2" t="s">
        <v>829</v>
      </c>
      <c r="K161" s="3">
        <v>4</v>
      </c>
      <c r="L161" s="3">
        <v>81670</v>
      </c>
      <c r="M161" s="2">
        <v>13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D6ABE-5BD0-4245-B356-E4E6C6EB6ACD}">
  <dimension ref="A2:O46"/>
  <sheetViews>
    <sheetView topLeftCell="A16" workbookViewId="0">
      <selection sqref="A1:XFD1048576"/>
    </sheetView>
  </sheetViews>
  <sheetFormatPr defaultRowHeight="14.45"/>
  <cols>
    <col min="1" max="1" width="13" bestFit="1" customWidth="1"/>
    <col min="2" max="2" width="16.28515625" bestFit="1" customWidth="1"/>
    <col min="3" max="3" width="12.7109375" bestFit="1" customWidth="1"/>
    <col min="4" max="4" width="11" bestFit="1" customWidth="1"/>
    <col min="5" max="5" width="15.5703125" bestFit="1" customWidth="1"/>
    <col min="7" max="7" width="10.28515625" bestFit="1" customWidth="1"/>
    <col min="8" max="8" width="14.28515625" bestFit="1" customWidth="1"/>
    <col min="10" max="10" width="15.140625" bestFit="1" customWidth="1"/>
    <col min="11" max="11" width="18.5703125" bestFit="1" customWidth="1"/>
    <col min="14" max="14" width="12" bestFit="1" customWidth="1"/>
    <col min="15" max="15" width="14.7109375" bestFit="1" customWidth="1"/>
  </cols>
  <sheetData>
    <row r="2" spans="1:15">
      <c r="A2" s="4" t="s">
        <v>242</v>
      </c>
      <c r="B2" s="4" t="s">
        <v>16</v>
      </c>
      <c r="D2" s="4" t="s">
        <v>830</v>
      </c>
      <c r="E2" s="4" t="s">
        <v>831</v>
      </c>
      <c r="G2" s="4" t="s">
        <v>245</v>
      </c>
      <c r="H2" s="4" t="s">
        <v>22</v>
      </c>
      <c r="J2" s="4" t="s">
        <v>243</v>
      </c>
      <c r="K2" s="4" t="s">
        <v>17</v>
      </c>
      <c r="N2" s="4" t="s">
        <v>244</v>
      </c>
      <c r="O2" s="4" t="s">
        <v>0</v>
      </c>
    </row>
    <row r="3" spans="1:15">
      <c r="A3" s="3">
        <v>1</v>
      </c>
      <c r="B3" s="2" t="s">
        <v>32</v>
      </c>
      <c r="D3" s="3">
        <v>1</v>
      </c>
      <c r="E3" s="2" t="s">
        <v>11</v>
      </c>
      <c r="G3" s="3">
        <v>1</v>
      </c>
      <c r="H3" s="2" t="s">
        <v>39</v>
      </c>
      <c r="J3" s="3">
        <v>1</v>
      </c>
      <c r="K3" s="2" t="s">
        <v>90</v>
      </c>
      <c r="N3" s="3">
        <v>3</v>
      </c>
      <c r="O3" s="2" t="s">
        <v>4</v>
      </c>
    </row>
    <row r="4" spans="1:15">
      <c r="A4" s="3">
        <v>2</v>
      </c>
      <c r="B4" s="2" t="s">
        <v>195</v>
      </c>
      <c r="D4" s="3">
        <v>2</v>
      </c>
      <c r="E4" s="2" t="s">
        <v>12</v>
      </c>
      <c r="G4" s="3">
        <v>2</v>
      </c>
      <c r="H4" s="2" t="s">
        <v>75</v>
      </c>
      <c r="J4" s="3">
        <v>2</v>
      </c>
      <c r="K4" s="2" t="s">
        <v>73</v>
      </c>
      <c r="N4" s="3">
        <v>1</v>
      </c>
      <c r="O4" s="2" t="s">
        <v>2</v>
      </c>
    </row>
    <row r="5" spans="1:15">
      <c r="A5" s="3">
        <v>3</v>
      </c>
      <c r="B5" s="2" t="s">
        <v>44</v>
      </c>
      <c r="G5" s="3">
        <v>3</v>
      </c>
      <c r="H5" s="2" t="s">
        <v>47</v>
      </c>
      <c r="J5" s="3">
        <v>3</v>
      </c>
      <c r="K5" s="2" t="s">
        <v>85</v>
      </c>
      <c r="N5" s="3">
        <v>2</v>
      </c>
      <c r="O5" s="2" t="s">
        <v>3</v>
      </c>
    </row>
    <row r="6" spans="1:15">
      <c r="A6" s="3">
        <v>4</v>
      </c>
      <c r="B6" s="2" t="s">
        <v>59</v>
      </c>
      <c r="G6" s="3">
        <v>4</v>
      </c>
      <c r="H6" s="2" t="s">
        <v>55</v>
      </c>
      <c r="J6" s="3">
        <v>4</v>
      </c>
      <c r="K6" s="2" t="s">
        <v>108</v>
      </c>
      <c r="N6" s="3">
        <v>5</v>
      </c>
      <c r="O6" s="2" t="s">
        <v>6</v>
      </c>
    </row>
    <row r="7" spans="1:15">
      <c r="A7" s="3">
        <v>5</v>
      </c>
      <c r="B7" s="2" t="s">
        <v>97</v>
      </c>
      <c r="G7" s="3">
        <v>5</v>
      </c>
      <c r="H7" s="2" t="s">
        <v>43</v>
      </c>
      <c r="J7" s="3">
        <v>5</v>
      </c>
      <c r="K7" s="2" t="s">
        <v>60</v>
      </c>
      <c r="N7" s="3">
        <v>4</v>
      </c>
      <c r="O7" s="2" t="s">
        <v>5</v>
      </c>
    </row>
    <row r="8" spans="1:15">
      <c r="A8" s="3">
        <v>6</v>
      </c>
      <c r="B8" s="2" t="s">
        <v>65</v>
      </c>
      <c r="G8" s="3">
        <v>6</v>
      </c>
      <c r="H8" s="2" t="s">
        <v>53</v>
      </c>
      <c r="J8" s="3">
        <v>6</v>
      </c>
      <c r="K8" s="2" t="s">
        <v>196</v>
      </c>
    </row>
    <row r="9" spans="1:15">
      <c r="A9" s="3">
        <v>7</v>
      </c>
      <c r="B9" s="2" t="s">
        <v>50</v>
      </c>
      <c r="G9" s="3">
        <v>7</v>
      </c>
      <c r="H9" s="2" t="s">
        <v>89</v>
      </c>
      <c r="J9" s="3">
        <v>7</v>
      </c>
      <c r="K9" s="2" t="s">
        <v>83</v>
      </c>
    </row>
    <row r="10" spans="1:15">
      <c r="A10" s="3">
        <v>8</v>
      </c>
      <c r="B10" s="2" t="s">
        <v>115</v>
      </c>
      <c r="G10" s="3">
        <v>8</v>
      </c>
      <c r="H10" s="2" t="s">
        <v>35</v>
      </c>
      <c r="J10" s="3">
        <v>8</v>
      </c>
      <c r="K10" s="2" t="s">
        <v>116</v>
      </c>
    </row>
    <row r="11" spans="1:15">
      <c r="A11" s="3">
        <v>9</v>
      </c>
      <c r="B11" s="2" t="s">
        <v>82</v>
      </c>
      <c r="G11" s="3">
        <v>9</v>
      </c>
      <c r="H11" s="2" t="s">
        <v>49</v>
      </c>
      <c r="J11" s="3">
        <v>9</v>
      </c>
      <c r="K11" s="2" t="s">
        <v>37</v>
      </c>
    </row>
    <row r="12" spans="1:15">
      <c r="A12" s="3">
        <v>10</v>
      </c>
      <c r="B12" s="2" t="s">
        <v>36</v>
      </c>
      <c r="G12" s="3">
        <v>10</v>
      </c>
      <c r="H12" s="2" t="s">
        <v>64</v>
      </c>
      <c r="J12" s="3">
        <v>10</v>
      </c>
      <c r="K12" s="2" t="s">
        <v>94</v>
      </c>
    </row>
    <row r="13" spans="1:15">
      <c r="A13" s="3">
        <v>11</v>
      </c>
      <c r="B13" s="2" t="s">
        <v>77</v>
      </c>
      <c r="J13" s="3">
        <v>11</v>
      </c>
      <c r="K13" s="2" t="s">
        <v>80</v>
      </c>
    </row>
    <row r="14" spans="1:15">
      <c r="A14" s="3">
        <v>12</v>
      </c>
      <c r="B14" s="2" t="s">
        <v>56</v>
      </c>
      <c r="J14" s="3">
        <v>12</v>
      </c>
      <c r="K14" s="2" t="s">
        <v>57</v>
      </c>
    </row>
    <row r="15" spans="1:15">
      <c r="A15" s="3">
        <v>13</v>
      </c>
      <c r="B15" s="2" t="s">
        <v>105</v>
      </c>
      <c r="J15" s="3">
        <v>13</v>
      </c>
      <c r="K15" s="2" t="s">
        <v>66</v>
      </c>
    </row>
    <row r="16" spans="1:15">
      <c r="A16" s="3">
        <v>14</v>
      </c>
      <c r="B16" s="2" t="s">
        <v>72</v>
      </c>
      <c r="J16" s="3">
        <v>14</v>
      </c>
      <c r="K16" s="2" t="s">
        <v>98</v>
      </c>
    </row>
    <row r="17" spans="1:11">
      <c r="A17" s="3">
        <v>15</v>
      </c>
      <c r="B17" s="2" t="s">
        <v>133</v>
      </c>
      <c r="J17" s="3">
        <v>15</v>
      </c>
      <c r="K17" s="2" t="s">
        <v>33</v>
      </c>
    </row>
    <row r="18" spans="1:11">
      <c r="A18" s="3">
        <v>16</v>
      </c>
      <c r="B18" s="2" t="s">
        <v>40</v>
      </c>
      <c r="J18" s="3">
        <v>16</v>
      </c>
      <c r="K18" s="2" t="s">
        <v>241</v>
      </c>
    </row>
    <row r="19" spans="1:11">
      <c r="J19" s="3">
        <v>17</v>
      </c>
      <c r="K19" s="2" t="s">
        <v>41</v>
      </c>
    </row>
    <row r="20" spans="1:11">
      <c r="J20" s="3">
        <v>18</v>
      </c>
      <c r="K20" s="2" t="s">
        <v>45</v>
      </c>
    </row>
    <row r="21" spans="1:11">
      <c r="J21" s="3">
        <v>19</v>
      </c>
      <c r="K21" s="2" t="s">
        <v>51</v>
      </c>
    </row>
    <row r="22" spans="1:11">
      <c r="J22" s="3">
        <v>20</v>
      </c>
      <c r="K22" s="2" t="s">
        <v>134</v>
      </c>
    </row>
    <row r="23" spans="1:11">
      <c r="A23" s="11" t="s">
        <v>832</v>
      </c>
      <c r="B23" s="11" t="s">
        <v>833</v>
      </c>
      <c r="C23" s="11" t="s">
        <v>834</v>
      </c>
      <c r="D23" s="11" t="s">
        <v>835</v>
      </c>
      <c r="E23" s="12" t="s">
        <v>836</v>
      </c>
      <c r="J23" s="3">
        <v>21</v>
      </c>
      <c r="K23" s="2" t="s">
        <v>62</v>
      </c>
    </row>
    <row r="24" spans="1:11">
      <c r="A24" s="7">
        <v>1</v>
      </c>
      <c r="B24" s="7" t="s">
        <v>837</v>
      </c>
      <c r="C24" s="7" t="s">
        <v>838</v>
      </c>
      <c r="D24" s="7" t="s">
        <v>839</v>
      </c>
      <c r="E24" s="8">
        <v>32300</v>
      </c>
      <c r="J24" s="3">
        <v>22</v>
      </c>
      <c r="K24" s="2" t="s">
        <v>100</v>
      </c>
    </row>
    <row r="25" spans="1:11">
      <c r="A25" s="9">
        <v>2</v>
      </c>
      <c r="B25" s="9" t="s">
        <v>840</v>
      </c>
      <c r="C25" s="9" t="s">
        <v>841</v>
      </c>
      <c r="D25" s="9" t="s">
        <v>839</v>
      </c>
      <c r="E25" s="10">
        <v>32640</v>
      </c>
    </row>
    <row r="26" spans="1:11">
      <c r="A26" s="7">
        <v>3</v>
      </c>
      <c r="B26" s="7" t="s">
        <v>842</v>
      </c>
      <c r="C26" s="7" t="s">
        <v>843</v>
      </c>
      <c r="D26" s="7" t="s">
        <v>839</v>
      </c>
      <c r="E26" s="8">
        <v>32875</v>
      </c>
    </row>
    <row r="27" spans="1:11">
      <c r="A27" s="9">
        <v>4</v>
      </c>
      <c r="B27" s="9" t="s">
        <v>844</v>
      </c>
      <c r="C27" s="9" t="s">
        <v>843</v>
      </c>
      <c r="D27" s="9" t="s">
        <v>845</v>
      </c>
      <c r="E27" s="10">
        <v>33733</v>
      </c>
    </row>
    <row r="28" spans="1:11">
      <c r="A28" s="7">
        <v>5</v>
      </c>
      <c r="B28" s="7" t="s">
        <v>846</v>
      </c>
      <c r="C28" s="7" t="s">
        <v>847</v>
      </c>
      <c r="D28" s="7" t="s">
        <v>839</v>
      </c>
      <c r="E28" s="8">
        <v>33645</v>
      </c>
    </row>
    <row r="29" spans="1:11">
      <c r="A29" s="9">
        <v>6</v>
      </c>
      <c r="B29" s="9" t="s">
        <v>848</v>
      </c>
      <c r="C29" s="9" t="s">
        <v>849</v>
      </c>
      <c r="D29" s="9" t="s">
        <v>839</v>
      </c>
      <c r="E29" s="10">
        <v>33039</v>
      </c>
    </row>
    <row r="30" spans="1:11">
      <c r="A30" s="7">
        <v>7</v>
      </c>
      <c r="B30" s="7" t="s">
        <v>850</v>
      </c>
      <c r="C30" s="7" t="s">
        <v>851</v>
      </c>
      <c r="D30" s="7" t="s">
        <v>839</v>
      </c>
      <c r="E30" s="8">
        <v>33454</v>
      </c>
    </row>
    <row r="31" spans="1:11">
      <c r="A31" s="9">
        <v>8</v>
      </c>
      <c r="B31" s="9" t="s">
        <v>852</v>
      </c>
      <c r="C31" s="9" t="s">
        <v>853</v>
      </c>
      <c r="D31" s="9" t="s">
        <v>854</v>
      </c>
      <c r="E31" s="10">
        <v>30020</v>
      </c>
    </row>
    <row r="32" spans="1:11">
      <c r="A32" s="7">
        <v>9</v>
      </c>
      <c r="B32" s="7" t="s">
        <v>855</v>
      </c>
      <c r="C32" s="7" t="s">
        <v>838</v>
      </c>
      <c r="D32" s="7" t="s">
        <v>839</v>
      </c>
      <c r="E32" s="8">
        <v>31966</v>
      </c>
    </row>
    <row r="33" spans="1:5">
      <c r="A33" s="9">
        <v>10</v>
      </c>
      <c r="B33" s="9" t="s">
        <v>856</v>
      </c>
      <c r="C33" s="9" t="s">
        <v>857</v>
      </c>
      <c r="D33" s="9" t="s">
        <v>854</v>
      </c>
      <c r="E33" s="10">
        <v>31116</v>
      </c>
    </row>
    <row r="34" spans="1:5">
      <c r="A34" s="7">
        <v>11</v>
      </c>
      <c r="B34" s="7" t="s">
        <v>858</v>
      </c>
      <c r="C34" s="7" t="s">
        <v>859</v>
      </c>
      <c r="D34" s="7" t="s">
        <v>839</v>
      </c>
      <c r="E34" s="8">
        <v>32212</v>
      </c>
    </row>
    <row r="35" spans="1:5">
      <c r="A35" s="9">
        <v>12</v>
      </c>
      <c r="B35" s="9" t="s">
        <v>860</v>
      </c>
      <c r="C35" s="9" t="s">
        <v>861</v>
      </c>
      <c r="D35" s="9" t="s">
        <v>862</v>
      </c>
      <c r="E35" s="10">
        <v>33145</v>
      </c>
    </row>
    <row r="36" spans="1:5">
      <c r="A36" s="7">
        <v>13</v>
      </c>
      <c r="B36" s="7" t="s">
        <v>863</v>
      </c>
      <c r="C36" s="7" t="s">
        <v>864</v>
      </c>
      <c r="D36" s="7" t="s">
        <v>845</v>
      </c>
      <c r="E36" s="8">
        <v>34729</v>
      </c>
    </row>
    <row r="37" spans="1:5">
      <c r="A37" s="9">
        <v>14</v>
      </c>
      <c r="B37" s="9" t="s">
        <v>865</v>
      </c>
      <c r="C37" s="9" t="s">
        <v>851</v>
      </c>
      <c r="D37" s="9" t="s">
        <v>862</v>
      </c>
      <c r="E37" s="10">
        <v>33572</v>
      </c>
    </row>
    <row r="38" spans="1:5">
      <c r="A38" s="7">
        <v>15</v>
      </c>
      <c r="B38" s="7" t="s">
        <v>866</v>
      </c>
      <c r="C38" s="7" t="s">
        <v>867</v>
      </c>
      <c r="D38" s="7" t="s">
        <v>845</v>
      </c>
      <c r="E38" s="8">
        <v>35151</v>
      </c>
    </row>
    <row r="39" spans="1:5">
      <c r="A39" s="9">
        <v>16</v>
      </c>
      <c r="B39" s="9" t="s">
        <v>868</v>
      </c>
      <c r="C39" s="9" t="s">
        <v>869</v>
      </c>
      <c r="D39" s="9" t="s">
        <v>854</v>
      </c>
      <c r="E39" s="10">
        <v>34171</v>
      </c>
    </row>
    <row r="40" spans="1:5">
      <c r="A40" s="7">
        <v>17</v>
      </c>
      <c r="B40" s="7" t="s">
        <v>870</v>
      </c>
      <c r="C40" s="7" t="s">
        <v>871</v>
      </c>
      <c r="D40" s="7" t="s">
        <v>854</v>
      </c>
      <c r="E40" s="8">
        <v>34382</v>
      </c>
    </row>
    <row r="41" spans="1:5">
      <c r="A41" s="9">
        <v>18</v>
      </c>
      <c r="B41" s="9" t="s">
        <v>872</v>
      </c>
      <c r="C41" s="9" t="s">
        <v>873</v>
      </c>
      <c r="D41" s="9" t="s">
        <v>845</v>
      </c>
      <c r="E41" s="10">
        <v>33838</v>
      </c>
    </row>
    <row r="42" spans="1:5">
      <c r="A42" s="7">
        <v>19</v>
      </c>
      <c r="B42" s="7" t="s">
        <v>874</v>
      </c>
      <c r="C42" s="7" t="s">
        <v>875</v>
      </c>
      <c r="D42" s="7" t="s">
        <v>845</v>
      </c>
      <c r="E42" s="8">
        <v>33525</v>
      </c>
    </row>
    <row r="43" spans="1:5">
      <c r="A43" s="9">
        <v>20</v>
      </c>
      <c r="B43" s="9" t="s">
        <v>876</v>
      </c>
      <c r="C43" s="9" t="s">
        <v>877</v>
      </c>
      <c r="D43" s="9" t="s">
        <v>854</v>
      </c>
      <c r="E43" s="10">
        <v>34440</v>
      </c>
    </row>
    <row r="44" spans="1:5">
      <c r="A44" s="7">
        <v>21</v>
      </c>
      <c r="B44" s="7" t="s">
        <v>878</v>
      </c>
      <c r="C44" s="7" t="s">
        <v>879</v>
      </c>
      <c r="D44" s="7" t="s">
        <v>854</v>
      </c>
      <c r="E44" s="8">
        <v>35038</v>
      </c>
    </row>
    <row r="45" spans="1:5">
      <c r="A45" s="9">
        <v>22</v>
      </c>
      <c r="B45" s="9" t="s">
        <v>841</v>
      </c>
      <c r="C45" s="9" t="s">
        <v>880</v>
      </c>
      <c r="D45" s="9" t="s">
        <v>854</v>
      </c>
      <c r="E45" s="10">
        <v>36923</v>
      </c>
    </row>
    <row r="46" spans="1:5">
      <c r="A46" s="7">
        <v>23</v>
      </c>
      <c r="B46" s="13" t="s">
        <v>881</v>
      </c>
      <c r="C46" s="13" t="s">
        <v>880</v>
      </c>
      <c r="D46" s="13" t="s">
        <v>854</v>
      </c>
      <c r="E46" s="14">
        <v>34230</v>
      </c>
    </row>
  </sheetData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72B9E-913B-4D3D-87BB-B5D14EA80CF8}">
  <dimension ref="B2:C4020"/>
  <sheetViews>
    <sheetView workbookViewId="0">
      <selection sqref="A1:XFD1048576"/>
    </sheetView>
  </sheetViews>
  <sheetFormatPr defaultRowHeight="14.45"/>
  <cols>
    <col min="2" max="2" width="11.140625" bestFit="1" customWidth="1"/>
    <col min="3" max="3" width="11.28515625" bestFit="1" customWidth="1"/>
  </cols>
  <sheetData>
    <row r="2" spans="2:3">
      <c r="B2" s="4" t="s">
        <v>882</v>
      </c>
      <c r="C2" s="4" t="s">
        <v>883</v>
      </c>
    </row>
    <row r="3" spans="2:3">
      <c r="B3" s="6">
        <v>42005</v>
      </c>
      <c r="C3" s="2" t="s">
        <v>884</v>
      </c>
    </row>
    <row r="4" spans="2:3">
      <c r="B4" s="6">
        <v>42006</v>
      </c>
      <c r="C4" s="2" t="s">
        <v>885</v>
      </c>
    </row>
    <row r="5" spans="2:3">
      <c r="B5" s="6">
        <v>42007</v>
      </c>
      <c r="C5" s="2" t="s">
        <v>886</v>
      </c>
    </row>
    <row r="6" spans="2:3">
      <c r="B6" s="6">
        <v>42008</v>
      </c>
      <c r="C6" s="2" t="s">
        <v>887</v>
      </c>
    </row>
    <row r="7" spans="2:3">
      <c r="B7" s="6">
        <v>42009</v>
      </c>
      <c r="C7" s="2" t="s">
        <v>888</v>
      </c>
    </row>
    <row r="8" spans="2:3">
      <c r="B8" s="6">
        <v>42010</v>
      </c>
      <c r="C8" s="2" t="s">
        <v>889</v>
      </c>
    </row>
    <row r="9" spans="2:3">
      <c r="B9" s="6">
        <v>42011</v>
      </c>
      <c r="C9" s="2" t="s">
        <v>890</v>
      </c>
    </row>
    <row r="10" spans="2:3">
      <c r="B10" s="6">
        <v>42012</v>
      </c>
      <c r="C10" s="2" t="s">
        <v>891</v>
      </c>
    </row>
    <row r="11" spans="2:3">
      <c r="B11" s="6">
        <v>42013</v>
      </c>
      <c r="C11" s="2" t="s">
        <v>892</v>
      </c>
    </row>
    <row r="12" spans="2:3">
      <c r="B12" s="6">
        <v>42014</v>
      </c>
      <c r="C12" s="2" t="s">
        <v>893</v>
      </c>
    </row>
    <row r="13" spans="2:3">
      <c r="B13" s="6">
        <v>42015</v>
      </c>
      <c r="C13" s="2" t="s">
        <v>894</v>
      </c>
    </row>
    <row r="14" spans="2:3">
      <c r="B14" s="6">
        <v>42016</v>
      </c>
      <c r="C14" s="2" t="s">
        <v>895</v>
      </c>
    </row>
    <row r="15" spans="2:3">
      <c r="B15" s="6">
        <v>42017</v>
      </c>
      <c r="C15" s="2" t="s">
        <v>896</v>
      </c>
    </row>
    <row r="16" spans="2:3">
      <c r="B16" s="6">
        <v>42018</v>
      </c>
      <c r="C16" s="2" t="s">
        <v>897</v>
      </c>
    </row>
    <row r="17" spans="2:3">
      <c r="B17" s="6">
        <v>42019</v>
      </c>
      <c r="C17" s="2" t="s">
        <v>898</v>
      </c>
    </row>
    <row r="18" spans="2:3">
      <c r="B18" s="6">
        <v>42020</v>
      </c>
      <c r="C18" s="2" t="s">
        <v>899</v>
      </c>
    </row>
    <row r="19" spans="2:3">
      <c r="B19" s="6">
        <v>42021</v>
      </c>
      <c r="C19" s="2" t="s">
        <v>900</v>
      </c>
    </row>
    <row r="20" spans="2:3">
      <c r="B20" s="6">
        <v>42022</v>
      </c>
      <c r="C20" s="2" t="s">
        <v>901</v>
      </c>
    </row>
    <row r="21" spans="2:3">
      <c r="B21" s="6">
        <v>42023</v>
      </c>
      <c r="C21" s="2" t="s">
        <v>902</v>
      </c>
    </row>
    <row r="22" spans="2:3">
      <c r="B22" s="6">
        <v>42024</v>
      </c>
      <c r="C22" s="2" t="s">
        <v>903</v>
      </c>
    </row>
    <row r="23" spans="2:3">
      <c r="B23" s="6">
        <v>42025</v>
      </c>
      <c r="C23" s="2" t="s">
        <v>904</v>
      </c>
    </row>
    <row r="24" spans="2:3">
      <c r="B24" s="6">
        <v>42026</v>
      </c>
      <c r="C24" s="2" t="s">
        <v>905</v>
      </c>
    </row>
    <row r="25" spans="2:3">
      <c r="B25" s="6">
        <v>42027</v>
      </c>
      <c r="C25" s="2" t="s">
        <v>906</v>
      </c>
    </row>
    <row r="26" spans="2:3">
      <c r="B26" s="6">
        <v>42028</v>
      </c>
      <c r="C26" s="2" t="s">
        <v>907</v>
      </c>
    </row>
    <row r="27" spans="2:3">
      <c r="B27" s="6">
        <v>42029</v>
      </c>
      <c r="C27" s="2" t="s">
        <v>908</v>
      </c>
    </row>
    <row r="28" spans="2:3">
      <c r="B28" s="6">
        <v>42030</v>
      </c>
      <c r="C28" s="2" t="s">
        <v>909</v>
      </c>
    </row>
    <row r="29" spans="2:3">
      <c r="B29" s="6">
        <v>42031</v>
      </c>
      <c r="C29" s="2" t="s">
        <v>910</v>
      </c>
    </row>
    <row r="30" spans="2:3">
      <c r="B30" s="6">
        <v>42032</v>
      </c>
      <c r="C30" s="2" t="s">
        <v>330</v>
      </c>
    </row>
    <row r="31" spans="2:3">
      <c r="B31" s="6">
        <v>42033</v>
      </c>
      <c r="C31" s="2" t="s">
        <v>911</v>
      </c>
    </row>
    <row r="32" spans="2:3">
      <c r="B32" s="6">
        <v>42034</v>
      </c>
      <c r="C32" s="2" t="s">
        <v>331</v>
      </c>
    </row>
    <row r="33" spans="2:3">
      <c r="B33" s="6">
        <v>42035</v>
      </c>
      <c r="C33" s="2" t="s">
        <v>912</v>
      </c>
    </row>
    <row r="34" spans="2:3">
      <c r="B34" s="6">
        <v>42036</v>
      </c>
      <c r="C34" s="2" t="s">
        <v>913</v>
      </c>
    </row>
    <row r="35" spans="2:3">
      <c r="B35" s="6">
        <v>42037</v>
      </c>
      <c r="C35" s="2" t="s">
        <v>332</v>
      </c>
    </row>
    <row r="36" spans="2:3">
      <c r="B36" s="6">
        <v>42038</v>
      </c>
      <c r="C36" s="2" t="s">
        <v>914</v>
      </c>
    </row>
    <row r="37" spans="2:3">
      <c r="B37" s="6">
        <v>42039</v>
      </c>
      <c r="C37" s="2" t="s">
        <v>915</v>
      </c>
    </row>
    <row r="38" spans="2:3">
      <c r="B38" s="6">
        <v>42040</v>
      </c>
      <c r="C38" s="2" t="s">
        <v>916</v>
      </c>
    </row>
    <row r="39" spans="2:3">
      <c r="B39" s="6">
        <v>42041</v>
      </c>
      <c r="C39" s="2" t="s">
        <v>333</v>
      </c>
    </row>
    <row r="40" spans="2:3">
      <c r="B40" s="6">
        <v>42042</v>
      </c>
      <c r="C40" s="2" t="s">
        <v>917</v>
      </c>
    </row>
    <row r="41" spans="2:3">
      <c r="B41" s="6">
        <v>42043</v>
      </c>
      <c r="C41" s="2" t="s">
        <v>918</v>
      </c>
    </row>
    <row r="42" spans="2:3">
      <c r="B42" s="6">
        <v>42044</v>
      </c>
      <c r="C42" s="2" t="s">
        <v>919</v>
      </c>
    </row>
    <row r="43" spans="2:3">
      <c r="B43" s="6">
        <v>42045</v>
      </c>
      <c r="C43" s="2" t="s">
        <v>920</v>
      </c>
    </row>
    <row r="44" spans="2:3">
      <c r="B44" s="6">
        <v>42046</v>
      </c>
      <c r="C44" s="2" t="s">
        <v>921</v>
      </c>
    </row>
    <row r="45" spans="2:3">
      <c r="B45" s="6">
        <v>42047</v>
      </c>
      <c r="C45" s="2" t="s">
        <v>922</v>
      </c>
    </row>
    <row r="46" spans="2:3">
      <c r="B46" s="6">
        <v>42048</v>
      </c>
      <c r="C46" s="2" t="s">
        <v>923</v>
      </c>
    </row>
    <row r="47" spans="2:3">
      <c r="B47" s="6">
        <v>42049</v>
      </c>
      <c r="C47" s="2" t="s">
        <v>924</v>
      </c>
    </row>
    <row r="48" spans="2:3">
      <c r="B48" s="6">
        <v>42050</v>
      </c>
      <c r="C48" s="2" t="s">
        <v>925</v>
      </c>
    </row>
    <row r="49" spans="2:3">
      <c r="B49" s="6">
        <v>42051</v>
      </c>
      <c r="C49" s="2" t="s">
        <v>447</v>
      </c>
    </row>
    <row r="50" spans="2:3">
      <c r="B50" s="6">
        <v>42052</v>
      </c>
      <c r="C50" s="2" t="s">
        <v>926</v>
      </c>
    </row>
    <row r="51" spans="2:3">
      <c r="B51" s="6">
        <v>42053</v>
      </c>
      <c r="C51" s="2" t="s">
        <v>448</v>
      </c>
    </row>
    <row r="52" spans="2:3">
      <c r="B52" s="6">
        <v>42054</v>
      </c>
      <c r="C52" s="2" t="s">
        <v>927</v>
      </c>
    </row>
    <row r="53" spans="2:3">
      <c r="B53" s="6">
        <v>42055</v>
      </c>
      <c r="C53" s="2" t="s">
        <v>928</v>
      </c>
    </row>
    <row r="54" spans="2:3">
      <c r="B54" s="6">
        <v>42056</v>
      </c>
      <c r="C54" s="2" t="s">
        <v>929</v>
      </c>
    </row>
    <row r="55" spans="2:3">
      <c r="B55" s="6">
        <v>42057</v>
      </c>
      <c r="C55" s="2" t="s">
        <v>449</v>
      </c>
    </row>
    <row r="56" spans="2:3">
      <c r="B56" s="6">
        <v>42058</v>
      </c>
      <c r="C56" s="2" t="s">
        <v>930</v>
      </c>
    </row>
    <row r="57" spans="2:3">
      <c r="B57" s="6">
        <v>42059</v>
      </c>
      <c r="C57" s="2" t="s">
        <v>450</v>
      </c>
    </row>
    <row r="58" spans="2:3">
      <c r="B58" s="6">
        <v>42060</v>
      </c>
      <c r="C58" s="2" t="s">
        <v>931</v>
      </c>
    </row>
    <row r="59" spans="2:3">
      <c r="B59" s="6">
        <v>42061</v>
      </c>
      <c r="C59" s="2" t="s">
        <v>932</v>
      </c>
    </row>
    <row r="60" spans="2:3">
      <c r="B60" s="6">
        <v>42062</v>
      </c>
      <c r="C60" s="2" t="s">
        <v>933</v>
      </c>
    </row>
    <row r="61" spans="2:3">
      <c r="B61" s="6">
        <v>42063</v>
      </c>
      <c r="C61" s="2" t="s">
        <v>934</v>
      </c>
    </row>
    <row r="62" spans="2:3">
      <c r="B62" s="6">
        <v>42064</v>
      </c>
      <c r="C62" s="2" t="s">
        <v>935</v>
      </c>
    </row>
    <row r="63" spans="2:3">
      <c r="B63" s="6">
        <v>42065</v>
      </c>
      <c r="C63" s="2" t="s">
        <v>936</v>
      </c>
    </row>
    <row r="64" spans="2:3">
      <c r="B64" s="6">
        <v>42066</v>
      </c>
      <c r="C64" s="2" t="s">
        <v>937</v>
      </c>
    </row>
    <row r="65" spans="2:3">
      <c r="B65" s="6">
        <v>42067</v>
      </c>
      <c r="C65" s="2" t="s">
        <v>938</v>
      </c>
    </row>
    <row r="66" spans="2:3">
      <c r="B66" s="6">
        <v>42068</v>
      </c>
      <c r="C66" s="2" t="s">
        <v>939</v>
      </c>
    </row>
    <row r="67" spans="2:3">
      <c r="B67" s="6">
        <v>42069</v>
      </c>
      <c r="C67" s="2" t="s">
        <v>940</v>
      </c>
    </row>
    <row r="68" spans="2:3">
      <c r="B68" s="6">
        <v>42070</v>
      </c>
      <c r="C68" s="2" t="s">
        <v>941</v>
      </c>
    </row>
    <row r="69" spans="2:3">
      <c r="B69" s="6">
        <v>42071</v>
      </c>
      <c r="C69" s="2" t="s">
        <v>942</v>
      </c>
    </row>
    <row r="70" spans="2:3">
      <c r="B70" s="6">
        <v>42072</v>
      </c>
      <c r="C70" s="2" t="s">
        <v>943</v>
      </c>
    </row>
    <row r="71" spans="2:3">
      <c r="B71" s="6">
        <v>42073</v>
      </c>
      <c r="C71" s="2" t="s">
        <v>944</v>
      </c>
    </row>
    <row r="72" spans="2:3">
      <c r="B72" s="6">
        <v>42074</v>
      </c>
      <c r="C72" s="2" t="s">
        <v>945</v>
      </c>
    </row>
    <row r="73" spans="2:3">
      <c r="B73" s="6">
        <v>42075</v>
      </c>
      <c r="C73" s="2" t="s">
        <v>946</v>
      </c>
    </row>
    <row r="74" spans="2:3">
      <c r="B74" s="6">
        <v>42076</v>
      </c>
      <c r="C74" s="2" t="s">
        <v>947</v>
      </c>
    </row>
    <row r="75" spans="2:3">
      <c r="B75" s="6">
        <v>42077</v>
      </c>
      <c r="C75" s="2" t="s">
        <v>948</v>
      </c>
    </row>
    <row r="76" spans="2:3">
      <c r="B76" s="6">
        <v>42078</v>
      </c>
      <c r="C76" s="2" t="s">
        <v>949</v>
      </c>
    </row>
    <row r="77" spans="2:3">
      <c r="B77" s="6">
        <v>42079</v>
      </c>
      <c r="C77" s="2" t="s">
        <v>950</v>
      </c>
    </row>
    <row r="78" spans="2:3">
      <c r="B78" s="6">
        <v>42080</v>
      </c>
      <c r="C78" s="2" t="s">
        <v>951</v>
      </c>
    </row>
    <row r="79" spans="2:3">
      <c r="B79" s="6">
        <v>42081</v>
      </c>
      <c r="C79" s="2" t="s">
        <v>952</v>
      </c>
    </row>
    <row r="80" spans="2:3">
      <c r="B80" s="6">
        <v>42082</v>
      </c>
      <c r="C80" s="2" t="s">
        <v>953</v>
      </c>
    </row>
    <row r="81" spans="2:3">
      <c r="B81" s="6">
        <v>42083</v>
      </c>
      <c r="C81" s="2" t="s">
        <v>954</v>
      </c>
    </row>
    <row r="82" spans="2:3">
      <c r="B82" s="6">
        <v>42084</v>
      </c>
      <c r="C82" s="2" t="s">
        <v>955</v>
      </c>
    </row>
    <row r="83" spans="2:3">
      <c r="B83" s="6">
        <v>42085</v>
      </c>
      <c r="C83" s="2" t="s">
        <v>956</v>
      </c>
    </row>
    <row r="84" spans="2:3">
      <c r="B84" s="6">
        <v>42086</v>
      </c>
      <c r="C84" s="2" t="s">
        <v>957</v>
      </c>
    </row>
    <row r="85" spans="2:3">
      <c r="B85" s="6">
        <v>42087</v>
      </c>
      <c r="C85" s="2" t="s">
        <v>958</v>
      </c>
    </row>
    <row r="86" spans="2:3">
      <c r="B86" s="6">
        <v>42088</v>
      </c>
      <c r="C86" s="2" t="s">
        <v>959</v>
      </c>
    </row>
    <row r="87" spans="2:3">
      <c r="B87" s="6">
        <v>42089</v>
      </c>
      <c r="C87" s="2" t="s">
        <v>960</v>
      </c>
    </row>
    <row r="88" spans="2:3">
      <c r="B88" s="6">
        <v>42090</v>
      </c>
      <c r="C88" s="2" t="s">
        <v>961</v>
      </c>
    </row>
    <row r="89" spans="2:3">
      <c r="B89" s="6">
        <v>42091</v>
      </c>
      <c r="C89" s="2" t="s">
        <v>962</v>
      </c>
    </row>
    <row r="90" spans="2:3">
      <c r="B90" s="6">
        <v>42092</v>
      </c>
      <c r="C90" s="2" t="s">
        <v>963</v>
      </c>
    </row>
    <row r="91" spans="2:3">
      <c r="B91" s="6">
        <v>42093</v>
      </c>
      <c r="C91" s="2" t="s">
        <v>964</v>
      </c>
    </row>
    <row r="92" spans="2:3">
      <c r="B92" s="6">
        <v>42094</v>
      </c>
      <c r="C92" s="2" t="s">
        <v>965</v>
      </c>
    </row>
    <row r="93" spans="2:3">
      <c r="B93" s="6">
        <v>42095</v>
      </c>
      <c r="C93" s="2" t="s">
        <v>966</v>
      </c>
    </row>
    <row r="94" spans="2:3">
      <c r="B94" s="6">
        <v>42096</v>
      </c>
      <c r="C94" s="2" t="s">
        <v>967</v>
      </c>
    </row>
    <row r="95" spans="2:3">
      <c r="B95" s="6">
        <v>42097</v>
      </c>
      <c r="C95" s="2" t="s">
        <v>968</v>
      </c>
    </row>
    <row r="96" spans="2:3">
      <c r="B96" s="6">
        <v>42098</v>
      </c>
      <c r="C96" s="2" t="s">
        <v>969</v>
      </c>
    </row>
    <row r="97" spans="2:3">
      <c r="B97" s="6">
        <v>42099</v>
      </c>
      <c r="C97" s="2" t="s">
        <v>970</v>
      </c>
    </row>
    <row r="98" spans="2:3">
      <c r="B98" s="6">
        <v>42100</v>
      </c>
      <c r="C98" s="2" t="s">
        <v>971</v>
      </c>
    </row>
    <row r="99" spans="2:3">
      <c r="B99" s="6">
        <v>42101</v>
      </c>
      <c r="C99" s="2" t="s">
        <v>972</v>
      </c>
    </row>
    <row r="100" spans="2:3">
      <c r="B100" s="6">
        <v>42102</v>
      </c>
      <c r="C100" s="2" t="s">
        <v>973</v>
      </c>
    </row>
    <row r="101" spans="2:3">
      <c r="B101" s="6">
        <v>42103</v>
      </c>
      <c r="C101" s="2" t="s">
        <v>974</v>
      </c>
    </row>
    <row r="102" spans="2:3">
      <c r="B102" s="6">
        <v>42104</v>
      </c>
      <c r="C102" s="2" t="s">
        <v>975</v>
      </c>
    </row>
    <row r="103" spans="2:3">
      <c r="B103" s="6">
        <v>42105</v>
      </c>
      <c r="C103" s="2" t="s">
        <v>976</v>
      </c>
    </row>
    <row r="104" spans="2:3">
      <c r="B104" s="6">
        <v>42106</v>
      </c>
      <c r="C104" s="2" t="s">
        <v>977</v>
      </c>
    </row>
    <row r="105" spans="2:3">
      <c r="B105" s="6">
        <v>42107</v>
      </c>
      <c r="C105" s="2" t="s">
        <v>978</v>
      </c>
    </row>
    <row r="106" spans="2:3">
      <c r="B106" s="6">
        <v>42108</v>
      </c>
      <c r="C106" s="2" t="s">
        <v>979</v>
      </c>
    </row>
    <row r="107" spans="2:3">
      <c r="B107" s="6">
        <v>42109</v>
      </c>
      <c r="C107" s="2" t="s">
        <v>980</v>
      </c>
    </row>
    <row r="108" spans="2:3">
      <c r="B108" s="6">
        <v>42110</v>
      </c>
      <c r="C108" s="2" t="s">
        <v>981</v>
      </c>
    </row>
    <row r="109" spans="2:3">
      <c r="B109" s="6">
        <v>42111</v>
      </c>
      <c r="C109" s="2" t="s">
        <v>982</v>
      </c>
    </row>
    <row r="110" spans="2:3">
      <c r="B110" s="6">
        <v>42112</v>
      </c>
      <c r="C110" s="2" t="s">
        <v>983</v>
      </c>
    </row>
    <row r="111" spans="2:3">
      <c r="B111" s="6">
        <v>42113</v>
      </c>
      <c r="C111" s="2" t="s">
        <v>984</v>
      </c>
    </row>
    <row r="112" spans="2:3">
      <c r="B112" s="6">
        <v>42114</v>
      </c>
      <c r="C112" s="2" t="s">
        <v>985</v>
      </c>
    </row>
    <row r="113" spans="2:3">
      <c r="B113" s="6">
        <v>42115</v>
      </c>
      <c r="C113" s="2" t="s">
        <v>986</v>
      </c>
    </row>
    <row r="114" spans="2:3">
      <c r="B114" s="6">
        <v>42116</v>
      </c>
      <c r="C114" s="2" t="s">
        <v>987</v>
      </c>
    </row>
    <row r="115" spans="2:3">
      <c r="B115" s="6">
        <v>42117</v>
      </c>
      <c r="C115" s="2" t="s">
        <v>274</v>
      </c>
    </row>
    <row r="116" spans="2:3">
      <c r="B116" s="6">
        <v>42118</v>
      </c>
      <c r="C116" s="2" t="s">
        <v>988</v>
      </c>
    </row>
    <row r="117" spans="2:3">
      <c r="B117" s="6">
        <v>42119</v>
      </c>
      <c r="C117" s="2" t="s">
        <v>989</v>
      </c>
    </row>
    <row r="118" spans="2:3">
      <c r="B118" s="6">
        <v>42120</v>
      </c>
      <c r="C118" s="2" t="s">
        <v>990</v>
      </c>
    </row>
    <row r="119" spans="2:3">
      <c r="B119" s="6">
        <v>42121</v>
      </c>
      <c r="C119" s="2" t="s">
        <v>275</v>
      </c>
    </row>
    <row r="120" spans="2:3">
      <c r="B120" s="6">
        <v>42122</v>
      </c>
      <c r="C120" s="2" t="s">
        <v>991</v>
      </c>
    </row>
    <row r="121" spans="2:3">
      <c r="B121" s="6">
        <v>42123</v>
      </c>
      <c r="C121" s="2" t="s">
        <v>276</v>
      </c>
    </row>
    <row r="122" spans="2:3">
      <c r="B122" s="6">
        <v>42124</v>
      </c>
      <c r="C122" s="2" t="s">
        <v>277</v>
      </c>
    </row>
    <row r="123" spans="2:3">
      <c r="B123" s="6">
        <v>42125</v>
      </c>
      <c r="C123" s="2" t="s">
        <v>992</v>
      </c>
    </row>
    <row r="124" spans="2:3">
      <c r="B124" s="6">
        <v>42126</v>
      </c>
      <c r="C124" s="2" t="s">
        <v>993</v>
      </c>
    </row>
    <row r="125" spans="2:3">
      <c r="B125" s="6">
        <v>42127</v>
      </c>
      <c r="C125" s="2" t="s">
        <v>994</v>
      </c>
    </row>
    <row r="126" spans="2:3">
      <c r="B126" s="6">
        <v>42128</v>
      </c>
      <c r="C126" s="2" t="s">
        <v>995</v>
      </c>
    </row>
    <row r="127" spans="2:3">
      <c r="B127" s="6">
        <v>42129</v>
      </c>
      <c r="C127" s="2" t="s">
        <v>996</v>
      </c>
    </row>
    <row r="128" spans="2:3">
      <c r="B128" s="6">
        <v>42130</v>
      </c>
      <c r="C128" s="2" t="s">
        <v>997</v>
      </c>
    </row>
    <row r="129" spans="2:3">
      <c r="B129" s="6">
        <v>42131</v>
      </c>
      <c r="C129" s="2" t="s">
        <v>998</v>
      </c>
    </row>
    <row r="130" spans="2:3">
      <c r="B130" s="6">
        <v>42132</v>
      </c>
      <c r="C130" s="2" t="s">
        <v>999</v>
      </c>
    </row>
    <row r="131" spans="2:3">
      <c r="B131" s="6">
        <v>42133</v>
      </c>
      <c r="C131" s="2" t="s">
        <v>1000</v>
      </c>
    </row>
    <row r="132" spans="2:3">
      <c r="B132" s="6">
        <v>42134</v>
      </c>
      <c r="C132" s="2" t="s">
        <v>1001</v>
      </c>
    </row>
    <row r="133" spans="2:3">
      <c r="B133" s="6">
        <v>42135</v>
      </c>
      <c r="C133" s="2" t="s">
        <v>1002</v>
      </c>
    </row>
    <row r="134" spans="2:3">
      <c r="B134" s="6">
        <v>42136</v>
      </c>
      <c r="C134" s="2" t="s">
        <v>1003</v>
      </c>
    </row>
    <row r="135" spans="2:3">
      <c r="B135" s="6">
        <v>42137</v>
      </c>
      <c r="C135" s="2" t="s">
        <v>1004</v>
      </c>
    </row>
    <row r="136" spans="2:3">
      <c r="B136" s="6">
        <v>42138</v>
      </c>
      <c r="C136" s="2" t="s">
        <v>1005</v>
      </c>
    </row>
    <row r="137" spans="2:3">
      <c r="B137" s="6">
        <v>42139</v>
      </c>
      <c r="C137" s="2" t="s">
        <v>1006</v>
      </c>
    </row>
    <row r="138" spans="2:3">
      <c r="B138" s="6">
        <v>42140</v>
      </c>
      <c r="C138" s="2" t="s">
        <v>1007</v>
      </c>
    </row>
    <row r="139" spans="2:3">
      <c r="B139" s="6">
        <v>42141</v>
      </c>
      <c r="C139" s="2" t="s">
        <v>1008</v>
      </c>
    </row>
    <row r="140" spans="2:3">
      <c r="B140" s="6">
        <v>42142</v>
      </c>
      <c r="C140" s="2" t="s">
        <v>1009</v>
      </c>
    </row>
    <row r="141" spans="2:3">
      <c r="B141" s="6">
        <v>42143</v>
      </c>
      <c r="C141" s="2" t="s">
        <v>1010</v>
      </c>
    </row>
    <row r="142" spans="2:3">
      <c r="B142" s="6">
        <v>42144</v>
      </c>
      <c r="C142" s="2" t="s">
        <v>1011</v>
      </c>
    </row>
    <row r="143" spans="2:3">
      <c r="B143" s="6">
        <v>42145</v>
      </c>
      <c r="C143" s="2" t="s">
        <v>1012</v>
      </c>
    </row>
    <row r="144" spans="2:3">
      <c r="B144" s="6">
        <v>42146</v>
      </c>
      <c r="C144" s="2" t="s">
        <v>1013</v>
      </c>
    </row>
    <row r="145" spans="2:3">
      <c r="B145" s="6">
        <v>42147</v>
      </c>
      <c r="C145" s="2" t="s">
        <v>282</v>
      </c>
    </row>
    <row r="146" spans="2:3">
      <c r="B146" s="6">
        <v>42148</v>
      </c>
      <c r="C146" s="2" t="s">
        <v>1014</v>
      </c>
    </row>
    <row r="147" spans="2:3">
      <c r="B147" s="6">
        <v>42149</v>
      </c>
      <c r="C147" s="2" t="s">
        <v>1015</v>
      </c>
    </row>
    <row r="148" spans="2:3">
      <c r="B148" s="6">
        <v>42150</v>
      </c>
      <c r="C148" s="2" t="s">
        <v>283</v>
      </c>
    </row>
    <row r="149" spans="2:3">
      <c r="B149" s="6">
        <v>42151</v>
      </c>
      <c r="C149" s="2" t="s">
        <v>284</v>
      </c>
    </row>
    <row r="150" spans="2:3">
      <c r="B150" s="6">
        <v>42152</v>
      </c>
      <c r="C150" s="2" t="s">
        <v>285</v>
      </c>
    </row>
    <row r="151" spans="2:3">
      <c r="B151" s="6">
        <v>42153</v>
      </c>
      <c r="C151" s="2" t="s">
        <v>1016</v>
      </c>
    </row>
    <row r="152" spans="2:3">
      <c r="B152" s="6">
        <v>42154</v>
      </c>
      <c r="C152" s="2" t="s">
        <v>740</v>
      </c>
    </row>
    <row r="153" spans="2:3">
      <c r="B153" s="6">
        <v>42155</v>
      </c>
      <c r="C153" s="2" t="s">
        <v>741</v>
      </c>
    </row>
    <row r="154" spans="2:3">
      <c r="B154" s="6">
        <v>42156</v>
      </c>
      <c r="C154" s="2" t="s">
        <v>1017</v>
      </c>
    </row>
    <row r="155" spans="2:3">
      <c r="B155" s="6">
        <v>42157</v>
      </c>
      <c r="C155" s="2" t="s">
        <v>1018</v>
      </c>
    </row>
    <row r="156" spans="2:3">
      <c r="B156" s="6">
        <v>42158</v>
      </c>
      <c r="C156" s="2" t="s">
        <v>1019</v>
      </c>
    </row>
    <row r="157" spans="2:3">
      <c r="B157" s="6">
        <v>42159</v>
      </c>
      <c r="C157" s="2" t="s">
        <v>742</v>
      </c>
    </row>
    <row r="158" spans="2:3">
      <c r="B158" s="6">
        <v>42160</v>
      </c>
      <c r="C158" s="2" t="s">
        <v>1020</v>
      </c>
    </row>
    <row r="159" spans="2:3">
      <c r="B159" s="6">
        <v>42161</v>
      </c>
      <c r="C159" s="2" t="s">
        <v>1021</v>
      </c>
    </row>
    <row r="160" spans="2:3">
      <c r="B160" s="6">
        <v>42162</v>
      </c>
      <c r="C160" s="2" t="s">
        <v>743</v>
      </c>
    </row>
    <row r="161" spans="2:3">
      <c r="B161" s="6">
        <v>42163</v>
      </c>
      <c r="C161" s="2" t="s">
        <v>1022</v>
      </c>
    </row>
    <row r="162" spans="2:3">
      <c r="B162" s="6">
        <v>42164</v>
      </c>
      <c r="C162" s="2" t="s">
        <v>1023</v>
      </c>
    </row>
    <row r="163" spans="2:3">
      <c r="B163" s="6">
        <v>42165</v>
      </c>
      <c r="C163" s="2" t="s">
        <v>1024</v>
      </c>
    </row>
    <row r="164" spans="2:3">
      <c r="B164" s="6">
        <v>42166</v>
      </c>
      <c r="C164" s="2" t="s">
        <v>1025</v>
      </c>
    </row>
    <row r="165" spans="2:3">
      <c r="B165" s="6">
        <v>42167</v>
      </c>
      <c r="C165" s="2" t="s">
        <v>1026</v>
      </c>
    </row>
    <row r="166" spans="2:3">
      <c r="B166" s="6">
        <v>42168</v>
      </c>
      <c r="C166" s="2" t="s">
        <v>1027</v>
      </c>
    </row>
    <row r="167" spans="2:3">
      <c r="B167" s="6">
        <v>42169</v>
      </c>
      <c r="C167" s="2" t="s">
        <v>1028</v>
      </c>
    </row>
    <row r="168" spans="2:3">
      <c r="B168" s="6">
        <v>42170</v>
      </c>
      <c r="C168" s="2" t="s">
        <v>1029</v>
      </c>
    </row>
    <row r="169" spans="2:3">
      <c r="B169" s="6">
        <v>42171</v>
      </c>
      <c r="C169" s="2" t="s">
        <v>1030</v>
      </c>
    </row>
    <row r="170" spans="2:3">
      <c r="B170" s="6">
        <v>42172</v>
      </c>
      <c r="C170" s="2" t="s">
        <v>1031</v>
      </c>
    </row>
    <row r="171" spans="2:3">
      <c r="B171" s="6">
        <v>42173</v>
      </c>
      <c r="C171" s="2" t="s">
        <v>1032</v>
      </c>
    </row>
    <row r="172" spans="2:3">
      <c r="B172" s="6">
        <v>42174</v>
      </c>
      <c r="C172" s="2" t="s">
        <v>1033</v>
      </c>
    </row>
    <row r="173" spans="2:3">
      <c r="B173" s="6">
        <v>42175</v>
      </c>
      <c r="C173" s="2" t="s">
        <v>1034</v>
      </c>
    </row>
    <row r="174" spans="2:3">
      <c r="B174" s="6">
        <v>42176</v>
      </c>
      <c r="C174" s="2" t="s">
        <v>1035</v>
      </c>
    </row>
    <row r="175" spans="2:3">
      <c r="B175" s="6">
        <v>42177</v>
      </c>
      <c r="C175" s="2" t="s">
        <v>1036</v>
      </c>
    </row>
    <row r="176" spans="2:3">
      <c r="B176" s="6">
        <v>42178</v>
      </c>
      <c r="C176" s="2" t="s">
        <v>635</v>
      </c>
    </row>
    <row r="177" spans="2:3">
      <c r="B177" s="6">
        <v>42179</v>
      </c>
      <c r="C177" s="2" t="s">
        <v>1037</v>
      </c>
    </row>
    <row r="178" spans="2:3">
      <c r="B178" s="6">
        <v>42180</v>
      </c>
      <c r="C178" s="2" t="s">
        <v>1038</v>
      </c>
    </row>
    <row r="179" spans="2:3">
      <c r="B179" s="6">
        <v>42181</v>
      </c>
      <c r="C179" s="2" t="s">
        <v>636</v>
      </c>
    </row>
    <row r="180" spans="2:3">
      <c r="B180" s="6">
        <v>42182</v>
      </c>
      <c r="C180" s="2" t="s">
        <v>637</v>
      </c>
    </row>
    <row r="181" spans="2:3">
      <c r="B181" s="6">
        <v>42183</v>
      </c>
      <c r="C181" s="2" t="s">
        <v>638</v>
      </c>
    </row>
    <row r="182" spans="2:3">
      <c r="B182" s="6">
        <v>42184</v>
      </c>
      <c r="C182" s="2" t="s">
        <v>1039</v>
      </c>
    </row>
    <row r="183" spans="2:3">
      <c r="B183" s="6">
        <v>42185</v>
      </c>
      <c r="C183" s="2" t="s">
        <v>1040</v>
      </c>
    </row>
    <row r="184" spans="2:3">
      <c r="B184" s="6">
        <v>42186</v>
      </c>
      <c r="C184" s="2" t="s">
        <v>1041</v>
      </c>
    </row>
    <row r="185" spans="2:3">
      <c r="B185" s="6">
        <v>42187</v>
      </c>
      <c r="C185" s="2" t="s">
        <v>1042</v>
      </c>
    </row>
    <row r="186" spans="2:3">
      <c r="B186" s="6">
        <v>42188</v>
      </c>
      <c r="C186" s="2" t="s">
        <v>1043</v>
      </c>
    </row>
    <row r="187" spans="2:3">
      <c r="B187" s="6">
        <v>42189</v>
      </c>
      <c r="C187" s="2" t="s">
        <v>1044</v>
      </c>
    </row>
    <row r="188" spans="2:3">
      <c r="B188" s="6">
        <v>42190</v>
      </c>
      <c r="C188" s="2" t="s">
        <v>1045</v>
      </c>
    </row>
    <row r="189" spans="2:3">
      <c r="B189" s="6">
        <v>42191</v>
      </c>
      <c r="C189" s="2" t="s">
        <v>1046</v>
      </c>
    </row>
    <row r="190" spans="2:3">
      <c r="B190" s="6">
        <v>42192</v>
      </c>
      <c r="C190" s="2" t="s">
        <v>1047</v>
      </c>
    </row>
    <row r="191" spans="2:3">
      <c r="B191" s="6">
        <v>42193</v>
      </c>
      <c r="C191" s="2" t="s">
        <v>1048</v>
      </c>
    </row>
    <row r="192" spans="2:3">
      <c r="B192" s="6">
        <v>42194</v>
      </c>
      <c r="C192" s="2" t="s">
        <v>1049</v>
      </c>
    </row>
    <row r="193" spans="2:3">
      <c r="B193" s="6">
        <v>42195</v>
      </c>
      <c r="C193" s="2" t="s">
        <v>1050</v>
      </c>
    </row>
    <row r="194" spans="2:3">
      <c r="B194" s="6">
        <v>42196</v>
      </c>
      <c r="C194" s="2" t="s">
        <v>1051</v>
      </c>
    </row>
    <row r="195" spans="2:3">
      <c r="B195" s="6">
        <v>42197</v>
      </c>
      <c r="C195" s="2" t="s">
        <v>1052</v>
      </c>
    </row>
    <row r="196" spans="2:3">
      <c r="B196" s="6">
        <v>42198</v>
      </c>
      <c r="C196" s="2" t="s">
        <v>1053</v>
      </c>
    </row>
    <row r="197" spans="2:3">
      <c r="B197" s="6">
        <v>42199</v>
      </c>
      <c r="C197" s="2" t="s">
        <v>1054</v>
      </c>
    </row>
    <row r="198" spans="2:3">
      <c r="B198" s="6">
        <v>42200</v>
      </c>
      <c r="C198" s="2" t="s">
        <v>1055</v>
      </c>
    </row>
    <row r="199" spans="2:3">
      <c r="B199" s="6">
        <v>42201</v>
      </c>
      <c r="C199" s="2" t="s">
        <v>1056</v>
      </c>
    </row>
    <row r="200" spans="2:3">
      <c r="B200" s="6">
        <v>42202</v>
      </c>
      <c r="C200" s="2" t="s">
        <v>1057</v>
      </c>
    </row>
    <row r="201" spans="2:3">
      <c r="B201" s="6">
        <v>42203</v>
      </c>
      <c r="C201" s="2" t="s">
        <v>1058</v>
      </c>
    </row>
    <row r="202" spans="2:3">
      <c r="B202" s="6">
        <v>42204</v>
      </c>
      <c r="C202" s="2" t="s">
        <v>1059</v>
      </c>
    </row>
    <row r="203" spans="2:3">
      <c r="B203" s="6">
        <v>42205</v>
      </c>
      <c r="C203" s="2" t="s">
        <v>1060</v>
      </c>
    </row>
    <row r="204" spans="2:3">
      <c r="B204" s="6">
        <v>42206</v>
      </c>
      <c r="C204" s="2" t="s">
        <v>1061</v>
      </c>
    </row>
    <row r="205" spans="2:3">
      <c r="B205" s="6">
        <v>42207</v>
      </c>
      <c r="C205" s="2" t="s">
        <v>1062</v>
      </c>
    </row>
    <row r="206" spans="2:3">
      <c r="B206" s="6">
        <v>42208</v>
      </c>
      <c r="C206" s="2" t="s">
        <v>1063</v>
      </c>
    </row>
    <row r="207" spans="2:3">
      <c r="B207" s="6">
        <v>42209</v>
      </c>
      <c r="C207" s="2" t="s">
        <v>1064</v>
      </c>
    </row>
    <row r="208" spans="2:3">
      <c r="B208" s="6">
        <v>42210</v>
      </c>
      <c r="C208" s="2" t="s">
        <v>1065</v>
      </c>
    </row>
    <row r="209" spans="2:3">
      <c r="B209" s="6">
        <v>42211</v>
      </c>
      <c r="C209" s="2" t="s">
        <v>1066</v>
      </c>
    </row>
    <row r="210" spans="2:3">
      <c r="B210" s="6">
        <v>42212</v>
      </c>
      <c r="C210" s="2" t="s">
        <v>1067</v>
      </c>
    </row>
    <row r="211" spans="2:3">
      <c r="B211" s="6">
        <v>42213</v>
      </c>
      <c r="C211" s="2" t="s">
        <v>1068</v>
      </c>
    </row>
    <row r="212" spans="2:3">
      <c r="B212" s="6">
        <v>42214</v>
      </c>
      <c r="C212" s="2" t="s">
        <v>1069</v>
      </c>
    </row>
    <row r="213" spans="2:3">
      <c r="B213" s="6">
        <v>42215</v>
      </c>
      <c r="C213" s="2" t="s">
        <v>1070</v>
      </c>
    </row>
    <row r="214" spans="2:3">
      <c r="B214" s="6">
        <v>42216</v>
      </c>
      <c r="C214" s="2" t="s">
        <v>1071</v>
      </c>
    </row>
    <row r="215" spans="2:3">
      <c r="B215" s="6">
        <v>42217</v>
      </c>
      <c r="C215" s="2" t="s">
        <v>1072</v>
      </c>
    </row>
    <row r="216" spans="2:3">
      <c r="B216" s="6">
        <v>42218</v>
      </c>
      <c r="C216" s="2" t="s">
        <v>1073</v>
      </c>
    </row>
    <row r="217" spans="2:3">
      <c r="B217" s="6">
        <v>42219</v>
      </c>
      <c r="C217" s="2" t="s">
        <v>1074</v>
      </c>
    </row>
    <row r="218" spans="2:3">
      <c r="B218" s="6">
        <v>42220</v>
      </c>
      <c r="C218" s="2" t="s">
        <v>1075</v>
      </c>
    </row>
    <row r="219" spans="2:3">
      <c r="B219" s="6">
        <v>42221</v>
      </c>
      <c r="C219" s="2" t="s">
        <v>1076</v>
      </c>
    </row>
    <row r="220" spans="2:3">
      <c r="B220" s="6">
        <v>42222</v>
      </c>
      <c r="C220" s="2" t="s">
        <v>1077</v>
      </c>
    </row>
    <row r="221" spans="2:3">
      <c r="B221" s="6">
        <v>42223</v>
      </c>
      <c r="C221" s="2" t="s">
        <v>1078</v>
      </c>
    </row>
    <row r="222" spans="2:3">
      <c r="B222" s="6">
        <v>42224</v>
      </c>
      <c r="C222" s="2" t="s">
        <v>1079</v>
      </c>
    </row>
    <row r="223" spans="2:3">
      <c r="B223" s="6">
        <v>42225</v>
      </c>
      <c r="C223" s="2" t="s">
        <v>1080</v>
      </c>
    </row>
    <row r="224" spans="2:3">
      <c r="B224" s="6">
        <v>42226</v>
      </c>
      <c r="C224" s="2" t="s">
        <v>1081</v>
      </c>
    </row>
    <row r="225" spans="2:3">
      <c r="B225" s="6">
        <v>42227</v>
      </c>
      <c r="C225" s="2" t="s">
        <v>1082</v>
      </c>
    </row>
    <row r="226" spans="2:3">
      <c r="B226" s="6">
        <v>42228</v>
      </c>
      <c r="C226" s="2" t="s">
        <v>1083</v>
      </c>
    </row>
    <row r="227" spans="2:3">
      <c r="B227" s="6">
        <v>42229</v>
      </c>
      <c r="C227" s="2" t="s">
        <v>1084</v>
      </c>
    </row>
    <row r="228" spans="2:3">
      <c r="B228" s="6">
        <v>42230</v>
      </c>
      <c r="C228" s="2" t="s">
        <v>1085</v>
      </c>
    </row>
    <row r="229" spans="2:3">
      <c r="B229" s="6">
        <v>42231</v>
      </c>
      <c r="C229" s="2" t="s">
        <v>1086</v>
      </c>
    </row>
    <row r="230" spans="2:3">
      <c r="B230" s="6">
        <v>42232</v>
      </c>
      <c r="C230" s="2" t="s">
        <v>1087</v>
      </c>
    </row>
    <row r="231" spans="2:3">
      <c r="B231" s="6">
        <v>42233</v>
      </c>
      <c r="C231" s="2" t="s">
        <v>1088</v>
      </c>
    </row>
    <row r="232" spans="2:3">
      <c r="B232" s="6">
        <v>42234</v>
      </c>
      <c r="C232" s="2" t="s">
        <v>1089</v>
      </c>
    </row>
    <row r="233" spans="2:3">
      <c r="B233" s="6">
        <v>42235</v>
      </c>
      <c r="C233" s="2" t="s">
        <v>1090</v>
      </c>
    </row>
    <row r="234" spans="2:3">
      <c r="B234" s="6">
        <v>42236</v>
      </c>
      <c r="C234" s="2" t="s">
        <v>1091</v>
      </c>
    </row>
    <row r="235" spans="2:3">
      <c r="B235" s="6">
        <v>42237</v>
      </c>
      <c r="C235" s="2" t="s">
        <v>1092</v>
      </c>
    </row>
    <row r="236" spans="2:3">
      <c r="B236" s="6">
        <v>42238</v>
      </c>
      <c r="C236" s="2" t="s">
        <v>1093</v>
      </c>
    </row>
    <row r="237" spans="2:3">
      <c r="B237" s="6">
        <v>42239</v>
      </c>
      <c r="C237" s="2" t="s">
        <v>1094</v>
      </c>
    </row>
    <row r="238" spans="2:3">
      <c r="B238" s="6">
        <v>42240</v>
      </c>
      <c r="C238" s="2" t="s">
        <v>1095</v>
      </c>
    </row>
    <row r="239" spans="2:3">
      <c r="B239" s="6">
        <v>42241</v>
      </c>
      <c r="C239" s="2" t="s">
        <v>1096</v>
      </c>
    </row>
    <row r="240" spans="2:3">
      <c r="B240" s="6">
        <v>42242</v>
      </c>
      <c r="C240" s="2" t="s">
        <v>1097</v>
      </c>
    </row>
    <row r="241" spans="2:3">
      <c r="B241" s="6">
        <v>42243</v>
      </c>
      <c r="C241" s="2" t="s">
        <v>1098</v>
      </c>
    </row>
    <row r="242" spans="2:3">
      <c r="B242" s="6">
        <v>42244</v>
      </c>
      <c r="C242" s="2" t="s">
        <v>1099</v>
      </c>
    </row>
    <row r="243" spans="2:3">
      <c r="B243" s="6">
        <v>42245</v>
      </c>
      <c r="C243" s="2" t="s">
        <v>1100</v>
      </c>
    </row>
    <row r="244" spans="2:3">
      <c r="B244" s="6">
        <v>42246</v>
      </c>
      <c r="C244" s="2" t="s">
        <v>1101</v>
      </c>
    </row>
    <row r="245" spans="2:3">
      <c r="B245" s="6">
        <v>42247</v>
      </c>
      <c r="C245" s="2" t="s">
        <v>1102</v>
      </c>
    </row>
    <row r="246" spans="2:3">
      <c r="B246" s="6">
        <v>42248</v>
      </c>
      <c r="C246" s="2" t="s">
        <v>1103</v>
      </c>
    </row>
    <row r="247" spans="2:3">
      <c r="B247" s="6">
        <v>42249</v>
      </c>
      <c r="C247" s="2" t="s">
        <v>1104</v>
      </c>
    </row>
    <row r="248" spans="2:3">
      <c r="B248" s="6">
        <v>42250</v>
      </c>
      <c r="C248" s="2" t="s">
        <v>1105</v>
      </c>
    </row>
    <row r="249" spans="2:3">
      <c r="B249" s="6">
        <v>42251</v>
      </c>
      <c r="C249" s="2" t="s">
        <v>1106</v>
      </c>
    </row>
    <row r="250" spans="2:3">
      <c r="B250" s="6">
        <v>42252</v>
      </c>
      <c r="C250" s="2" t="s">
        <v>1107</v>
      </c>
    </row>
    <row r="251" spans="2:3">
      <c r="B251" s="6">
        <v>42253</v>
      </c>
      <c r="C251" s="2" t="s">
        <v>1108</v>
      </c>
    </row>
    <row r="252" spans="2:3">
      <c r="B252" s="6">
        <v>42254</v>
      </c>
      <c r="C252" s="2" t="s">
        <v>1109</v>
      </c>
    </row>
    <row r="253" spans="2:3">
      <c r="B253" s="6">
        <v>42255</v>
      </c>
      <c r="C253" s="2" t="s">
        <v>1110</v>
      </c>
    </row>
    <row r="254" spans="2:3">
      <c r="B254" s="6">
        <v>42256</v>
      </c>
      <c r="C254" s="2" t="s">
        <v>1111</v>
      </c>
    </row>
    <row r="255" spans="2:3">
      <c r="B255" s="6">
        <v>42257</v>
      </c>
      <c r="C255" s="2" t="s">
        <v>1112</v>
      </c>
    </row>
    <row r="256" spans="2:3">
      <c r="B256" s="6">
        <v>42258</v>
      </c>
      <c r="C256" s="2" t="s">
        <v>1113</v>
      </c>
    </row>
    <row r="257" spans="2:3">
      <c r="B257" s="6">
        <v>42259</v>
      </c>
      <c r="C257" s="2" t="s">
        <v>1114</v>
      </c>
    </row>
    <row r="258" spans="2:3">
      <c r="B258" s="6">
        <v>42260</v>
      </c>
      <c r="C258" s="2" t="s">
        <v>1115</v>
      </c>
    </row>
    <row r="259" spans="2:3">
      <c r="B259" s="6">
        <v>42261</v>
      </c>
      <c r="C259" s="2" t="s">
        <v>1116</v>
      </c>
    </row>
    <row r="260" spans="2:3">
      <c r="B260" s="6">
        <v>42262</v>
      </c>
      <c r="C260" s="2" t="s">
        <v>1117</v>
      </c>
    </row>
    <row r="261" spans="2:3">
      <c r="B261" s="6">
        <v>42263</v>
      </c>
      <c r="C261" s="2" t="s">
        <v>1118</v>
      </c>
    </row>
    <row r="262" spans="2:3">
      <c r="B262" s="6">
        <v>42264</v>
      </c>
      <c r="C262" s="2" t="s">
        <v>1119</v>
      </c>
    </row>
    <row r="263" spans="2:3">
      <c r="B263" s="6">
        <v>42265</v>
      </c>
      <c r="C263" s="2" t="s">
        <v>1120</v>
      </c>
    </row>
    <row r="264" spans="2:3">
      <c r="B264" s="6">
        <v>42266</v>
      </c>
      <c r="C264" s="2" t="s">
        <v>1121</v>
      </c>
    </row>
    <row r="265" spans="2:3">
      <c r="B265" s="6">
        <v>42267</v>
      </c>
      <c r="C265" s="2" t="s">
        <v>1122</v>
      </c>
    </row>
    <row r="266" spans="2:3">
      <c r="B266" s="6">
        <v>42268</v>
      </c>
      <c r="C266" s="2" t="s">
        <v>1123</v>
      </c>
    </row>
    <row r="267" spans="2:3">
      <c r="B267" s="6">
        <v>42269</v>
      </c>
      <c r="C267" s="2" t="s">
        <v>1124</v>
      </c>
    </row>
    <row r="268" spans="2:3">
      <c r="B268" s="6">
        <v>42270</v>
      </c>
      <c r="C268" s="2" t="s">
        <v>1125</v>
      </c>
    </row>
    <row r="269" spans="2:3">
      <c r="B269" s="6">
        <v>42271</v>
      </c>
      <c r="C269" s="2" t="s">
        <v>1126</v>
      </c>
    </row>
    <row r="270" spans="2:3">
      <c r="B270" s="6">
        <v>42272</v>
      </c>
      <c r="C270" s="2" t="s">
        <v>1127</v>
      </c>
    </row>
    <row r="271" spans="2:3">
      <c r="B271" s="6">
        <v>42273</v>
      </c>
      <c r="C271" s="2" t="s">
        <v>1128</v>
      </c>
    </row>
    <row r="272" spans="2:3">
      <c r="B272" s="6">
        <v>42274</v>
      </c>
      <c r="C272" s="2" t="s">
        <v>1129</v>
      </c>
    </row>
    <row r="273" spans="2:3">
      <c r="B273" s="6">
        <v>42275</v>
      </c>
      <c r="C273" s="2" t="s">
        <v>1130</v>
      </c>
    </row>
    <row r="274" spans="2:3">
      <c r="B274" s="6">
        <v>42276</v>
      </c>
      <c r="C274" s="2" t="s">
        <v>1131</v>
      </c>
    </row>
    <row r="275" spans="2:3">
      <c r="B275" s="6">
        <v>42277</v>
      </c>
      <c r="C275" s="2" t="s">
        <v>1132</v>
      </c>
    </row>
    <row r="276" spans="2:3">
      <c r="B276" s="6">
        <v>42278</v>
      </c>
      <c r="C276" s="2" t="s">
        <v>1133</v>
      </c>
    </row>
    <row r="277" spans="2:3">
      <c r="B277" s="6">
        <v>42279</v>
      </c>
      <c r="C277" s="2" t="s">
        <v>1134</v>
      </c>
    </row>
    <row r="278" spans="2:3">
      <c r="B278" s="6">
        <v>42280</v>
      </c>
      <c r="C278" s="2" t="s">
        <v>1135</v>
      </c>
    </row>
    <row r="279" spans="2:3">
      <c r="B279" s="6">
        <v>42281</v>
      </c>
      <c r="C279" s="2" t="s">
        <v>1136</v>
      </c>
    </row>
    <row r="280" spans="2:3">
      <c r="B280" s="6">
        <v>42282</v>
      </c>
      <c r="C280" s="2" t="s">
        <v>1137</v>
      </c>
    </row>
    <row r="281" spans="2:3">
      <c r="B281" s="6">
        <v>42283</v>
      </c>
      <c r="C281" s="2" t="s">
        <v>1138</v>
      </c>
    </row>
    <row r="282" spans="2:3">
      <c r="B282" s="6">
        <v>42284</v>
      </c>
      <c r="C282" s="2" t="s">
        <v>1139</v>
      </c>
    </row>
    <row r="283" spans="2:3">
      <c r="B283" s="6">
        <v>42285</v>
      </c>
      <c r="C283" s="2" t="s">
        <v>1140</v>
      </c>
    </row>
    <row r="284" spans="2:3">
      <c r="B284" s="6">
        <v>42286</v>
      </c>
      <c r="C284" s="2" t="s">
        <v>1141</v>
      </c>
    </row>
    <row r="285" spans="2:3">
      <c r="B285" s="6">
        <v>42287</v>
      </c>
      <c r="C285" s="2" t="s">
        <v>1142</v>
      </c>
    </row>
    <row r="286" spans="2:3">
      <c r="B286" s="6">
        <v>42288</v>
      </c>
      <c r="C286" s="2" t="s">
        <v>1143</v>
      </c>
    </row>
    <row r="287" spans="2:3">
      <c r="B287" s="6">
        <v>42289</v>
      </c>
      <c r="C287" s="2" t="s">
        <v>1144</v>
      </c>
    </row>
    <row r="288" spans="2:3">
      <c r="B288" s="6">
        <v>42290</v>
      </c>
      <c r="C288" s="2" t="s">
        <v>1145</v>
      </c>
    </row>
    <row r="289" spans="2:3">
      <c r="B289" s="6">
        <v>42291</v>
      </c>
      <c r="C289" s="2" t="s">
        <v>1146</v>
      </c>
    </row>
    <row r="290" spans="2:3">
      <c r="B290" s="6">
        <v>42292</v>
      </c>
      <c r="C290" s="2" t="s">
        <v>1147</v>
      </c>
    </row>
    <row r="291" spans="2:3">
      <c r="B291" s="6">
        <v>42293</v>
      </c>
      <c r="C291" s="2" t="s">
        <v>1148</v>
      </c>
    </row>
    <row r="292" spans="2:3">
      <c r="B292" s="6">
        <v>42294</v>
      </c>
      <c r="C292" s="2" t="s">
        <v>1149</v>
      </c>
    </row>
    <row r="293" spans="2:3">
      <c r="B293" s="6">
        <v>42295</v>
      </c>
      <c r="C293" s="2" t="s">
        <v>1150</v>
      </c>
    </row>
    <row r="294" spans="2:3">
      <c r="B294" s="6">
        <v>42296</v>
      </c>
      <c r="C294" s="2" t="s">
        <v>1151</v>
      </c>
    </row>
    <row r="295" spans="2:3">
      <c r="B295" s="6">
        <v>42297</v>
      </c>
      <c r="C295" s="2" t="s">
        <v>1152</v>
      </c>
    </row>
    <row r="296" spans="2:3">
      <c r="B296" s="6">
        <v>42298</v>
      </c>
      <c r="C296" s="2" t="s">
        <v>1153</v>
      </c>
    </row>
    <row r="297" spans="2:3">
      <c r="B297" s="6">
        <v>42299</v>
      </c>
      <c r="C297" s="2" t="s">
        <v>1154</v>
      </c>
    </row>
    <row r="298" spans="2:3">
      <c r="B298" s="6">
        <v>42300</v>
      </c>
      <c r="C298" s="2" t="s">
        <v>1155</v>
      </c>
    </row>
    <row r="299" spans="2:3">
      <c r="B299" s="6">
        <v>42301</v>
      </c>
      <c r="C299" s="2" t="s">
        <v>1156</v>
      </c>
    </row>
    <row r="300" spans="2:3">
      <c r="B300" s="6">
        <v>42302</v>
      </c>
      <c r="C300" s="2" t="s">
        <v>1157</v>
      </c>
    </row>
    <row r="301" spans="2:3">
      <c r="B301" s="6">
        <v>42303</v>
      </c>
      <c r="C301" s="2" t="s">
        <v>1158</v>
      </c>
    </row>
    <row r="302" spans="2:3">
      <c r="B302" s="6">
        <v>42304</v>
      </c>
      <c r="C302" s="2" t="s">
        <v>1159</v>
      </c>
    </row>
    <row r="303" spans="2:3">
      <c r="B303" s="6">
        <v>42305</v>
      </c>
      <c r="C303" s="2" t="s">
        <v>1160</v>
      </c>
    </row>
    <row r="304" spans="2:3">
      <c r="B304" s="6">
        <v>42306</v>
      </c>
      <c r="C304" s="2" t="s">
        <v>1161</v>
      </c>
    </row>
    <row r="305" spans="2:3">
      <c r="B305" s="6">
        <v>42307</v>
      </c>
      <c r="C305" s="2" t="s">
        <v>1162</v>
      </c>
    </row>
    <row r="306" spans="2:3">
      <c r="B306" s="6">
        <v>42308</v>
      </c>
      <c r="C306" s="2" t="s">
        <v>1163</v>
      </c>
    </row>
    <row r="307" spans="2:3">
      <c r="B307" s="6">
        <v>42309</v>
      </c>
      <c r="C307" s="2" t="s">
        <v>1164</v>
      </c>
    </row>
    <row r="308" spans="2:3">
      <c r="B308" s="6">
        <v>42310</v>
      </c>
      <c r="C308" s="2" t="s">
        <v>1165</v>
      </c>
    </row>
    <row r="309" spans="2:3">
      <c r="B309" s="6">
        <v>42311</v>
      </c>
      <c r="C309" s="2" t="s">
        <v>1166</v>
      </c>
    </row>
    <row r="310" spans="2:3">
      <c r="B310" s="6">
        <v>42312</v>
      </c>
      <c r="C310" s="2" t="s">
        <v>1167</v>
      </c>
    </row>
    <row r="311" spans="2:3">
      <c r="B311" s="6">
        <v>42313</v>
      </c>
      <c r="C311" s="2" t="s">
        <v>1168</v>
      </c>
    </row>
    <row r="312" spans="2:3">
      <c r="B312" s="6">
        <v>42314</v>
      </c>
      <c r="C312" s="2" t="s">
        <v>1169</v>
      </c>
    </row>
    <row r="313" spans="2:3">
      <c r="B313" s="6">
        <v>42315</v>
      </c>
      <c r="C313" s="2" t="s">
        <v>1170</v>
      </c>
    </row>
    <row r="314" spans="2:3">
      <c r="B314" s="6">
        <v>42316</v>
      </c>
      <c r="C314" s="2" t="s">
        <v>1171</v>
      </c>
    </row>
    <row r="315" spans="2:3">
      <c r="B315" s="6">
        <v>42317</v>
      </c>
      <c r="C315" s="2" t="s">
        <v>1172</v>
      </c>
    </row>
    <row r="316" spans="2:3">
      <c r="B316" s="6">
        <v>42318</v>
      </c>
      <c r="C316" s="2" t="s">
        <v>1173</v>
      </c>
    </row>
    <row r="317" spans="2:3">
      <c r="B317" s="6">
        <v>42319</v>
      </c>
      <c r="C317" s="2" t="s">
        <v>258</v>
      </c>
    </row>
    <row r="318" spans="2:3">
      <c r="B318" s="6">
        <v>42320</v>
      </c>
      <c r="C318" s="2" t="s">
        <v>1174</v>
      </c>
    </row>
    <row r="319" spans="2:3">
      <c r="B319" s="6">
        <v>42321</v>
      </c>
      <c r="C319" s="2" t="s">
        <v>259</v>
      </c>
    </row>
    <row r="320" spans="2:3">
      <c r="B320" s="6">
        <v>42322</v>
      </c>
      <c r="C320" s="2" t="s">
        <v>1175</v>
      </c>
    </row>
    <row r="321" spans="2:3">
      <c r="B321" s="6">
        <v>42323</v>
      </c>
      <c r="C321" s="2" t="s">
        <v>1176</v>
      </c>
    </row>
    <row r="322" spans="2:3">
      <c r="B322" s="6">
        <v>42324</v>
      </c>
      <c r="C322" s="2" t="s">
        <v>260</v>
      </c>
    </row>
    <row r="323" spans="2:3">
      <c r="B323" s="6">
        <v>42325</v>
      </c>
      <c r="C323" s="2" t="s">
        <v>1177</v>
      </c>
    </row>
    <row r="324" spans="2:3">
      <c r="B324" s="6">
        <v>42326</v>
      </c>
      <c r="C324" s="2" t="s">
        <v>261</v>
      </c>
    </row>
    <row r="325" spans="2:3">
      <c r="B325" s="6">
        <v>42327</v>
      </c>
      <c r="C325" s="2" t="s">
        <v>1178</v>
      </c>
    </row>
    <row r="326" spans="2:3">
      <c r="B326" s="6">
        <v>42328</v>
      </c>
      <c r="C326" s="2" t="s">
        <v>1179</v>
      </c>
    </row>
    <row r="327" spans="2:3">
      <c r="B327" s="6">
        <v>42329</v>
      </c>
      <c r="C327" s="2" t="s">
        <v>1180</v>
      </c>
    </row>
    <row r="328" spans="2:3">
      <c r="B328" s="6">
        <v>42330</v>
      </c>
      <c r="C328" s="2" t="s">
        <v>1181</v>
      </c>
    </row>
    <row r="329" spans="2:3">
      <c r="B329" s="6">
        <v>42331</v>
      </c>
      <c r="C329" s="2" t="s">
        <v>1182</v>
      </c>
    </row>
    <row r="330" spans="2:3">
      <c r="B330" s="6">
        <v>42332</v>
      </c>
      <c r="C330" s="2" t="s">
        <v>1183</v>
      </c>
    </row>
    <row r="331" spans="2:3">
      <c r="B331" s="6">
        <v>42333</v>
      </c>
      <c r="C331" s="2" t="s">
        <v>1184</v>
      </c>
    </row>
    <row r="332" spans="2:3">
      <c r="B332" s="6">
        <v>42334</v>
      </c>
      <c r="C332" s="2" t="s">
        <v>564</v>
      </c>
    </row>
    <row r="333" spans="2:3">
      <c r="B333" s="6">
        <v>42335</v>
      </c>
      <c r="C333" s="2" t="s">
        <v>565</v>
      </c>
    </row>
    <row r="334" spans="2:3">
      <c r="B334" s="6">
        <v>42336</v>
      </c>
      <c r="C334" s="2" t="s">
        <v>566</v>
      </c>
    </row>
    <row r="335" spans="2:3">
      <c r="B335" s="6">
        <v>42337</v>
      </c>
      <c r="C335" s="2" t="s">
        <v>548</v>
      </c>
    </row>
    <row r="336" spans="2:3">
      <c r="B336" s="6">
        <v>42338</v>
      </c>
      <c r="C336" s="2" t="s">
        <v>549</v>
      </c>
    </row>
    <row r="337" spans="2:3">
      <c r="B337" s="6">
        <v>42339</v>
      </c>
      <c r="C337" s="2" t="s">
        <v>1185</v>
      </c>
    </row>
    <row r="338" spans="2:3">
      <c r="B338" s="6">
        <v>42340</v>
      </c>
      <c r="C338" s="2" t="s">
        <v>550</v>
      </c>
    </row>
    <row r="339" spans="2:3">
      <c r="B339" s="6">
        <v>42341</v>
      </c>
      <c r="C339" s="2" t="s">
        <v>1186</v>
      </c>
    </row>
    <row r="340" spans="2:3">
      <c r="B340" s="6">
        <v>42342</v>
      </c>
      <c r="C340" s="2" t="s">
        <v>1187</v>
      </c>
    </row>
    <row r="341" spans="2:3">
      <c r="B341" s="6">
        <v>42343</v>
      </c>
      <c r="C341" s="2" t="s">
        <v>551</v>
      </c>
    </row>
    <row r="342" spans="2:3">
      <c r="B342" s="6">
        <v>42344</v>
      </c>
      <c r="C342" s="2" t="s">
        <v>1188</v>
      </c>
    </row>
    <row r="343" spans="2:3">
      <c r="B343" s="6">
        <v>42345</v>
      </c>
      <c r="C343" s="2" t="s">
        <v>1189</v>
      </c>
    </row>
    <row r="344" spans="2:3">
      <c r="B344" s="6">
        <v>42346</v>
      </c>
      <c r="C344" s="2" t="s">
        <v>1190</v>
      </c>
    </row>
    <row r="345" spans="2:3">
      <c r="B345" s="6">
        <v>42347</v>
      </c>
      <c r="C345" s="2" t="s">
        <v>1191</v>
      </c>
    </row>
    <row r="346" spans="2:3">
      <c r="B346" s="6">
        <v>42348</v>
      </c>
      <c r="C346" s="2" t="s">
        <v>1192</v>
      </c>
    </row>
    <row r="347" spans="2:3">
      <c r="B347" s="6">
        <v>42349</v>
      </c>
      <c r="C347" s="2" t="s">
        <v>1193</v>
      </c>
    </row>
    <row r="348" spans="2:3">
      <c r="B348" s="6">
        <v>42350</v>
      </c>
      <c r="C348" s="2" t="s">
        <v>1194</v>
      </c>
    </row>
    <row r="349" spans="2:3">
      <c r="B349" s="6">
        <v>42351</v>
      </c>
      <c r="C349" s="2" t="s">
        <v>1195</v>
      </c>
    </row>
    <row r="350" spans="2:3">
      <c r="B350" s="6">
        <v>42352</v>
      </c>
      <c r="C350" s="2" t="s">
        <v>1196</v>
      </c>
    </row>
    <row r="351" spans="2:3">
      <c r="B351" s="6">
        <v>42353</v>
      </c>
      <c r="C351" s="2" t="s">
        <v>1197</v>
      </c>
    </row>
    <row r="352" spans="2:3">
      <c r="B352" s="6">
        <v>42354</v>
      </c>
      <c r="C352" s="2" t="s">
        <v>1198</v>
      </c>
    </row>
    <row r="353" spans="2:3">
      <c r="B353" s="6">
        <v>42355</v>
      </c>
      <c r="C353" s="2" t="s">
        <v>1199</v>
      </c>
    </row>
    <row r="354" spans="2:3">
      <c r="B354" s="6">
        <v>42356</v>
      </c>
      <c r="C354" s="2" t="s">
        <v>1200</v>
      </c>
    </row>
    <row r="355" spans="2:3">
      <c r="B355" s="6">
        <v>42357</v>
      </c>
      <c r="C355" s="2" t="s">
        <v>1201</v>
      </c>
    </row>
    <row r="356" spans="2:3">
      <c r="B356" s="6">
        <v>42358</v>
      </c>
      <c r="C356" s="2" t="s">
        <v>1202</v>
      </c>
    </row>
    <row r="357" spans="2:3">
      <c r="B357" s="6">
        <v>42359</v>
      </c>
      <c r="C357" s="2" t="s">
        <v>1203</v>
      </c>
    </row>
    <row r="358" spans="2:3">
      <c r="B358" s="6">
        <v>42360</v>
      </c>
      <c r="C358" s="2" t="s">
        <v>1204</v>
      </c>
    </row>
    <row r="359" spans="2:3">
      <c r="B359" s="6">
        <v>42361</v>
      </c>
      <c r="C359" s="2" t="s">
        <v>1205</v>
      </c>
    </row>
    <row r="360" spans="2:3">
      <c r="B360" s="6">
        <v>42362</v>
      </c>
      <c r="C360" s="2" t="s">
        <v>1206</v>
      </c>
    </row>
    <row r="361" spans="2:3">
      <c r="B361" s="6">
        <v>42363</v>
      </c>
      <c r="C361" s="2" t="s">
        <v>1207</v>
      </c>
    </row>
    <row r="362" spans="2:3">
      <c r="B362" s="6">
        <v>42364</v>
      </c>
      <c r="C362" s="2" t="s">
        <v>1208</v>
      </c>
    </row>
    <row r="363" spans="2:3">
      <c r="B363" s="6">
        <v>42365</v>
      </c>
      <c r="C363" s="2" t="s">
        <v>1209</v>
      </c>
    </row>
    <row r="364" spans="2:3">
      <c r="B364" s="6">
        <v>42366</v>
      </c>
      <c r="C364" s="2" t="s">
        <v>1210</v>
      </c>
    </row>
    <row r="365" spans="2:3">
      <c r="B365" s="6">
        <v>42367</v>
      </c>
      <c r="C365" s="2" t="s">
        <v>1211</v>
      </c>
    </row>
    <row r="366" spans="2:3">
      <c r="B366" s="6">
        <v>42368</v>
      </c>
      <c r="C366" s="2" t="s">
        <v>499</v>
      </c>
    </row>
    <row r="367" spans="2:3">
      <c r="B367" s="6">
        <v>42369</v>
      </c>
      <c r="C367" s="2" t="s">
        <v>500</v>
      </c>
    </row>
    <row r="368" spans="2:3">
      <c r="B368" s="6">
        <v>42370</v>
      </c>
      <c r="C368" s="2" t="s">
        <v>1212</v>
      </c>
    </row>
    <row r="369" spans="2:3">
      <c r="B369" s="6">
        <v>42371</v>
      </c>
      <c r="C369" s="2" t="s">
        <v>1213</v>
      </c>
    </row>
    <row r="370" spans="2:3">
      <c r="B370" s="6">
        <v>42372</v>
      </c>
      <c r="C370" s="2" t="s">
        <v>501</v>
      </c>
    </row>
    <row r="371" spans="2:3">
      <c r="B371" s="6">
        <v>42373</v>
      </c>
      <c r="C371" s="2" t="s">
        <v>502</v>
      </c>
    </row>
    <row r="372" spans="2:3">
      <c r="B372" s="6">
        <v>42374</v>
      </c>
      <c r="C372" s="2" t="s">
        <v>1214</v>
      </c>
    </row>
    <row r="373" spans="2:3">
      <c r="B373" s="6">
        <v>42375</v>
      </c>
      <c r="C373" s="2" t="s">
        <v>1215</v>
      </c>
    </row>
    <row r="374" spans="2:3">
      <c r="B374" s="6">
        <v>42376</v>
      </c>
      <c r="C374" s="2" t="s">
        <v>1216</v>
      </c>
    </row>
    <row r="375" spans="2:3">
      <c r="B375" s="6">
        <v>42377</v>
      </c>
      <c r="C375" s="2" t="s">
        <v>639</v>
      </c>
    </row>
    <row r="376" spans="2:3">
      <c r="B376" s="6">
        <v>42378</v>
      </c>
      <c r="C376" s="2" t="s">
        <v>1217</v>
      </c>
    </row>
    <row r="377" spans="2:3">
      <c r="B377" s="6">
        <v>42379</v>
      </c>
      <c r="C377" s="2" t="s">
        <v>1218</v>
      </c>
    </row>
    <row r="378" spans="2:3">
      <c r="B378" s="6">
        <v>42380</v>
      </c>
      <c r="C378" s="2" t="s">
        <v>640</v>
      </c>
    </row>
    <row r="379" spans="2:3">
      <c r="B379" s="6">
        <v>42381</v>
      </c>
      <c r="C379" s="2" t="s">
        <v>641</v>
      </c>
    </row>
    <row r="380" spans="2:3">
      <c r="B380" s="6">
        <v>42382</v>
      </c>
      <c r="C380" s="2" t="s">
        <v>1219</v>
      </c>
    </row>
    <row r="381" spans="2:3">
      <c r="B381" s="6">
        <v>42383</v>
      </c>
      <c r="C381" s="2" t="s">
        <v>1220</v>
      </c>
    </row>
    <row r="382" spans="2:3">
      <c r="B382" s="6">
        <v>42384</v>
      </c>
      <c r="C382" s="2" t="s">
        <v>1221</v>
      </c>
    </row>
    <row r="383" spans="2:3">
      <c r="B383" s="6">
        <v>42385</v>
      </c>
      <c r="C383" s="2" t="s">
        <v>642</v>
      </c>
    </row>
    <row r="384" spans="2:3">
      <c r="B384" s="6">
        <v>42386</v>
      </c>
      <c r="C384" s="2" t="s">
        <v>1222</v>
      </c>
    </row>
    <row r="385" spans="2:3">
      <c r="B385" s="6">
        <v>42387</v>
      </c>
      <c r="C385" s="2" t="s">
        <v>1223</v>
      </c>
    </row>
    <row r="386" spans="2:3">
      <c r="B386" s="6">
        <v>42388</v>
      </c>
      <c r="C386" s="2" t="s">
        <v>1224</v>
      </c>
    </row>
    <row r="387" spans="2:3">
      <c r="B387" s="6">
        <v>42389</v>
      </c>
      <c r="C387" s="2" t="s">
        <v>1225</v>
      </c>
    </row>
    <row r="388" spans="2:3">
      <c r="B388" s="6">
        <v>42390</v>
      </c>
      <c r="C388" s="2" t="s">
        <v>1226</v>
      </c>
    </row>
    <row r="389" spans="2:3">
      <c r="B389" s="6">
        <v>42391</v>
      </c>
      <c r="C389" s="2" t="s">
        <v>1227</v>
      </c>
    </row>
    <row r="390" spans="2:3">
      <c r="B390" s="6">
        <v>42392</v>
      </c>
      <c r="C390" s="2" t="s">
        <v>1228</v>
      </c>
    </row>
    <row r="391" spans="2:3">
      <c r="B391" s="6">
        <v>42393</v>
      </c>
      <c r="C391" s="2" t="s">
        <v>1229</v>
      </c>
    </row>
    <row r="392" spans="2:3">
      <c r="B392" s="6">
        <v>42394</v>
      </c>
      <c r="C392" s="2" t="s">
        <v>1230</v>
      </c>
    </row>
    <row r="393" spans="2:3">
      <c r="B393" s="6">
        <v>42395</v>
      </c>
      <c r="C393" s="2" t="s">
        <v>1231</v>
      </c>
    </row>
    <row r="394" spans="2:3">
      <c r="B394" s="6">
        <v>42396</v>
      </c>
      <c r="C394" s="2" t="s">
        <v>1232</v>
      </c>
    </row>
    <row r="395" spans="2:3">
      <c r="B395" s="6">
        <v>42397</v>
      </c>
      <c r="C395" s="2" t="s">
        <v>1233</v>
      </c>
    </row>
    <row r="396" spans="2:3">
      <c r="B396" s="6">
        <v>42398</v>
      </c>
      <c r="C396" s="2" t="s">
        <v>1234</v>
      </c>
    </row>
    <row r="397" spans="2:3">
      <c r="B397" s="6">
        <v>42399</v>
      </c>
      <c r="C397" s="2" t="s">
        <v>1235</v>
      </c>
    </row>
    <row r="398" spans="2:3">
      <c r="B398" s="6">
        <v>42400</v>
      </c>
      <c r="C398" s="2" t="s">
        <v>1236</v>
      </c>
    </row>
    <row r="399" spans="2:3">
      <c r="B399" s="6">
        <v>42401</v>
      </c>
      <c r="C399" s="2" t="s">
        <v>1237</v>
      </c>
    </row>
    <row r="400" spans="2:3">
      <c r="B400" s="6">
        <v>42402</v>
      </c>
      <c r="C400" s="2" t="s">
        <v>1238</v>
      </c>
    </row>
    <row r="401" spans="2:3">
      <c r="B401" s="6">
        <v>42403</v>
      </c>
      <c r="C401" s="2" t="s">
        <v>1239</v>
      </c>
    </row>
    <row r="402" spans="2:3">
      <c r="B402" s="6">
        <v>42404</v>
      </c>
      <c r="C402" s="2" t="s">
        <v>1240</v>
      </c>
    </row>
    <row r="403" spans="2:3">
      <c r="B403" s="6">
        <v>42405</v>
      </c>
      <c r="C403" s="2" t="s">
        <v>1241</v>
      </c>
    </row>
    <row r="404" spans="2:3">
      <c r="B404" s="6">
        <v>42406</v>
      </c>
      <c r="C404" s="2" t="s">
        <v>1242</v>
      </c>
    </row>
    <row r="405" spans="2:3">
      <c r="B405" s="6">
        <v>42407</v>
      </c>
      <c r="C405" s="2" t="s">
        <v>1243</v>
      </c>
    </row>
    <row r="406" spans="2:3">
      <c r="B406" s="6">
        <v>42408</v>
      </c>
      <c r="C406" s="2" t="s">
        <v>1244</v>
      </c>
    </row>
    <row r="407" spans="2:3">
      <c r="B407" s="6">
        <v>42409</v>
      </c>
      <c r="C407" s="2" t="s">
        <v>1245</v>
      </c>
    </row>
    <row r="408" spans="2:3">
      <c r="B408" s="6">
        <v>42410</v>
      </c>
      <c r="C408" s="2" t="s">
        <v>1246</v>
      </c>
    </row>
    <row r="409" spans="2:3">
      <c r="B409" s="6">
        <v>42411</v>
      </c>
      <c r="C409" s="2" t="s">
        <v>1247</v>
      </c>
    </row>
    <row r="410" spans="2:3">
      <c r="B410" s="6">
        <v>42412</v>
      </c>
      <c r="C410" s="2" t="s">
        <v>1248</v>
      </c>
    </row>
    <row r="411" spans="2:3">
      <c r="B411" s="6">
        <v>42413</v>
      </c>
      <c r="C411" s="2" t="s">
        <v>1249</v>
      </c>
    </row>
    <row r="412" spans="2:3">
      <c r="B412" s="6">
        <v>42414</v>
      </c>
      <c r="C412" s="2" t="s">
        <v>1250</v>
      </c>
    </row>
    <row r="413" spans="2:3">
      <c r="B413" s="6">
        <v>42415</v>
      </c>
      <c r="C413" s="2" t="s">
        <v>1251</v>
      </c>
    </row>
    <row r="414" spans="2:3">
      <c r="B414" s="6">
        <v>42416</v>
      </c>
      <c r="C414" s="2" t="s">
        <v>1252</v>
      </c>
    </row>
    <row r="415" spans="2:3">
      <c r="B415" s="6">
        <v>42417</v>
      </c>
      <c r="C415" s="2" t="s">
        <v>1253</v>
      </c>
    </row>
    <row r="416" spans="2:3">
      <c r="B416" s="6">
        <v>42418</v>
      </c>
      <c r="C416" s="2" t="s">
        <v>1254</v>
      </c>
    </row>
    <row r="417" spans="2:3">
      <c r="B417" s="6">
        <v>42419</v>
      </c>
      <c r="C417" s="2" t="s">
        <v>1255</v>
      </c>
    </row>
    <row r="418" spans="2:3">
      <c r="B418" s="6">
        <v>42420</v>
      </c>
      <c r="C418" s="2" t="s">
        <v>1256</v>
      </c>
    </row>
    <row r="419" spans="2:3">
      <c r="B419" s="6">
        <v>42421</v>
      </c>
      <c r="C419" s="2" t="s">
        <v>1257</v>
      </c>
    </row>
    <row r="420" spans="2:3">
      <c r="B420" s="6">
        <v>42422</v>
      </c>
      <c r="C420" s="2" t="s">
        <v>1258</v>
      </c>
    </row>
    <row r="421" spans="2:3">
      <c r="B421" s="6">
        <v>42423</v>
      </c>
      <c r="C421" s="2" t="s">
        <v>1259</v>
      </c>
    </row>
    <row r="422" spans="2:3">
      <c r="B422" s="6">
        <v>42424</v>
      </c>
      <c r="C422" s="2" t="s">
        <v>1260</v>
      </c>
    </row>
    <row r="423" spans="2:3">
      <c r="B423" s="6">
        <v>42425</v>
      </c>
      <c r="C423" s="2" t="s">
        <v>1261</v>
      </c>
    </row>
    <row r="424" spans="2:3">
      <c r="B424" s="6">
        <v>42426</v>
      </c>
      <c r="C424" s="2" t="s">
        <v>1262</v>
      </c>
    </row>
    <row r="425" spans="2:3">
      <c r="B425" s="6">
        <v>42427</v>
      </c>
      <c r="C425" s="2" t="s">
        <v>1263</v>
      </c>
    </row>
    <row r="426" spans="2:3">
      <c r="B426" s="6">
        <v>42428</v>
      </c>
      <c r="C426" s="2" t="s">
        <v>1264</v>
      </c>
    </row>
    <row r="427" spans="2:3">
      <c r="B427" s="6">
        <v>42429</v>
      </c>
      <c r="C427" s="2" t="s">
        <v>1265</v>
      </c>
    </row>
    <row r="428" spans="2:3">
      <c r="B428" s="6">
        <v>42430</v>
      </c>
      <c r="C428" s="2" t="s">
        <v>1266</v>
      </c>
    </row>
    <row r="429" spans="2:3">
      <c r="B429" s="6">
        <v>42431</v>
      </c>
      <c r="C429" s="2" t="s">
        <v>1267</v>
      </c>
    </row>
    <row r="430" spans="2:3">
      <c r="B430" s="6">
        <v>42432</v>
      </c>
      <c r="C430" s="2" t="s">
        <v>1268</v>
      </c>
    </row>
    <row r="431" spans="2:3">
      <c r="B431" s="6">
        <v>42433</v>
      </c>
      <c r="C431" s="2" t="s">
        <v>1269</v>
      </c>
    </row>
    <row r="432" spans="2:3">
      <c r="B432" s="6">
        <v>42434</v>
      </c>
      <c r="C432" s="2" t="s">
        <v>1270</v>
      </c>
    </row>
    <row r="433" spans="2:3">
      <c r="B433" s="6">
        <v>42435</v>
      </c>
      <c r="C433" s="2" t="s">
        <v>1271</v>
      </c>
    </row>
    <row r="434" spans="2:3">
      <c r="B434" s="6">
        <v>42436</v>
      </c>
      <c r="C434" s="2" t="s">
        <v>1272</v>
      </c>
    </row>
    <row r="435" spans="2:3">
      <c r="B435" s="6">
        <v>42437</v>
      </c>
      <c r="C435" s="2" t="s">
        <v>1273</v>
      </c>
    </row>
    <row r="436" spans="2:3">
      <c r="B436" s="6">
        <v>42438</v>
      </c>
      <c r="C436" s="2" t="s">
        <v>1274</v>
      </c>
    </row>
    <row r="437" spans="2:3">
      <c r="B437" s="6">
        <v>42439</v>
      </c>
      <c r="C437" s="2" t="s">
        <v>1275</v>
      </c>
    </row>
    <row r="438" spans="2:3">
      <c r="B438" s="6">
        <v>42440</v>
      </c>
      <c r="C438" s="2" t="s">
        <v>1276</v>
      </c>
    </row>
    <row r="439" spans="2:3">
      <c r="B439" s="6">
        <v>42441</v>
      </c>
      <c r="C439" s="2" t="s">
        <v>1277</v>
      </c>
    </row>
    <row r="440" spans="2:3">
      <c r="B440" s="6">
        <v>42442</v>
      </c>
      <c r="C440" s="2" t="s">
        <v>1278</v>
      </c>
    </row>
    <row r="441" spans="2:3">
      <c r="B441" s="6">
        <v>42443</v>
      </c>
      <c r="C441" s="2" t="s">
        <v>1279</v>
      </c>
    </row>
    <row r="442" spans="2:3">
      <c r="B442" s="6">
        <v>42444</v>
      </c>
      <c r="C442" s="2" t="s">
        <v>1280</v>
      </c>
    </row>
    <row r="443" spans="2:3">
      <c r="B443" s="6">
        <v>42445</v>
      </c>
      <c r="C443" s="2" t="s">
        <v>1281</v>
      </c>
    </row>
    <row r="444" spans="2:3">
      <c r="B444" s="6">
        <v>42446</v>
      </c>
      <c r="C444" s="2" t="s">
        <v>1282</v>
      </c>
    </row>
    <row r="445" spans="2:3">
      <c r="B445" s="6">
        <v>42447</v>
      </c>
      <c r="C445" s="2" t="s">
        <v>1283</v>
      </c>
    </row>
    <row r="446" spans="2:3">
      <c r="B446" s="6">
        <v>42448</v>
      </c>
      <c r="C446" s="2" t="s">
        <v>1284</v>
      </c>
    </row>
    <row r="447" spans="2:3">
      <c r="B447" s="6">
        <v>42449</v>
      </c>
      <c r="C447" s="2" t="s">
        <v>1285</v>
      </c>
    </row>
    <row r="448" spans="2:3">
      <c r="B448" s="6">
        <v>42450</v>
      </c>
      <c r="C448" s="2" t="s">
        <v>1286</v>
      </c>
    </row>
    <row r="449" spans="2:3">
      <c r="B449" s="6">
        <v>42451</v>
      </c>
      <c r="C449" s="2" t="s">
        <v>1287</v>
      </c>
    </row>
    <row r="450" spans="2:3">
      <c r="B450" s="6">
        <v>42452</v>
      </c>
      <c r="C450" s="2" t="s">
        <v>1288</v>
      </c>
    </row>
    <row r="451" spans="2:3">
      <c r="B451" s="6">
        <v>42453</v>
      </c>
      <c r="C451" s="2" t="s">
        <v>1289</v>
      </c>
    </row>
    <row r="452" spans="2:3">
      <c r="B452" s="6">
        <v>42454</v>
      </c>
      <c r="C452" s="2" t="s">
        <v>1290</v>
      </c>
    </row>
    <row r="453" spans="2:3">
      <c r="B453" s="6">
        <v>42455</v>
      </c>
      <c r="C453" s="2" t="s">
        <v>1291</v>
      </c>
    </row>
    <row r="454" spans="2:3">
      <c r="B454" s="6">
        <v>42456</v>
      </c>
      <c r="C454" s="2" t="s">
        <v>1292</v>
      </c>
    </row>
    <row r="455" spans="2:3">
      <c r="B455" s="6">
        <v>42457</v>
      </c>
      <c r="C455" s="2" t="s">
        <v>1293</v>
      </c>
    </row>
    <row r="456" spans="2:3">
      <c r="B456" s="6">
        <v>42458</v>
      </c>
      <c r="C456" s="2" t="s">
        <v>1294</v>
      </c>
    </row>
    <row r="457" spans="2:3">
      <c r="B457" s="6">
        <v>42459</v>
      </c>
      <c r="C457" s="2" t="s">
        <v>1295</v>
      </c>
    </row>
    <row r="458" spans="2:3">
      <c r="B458" s="6">
        <v>42460</v>
      </c>
      <c r="C458" s="2" t="s">
        <v>1296</v>
      </c>
    </row>
    <row r="459" spans="2:3">
      <c r="B459" s="6">
        <v>42461</v>
      </c>
      <c r="C459" s="2" t="s">
        <v>1297</v>
      </c>
    </row>
    <row r="460" spans="2:3">
      <c r="B460" s="6">
        <v>42462</v>
      </c>
      <c r="C460" s="2" t="s">
        <v>1298</v>
      </c>
    </row>
    <row r="461" spans="2:3">
      <c r="B461" s="6">
        <v>42463</v>
      </c>
      <c r="C461" s="2" t="s">
        <v>1299</v>
      </c>
    </row>
    <row r="462" spans="2:3">
      <c r="B462" s="6">
        <v>42464</v>
      </c>
      <c r="C462" s="2" t="s">
        <v>1300</v>
      </c>
    </row>
    <row r="463" spans="2:3">
      <c r="B463" s="6">
        <v>42465</v>
      </c>
      <c r="C463" s="2" t="s">
        <v>1301</v>
      </c>
    </row>
    <row r="464" spans="2:3">
      <c r="B464" s="6">
        <v>42466</v>
      </c>
      <c r="C464" s="2" t="s">
        <v>1302</v>
      </c>
    </row>
    <row r="465" spans="2:3">
      <c r="B465" s="6">
        <v>42467</v>
      </c>
      <c r="C465" s="2" t="s">
        <v>1303</v>
      </c>
    </row>
    <row r="466" spans="2:3">
      <c r="B466" s="6">
        <v>42468</v>
      </c>
      <c r="C466" s="2" t="s">
        <v>1304</v>
      </c>
    </row>
    <row r="467" spans="2:3">
      <c r="B467" s="6">
        <v>42469</v>
      </c>
      <c r="C467" s="2" t="s">
        <v>1305</v>
      </c>
    </row>
    <row r="468" spans="2:3">
      <c r="B468" s="6">
        <v>42470</v>
      </c>
      <c r="C468" s="2" t="s">
        <v>1306</v>
      </c>
    </row>
    <row r="469" spans="2:3">
      <c r="B469" s="6">
        <v>42471</v>
      </c>
      <c r="C469" s="2" t="s">
        <v>1307</v>
      </c>
    </row>
    <row r="470" spans="2:3">
      <c r="B470" s="6">
        <v>42472</v>
      </c>
      <c r="C470" s="2" t="s">
        <v>1308</v>
      </c>
    </row>
    <row r="471" spans="2:3">
      <c r="B471" s="6">
        <v>42473</v>
      </c>
      <c r="C471" s="2" t="s">
        <v>1309</v>
      </c>
    </row>
    <row r="472" spans="2:3">
      <c r="B472" s="6">
        <v>42474</v>
      </c>
      <c r="C472" s="2" t="s">
        <v>1310</v>
      </c>
    </row>
    <row r="473" spans="2:3">
      <c r="B473" s="6">
        <v>42475</v>
      </c>
      <c r="C473" s="2" t="s">
        <v>1311</v>
      </c>
    </row>
    <row r="474" spans="2:3">
      <c r="B474" s="6">
        <v>42476</v>
      </c>
      <c r="C474" s="2" t="s">
        <v>1312</v>
      </c>
    </row>
    <row r="475" spans="2:3">
      <c r="B475" s="6">
        <v>42477</v>
      </c>
      <c r="C475" s="2" t="s">
        <v>1313</v>
      </c>
    </row>
    <row r="476" spans="2:3">
      <c r="B476" s="6">
        <v>42478</v>
      </c>
      <c r="C476" s="2" t="s">
        <v>1314</v>
      </c>
    </row>
    <row r="477" spans="2:3">
      <c r="B477" s="6">
        <v>42479</v>
      </c>
      <c r="C477" s="2" t="s">
        <v>1315</v>
      </c>
    </row>
    <row r="478" spans="2:3">
      <c r="B478" s="6">
        <v>42480</v>
      </c>
      <c r="C478" s="2" t="s">
        <v>1316</v>
      </c>
    </row>
    <row r="479" spans="2:3">
      <c r="B479" s="6">
        <v>42481</v>
      </c>
      <c r="C479" s="2" t="s">
        <v>1317</v>
      </c>
    </row>
    <row r="480" spans="2:3">
      <c r="B480" s="6">
        <v>42482</v>
      </c>
      <c r="C480" s="2" t="s">
        <v>1318</v>
      </c>
    </row>
    <row r="481" spans="2:3">
      <c r="B481" s="6">
        <v>42483</v>
      </c>
      <c r="C481" s="2" t="s">
        <v>1319</v>
      </c>
    </row>
    <row r="482" spans="2:3">
      <c r="B482" s="6">
        <v>42484</v>
      </c>
      <c r="C482" s="2" t="s">
        <v>1320</v>
      </c>
    </row>
    <row r="483" spans="2:3">
      <c r="B483" s="6">
        <v>42485</v>
      </c>
      <c r="C483" s="2" t="s">
        <v>1321</v>
      </c>
    </row>
    <row r="484" spans="2:3">
      <c r="B484" s="6">
        <v>42486</v>
      </c>
      <c r="C484" s="2" t="s">
        <v>1322</v>
      </c>
    </row>
    <row r="485" spans="2:3">
      <c r="B485" s="6">
        <v>42487</v>
      </c>
      <c r="C485" s="2" t="s">
        <v>1323</v>
      </c>
    </row>
    <row r="486" spans="2:3">
      <c r="B486" s="6">
        <v>42488</v>
      </c>
      <c r="C486" s="2" t="s">
        <v>1324</v>
      </c>
    </row>
    <row r="487" spans="2:3">
      <c r="B487" s="6">
        <v>42489</v>
      </c>
      <c r="C487" s="2" t="s">
        <v>1325</v>
      </c>
    </row>
    <row r="488" spans="2:3">
      <c r="B488" s="6">
        <v>42490</v>
      </c>
      <c r="C488" s="2" t="s">
        <v>1326</v>
      </c>
    </row>
    <row r="489" spans="2:3">
      <c r="B489" s="6">
        <v>42491</v>
      </c>
      <c r="C489" s="2" t="s">
        <v>1327</v>
      </c>
    </row>
    <row r="490" spans="2:3">
      <c r="B490" s="6">
        <v>42492</v>
      </c>
      <c r="C490" s="2" t="s">
        <v>1328</v>
      </c>
    </row>
    <row r="491" spans="2:3">
      <c r="B491" s="6">
        <v>42493</v>
      </c>
      <c r="C491" s="2" t="s">
        <v>1329</v>
      </c>
    </row>
    <row r="492" spans="2:3">
      <c r="B492" s="6">
        <v>42494</v>
      </c>
      <c r="C492" s="2" t="s">
        <v>1330</v>
      </c>
    </row>
    <row r="493" spans="2:3">
      <c r="B493" s="6">
        <v>42495</v>
      </c>
      <c r="C493" s="2" t="s">
        <v>1331</v>
      </c>
    </row>
    <row r="494" spans="2:3">
      <c r="B494" s="6">
        <v>42496</v>
      </c>
      <c r="C494" s="2" t="s">
        <v>1332</v>
      </c>
    </row>
    <row r="495" spans="2:3">
      <c r="B495" s="6">
        <v>42497</v>
      </c>
      <c r="C495" s="2" t="s">
        <v>1333</v>
      </c>
    </row>
    <row r="496" spans="2:3">
      <c r="B496" s="6">
        <v>42498</v>
      </c>
      <c r="C496" s="2" t="s">
        <v>1334</v>
      </c>
    </row>
    <row r="497" spans="2:3">
      <c r="B497" s="6">
        <v>42499</v>
      </c>
      <c r="C497" s="2" t="s">
        <v>1335</v>
      </c>
    </row>
    <row r="498" spans="2:3">
      <c r="B498" s="6">
        <v>42500</v>
      </c>
      <c r="C498" s="2" t="s">
        <v>1336</v>
      </c>
    </row>
    <row r="499" spans="2:3">
      <c r="B499" s="6">
        <v>42501</v>
      </c>
      <c r="C499" s="2" t="s">
        <v>1337</v>
      </c>
    </row>
    <row r="500" spans="2:3">
      <c r="B500" s="6">
        <v>42502</v>
      </c>
      <c r="C500" s="2" t="s">
        <v>1338</v>
      </c>
    </row>
    <row r="501" spans="2:3">
      <c r="B501" s="6">
        <v>42503</v>
      </c>
      <c r="C501" s="2" t="s">
        <v>1339</v>
      </c>
    </row>
    <row r="502" spans="2:3">
      <c r="B502" s="6">
        <v>42504</v>
      </c>
      <c r="C502" s="2" t="s">
        <v>1340</v>
      </c>
    </row>
    <row r="503" spans="2:3">
      <c r="B503" s="6">
        <v>42505</v>
      </c>
      <c r="C503" s="2" t="s">
        <v>1341</v>
      </c>
    </row>
    <row r="504" spans="2:3">
      <c r="B504" s="6">
        <v>42506</v>
      </c>
      <c r="C504" s="2" t="s">
        <v>1342</v>
      </c>
    </row>
    <row r="505" spans="2:3">
      <c r="B505" s="6">
        <v>42507</v>
      </c>
      <c r="C505" s="2" t="s">
        <v>1343</v>
      </c>
    </row>
    <row r="506" spans="2:3">
      <c r="B506" s="6">
        <v>42508</v>
      </c>
      <c r="C506" s="2" t="s">
        <v>1344</v>
      </c>
    </row>
    <row r="507" spans="2:3">
      <c r="B507" s="6">
        <v>42509</v>
      </c>
      <c r="C507" s="2" t="s">
        <v>1345</v>
      </c>
    </row>
    <row r="508" spans="2:3">
      <c r="B508" s="6">
        <v>42510</v>
      </c>
      <c r="C508" s="2" t="s">
        <v>1346</v>
      </c>
    </row>
    <row r="509" spans="2:3">
      <c r="B509" s="6">
        <v>42511</v>
      </c>
      <c r="C509" s="2" t="s">
        <v>1347</v>
      </c>
    </row>
    <row r="510" spans="2:3">
      <c r="B510" s="6">
        <v>42512</v>
      </c>
      <c r="C510" s="2" t="s">
        <v>1348</v>
      </c>
    </row>
    <row r="511" spans="2:3">
      <c r="B511" s="6">
        <v>42513</v>
      </c>
      <c r="C511" s="2" t="s">
        <v>1349</v>
      </c>
    </row>
    <row r="512" spans="2:3">
      <c r="B512" s="6">
        <v>42514</v>
      </c>
      <c r="C512" s="2" t="s">
        <v>1350</v>
      </c>
    </row>
    <row r="513" spans="2:3">
      <c r="B513" s="6">
        <v>42515</v>
      </c>
      <c r="C513" s="2" t="s">
        <v>1351</v>
      </c>
    </row>
    <row r="514" spans="2:3">
      <c r="B514" s="6">
        <v>42516</v>
      </c>
      <c r="C514" s="2" t="s">
        <v>1352</v>
      </c>
    </row>
    <row r="515" spans="2:3">
      <c r="B515" s="6">
        <v>42517</v>
      </c>
      <c r="C515" s="2" t="s">
        <v>1353</v>
      </c>
    </row>
    <row r="516" spans="2:3">
      <c r="B516" s="6">
        <v>42518</v>
      </c>
      <c r="C516" s="2" t="s">
        <v>1354</v>
      </c>
    </row>
    <row r="517" spans="2:3">
      <c r="B517" s="6">
        <v>42519</v>
      </c>
      <c r="C517" s="2" t="s">
        <v>1355</v>
      </c>
    </row>
    <row r="518" spans="2:3">
      <c r="B518" s="6">
        <v>42520</v>
      </c>
      <c r="C518" s="2" t="s">
        <v>1356</v>
      </c>
    </row>
    <row r="519" spans="2:3">
      <c r="B519" s="6">
        <v>42521</v>
      </c>
      <c r="C519" s="2" t="s">
        <v>1357</v>
      </c>
    </row>
    <row r="520" spans="2:3">
      <c r="B520" s="6">
        <v>42522</v>
      </c>
      <c r="C520" s="2" t="s">
        <v>1358</v>
      </c>
    </row>
    <row r="521" spans="2:3">
      <c r="B521" s="6">
        <v>42523</v>
      </c>
      <c r="C521" s="2" t="s">
        <v>1359</v>
      </c>
    </row>
    <row r="522" spans="2:3">
      <c r="B522" s="6">
        <v>42524</v>
      </c>
      <c r="C522" s="2" t="s">
        <v>1360</v>
      </c>
    </row>
    <row r="523" spans="2:3">
      <c r="B523" s="6">
        <v>42525</v>
      </c>
      <c r="C523" s="2" t="s">
        <v>1361</v>
      </c>
    </row>
    <row r="524" spans="2:3">
      <c r="B524" s="6">
        <v>42526</v>
      </c>
      <c r="C524" s="2" t="s">
        <v>1362</v>
      </c>
    </row>
    <row r="525" spans="2:3">
      <c r="B525" s="6">
        <v>42527</v>
      </c>
      <c r="C525" s="2" t="s">
        <v>1363</v>
      </c>
    </row>
    <row r="526" spans="2:3">
      <c r="B526" s="6">
        <v>42528</v>
      </c>
      <c r="C526" s="2" t="s">
        <v>1364</v>
      </c>
    </row>
    <row r="527" spans="2:3">
      <c r="B527" s="6">
        <v>42529</v>
      </c>
      <c r="C527" s="2" t="s">
        <v>1365</v>
      </c>
    </row>
    <row r="528" spans="2:3">
      <c r="B528" s="6">
        <v>42530</v>
      </c>
      <c r="C528" s="2" t="s">
        <v>1366</v>
      </c>
    </row>
    <row r="529" spans="2:3">
      <c r="B529" s="6">
        <v>42531</v>
      </c>
      <c r="C529" s="2" t="s">
        <v>1367</v>
      </c>
    </row>
    <row r="530" spans="2:3">
      <c r="B530" s="6">
        <v>42532</v>
      </c>
      <c r="C530" s="2" t="s">
        <v>1368</v>
      </c>
    </row>
    <row r="531" spans="2:3">
      <c r="B531" s="6">
        <v>42533</v>
      </c>
      <c r="C531" s="2" t="s">
        <v>1369</v>
      </c>
    </row>
    <row r="532" spans="2:3">
      <c r="B532" s="6">
        <v>42534</v>
      </c>
      <c r="C532" s="2" t="s">
        <v>1370</v>
      </c>
    </row>
    <row r="533" spans="2:3">
      <c r="B533" s="6">
        <v>42535</v>
      </c>
      <c r="C533" s="2" t="s">
        <v>1371</v>
      </c>
    </row>
    <row r="534" spans="2:3">
      <c r="B534" s="6">
        <v>42536</v>
      </c>
      <c r="C534" s="2" t="s">
        <v>1372</v>
      </c>
    </row>
    <row r="535" spans="2:3">
      <c r="B535" s="6">
        <v>42537</v>
      </c>
      <c r="C535" s="2" t="s">
        <v>1373</v>
      </c>
    </row>
    <row r="536" spans="2:3">
      <c r="B536" s="6">
        <v>42538</v>
      </c>
      <c r="C536" s="2" t="s">
        <v>1374</v>
      </c>
    </row>
    <row r="537" spans="2:3">
      <c r="B537" s="6">
        <v>42539</v>
      </c>
      <c r="C537" s="2" t="s">
        <v>1375</v>
      </c>
    </row>
    <row r="538" spans="2:3">
      <c r="B538" s="6">
        <v>42540</v>
      </c>
      <c r="C538" s="2" t="s">
        <v>1376</v>
      </c>
    </row>
    <row r="539" spans="2:3">
      <c r="B539" s="6">
        <v>42541</v>
      </c>
      <c r="C539" s="2" t="s">
        <v>1377</v>
      </c>
    </row>
    <row r="540" spans="2:3">
      <c r="B540" s="6">
        <v>42542</v>
      </c>
      <c r="C540" s="2" t="s">
        <v>1378</v>
      </c>
    </row>
    <row r="541" spans="2:3">
      <c r="B541" s="6">
        <v>42543</v>
      </c>
      <c r="C541" s="2" t="s">
        <v>1379</v>
      </c>
    </row>
    <row r="542" spans="2:3">
      <c r="B542" s="6">
        <v>42544</v>
      </c>
      <c r="C542" s="2" t="s">
        <v>1380</v>
      </c>
    </row>
    <row r="543" spans="2:3">
      <c r="B543" s="6">
        <v>42545</v>
      </c>
      <c r="C543" s="2" t="s">
        <v>1381</v>
      </c>
    </row>
    <row r="544" spans="2:3">
      <c r="B544" s="6">
        <v>42546</v>
      </c>
      <c r="C544" s="2" t="s">
        <v>1382</v>
      </c>
    </row>
    <row r="545" spans="2:3">
      <c r="B545" s="6">
        <v>42547</v>
      </c>
      <c r="C545" s="2" t="s">
        <v>1383</v>
      </c>
    </row>
    <row r="546" spans="2:3">
      <c r="B546" s="6">
        <v>42548</v>
      </c>
      <c r="C546" s="2" t="s">
        <v>1384</v>
      </c>
    </row>
    <row r="547" spans="2:3">
      <c r="B547" s="6">
        <v>42549</v>
      </c>
      <c r="C547" s="2" t="s">
        <v>1385</v>
      </c>
    </row>
    <row r="548" spans="2:3">
      <c r="B548" s="6">
        <v>42550</v>
      </c>
      <c r="C548" s="2" t="s">
        <v>1386</v>
      </c>
    </row>
    <row r="549" spans="2:3">
      <c r="B549" s="6">
        <v>42551</v>
      </c>
      <c r="C549" s="2" t="s">
        <v>1387</v>
      </c>
    </row>
    <row r="550" spans="2:3">
      <c r="B550" s="6">
        <v>42552</v>
      </c>
      <c r="C550" s="2" t="s">
        <v>1388</v>
      </c>
    </row>
    <row r="551" spans="2:3">
      <c r="B551" s="6">
        <v>42553</v>
      </c>
      <c r="C551" s="2" t="s">
        <v>1389</v>
      </c>
    </row>
    <row r="552" spans="2:3">
      <c r="B552" s="6">
        <v>42554</v>
      </c>
      <c r="C552" s="2" t="s">
        <v>1390</v>
      </c>
    </row>
    <row r="553" spans="2:3">
      <c r="B553" s="6">
        <v>42555</v>
      </c>
      <c r="C553" s="2" t="s">
        <v>1391</v>
      </c>
    </row>
    <row r="554" spans="2:3">
      <c r="B554" s="6">
        <v>42556</v>
      </c>
      <c r="C554" s="2" t="s">
        <v>1392</v>
      </c>
    </row>
    <row r="555" spans="2:3">
      <c r="B555" s="6">
        <v>42557</v>
      </c>
      <c r="C555" s="2" t="s">
        <v>1393</v>
      </c>
    </row>
    <row r="556" spans="2:3">
      <c r="B556" s="6">
        <v>42558</v>
      </c>
      <c r="C556" s="2" t="s">
        <v>1394</v>
      </c>
    </row>
    <row r="557" spans="2:3">
      <c r="B557" s="6">
        <v>42559</v>
      </c>
      <c r="C557" s="2" t="s">
        <v>1395</v>
      </c>
    </row>
    <row r="558" spans="2:3">
      <c r="B558" s="6">
        <v>42560</v>
      </c>
      <c r="C558" s="2" t="s">
        <v>1396</v>
      </c>
    </row>
    <row r="559" spans="2:3">
      <c r="B559" s="6">
        <v>42561</v>
      </c>
      <c r="C559" s="2" t="s">
        <v>1397</v>
      </c>
    </row>
    <row r="560" spans="2:3">
      <c r="B560" s="6">
        <v>42562</v>
      </c>
      <c r="C560" s="2" t="s">
        <v>1398</v>
      </c>
    </row>
    <row r="561" spans="2:3">
      <c r="B561" s="6">
        <v>42563</v>
      </c>
      <c r="C561" s="2" t="s">
        <v>1399</v>
      </c>
    </row>
    <row r="562" spans="2:3">
      <c r="B562" s="6">
        <v>42564</v>
      </c>
      <c r="C562" s="2" t="s">
        <v>1400</v>
      </c>
    </row>
    <row r="563" spans="2:3">
      <c r="B563" s="6">
        <v>42565</v>
      </c>
      <c r="C563" s="2" t="s">
        <v>1401</v>
      </c>
    </row>
    <row r="564" spans="2:3">
      <c r="B564" s="6">
        <v>42566</v>
      </c>
      <c r="C564" s="2" t="s">
        <v>1402</v>
      </c>
    </row>
    <row r="565" spans="2:3">
      <c r="B565" s="6">
        <v>42567</v>
      </c>
      <c r="C565" s="2" t="s">
        <v>1403</v>
      </c>
    </row>
    <row r="566" spans="2:3">
      <c r="B566" s="6">
        <v>42568</v>
      </c>
      <c r="C566" s="2" t="s">
        <v>1404</v>
      </c>
    </row>
    <row r="567" spans="2:3">
      <c r="B567" s="6">
        <v>42569</v>
      </c>
      <c r="C567" s="2" t="s">
        <v>1405</v>
      </c>
    </row>
    <row r="568" spans="2:3">
      <c r="B568" s="6">
        <v>42570</v>
      </c>
      <c r="C568" s="2" t="s">
        <v>1406</v>
      </c>
    </row>
    <row r="569" spans="2:3">
      <c r="B569" s="6">
        <v>42571</v>
      </c>
      <c r="C569" s="2" t="s">
        <v>1407</v>
      </c>
    </row>
    <row r="570" spans="2:3">
      <c r="B570" s="6">
        <v>42572</v>
      </c>
      <c r="C570" s="2" t="s">
        <v>326</v>
      </c>
    </row>
    <row r="571" spans="2:3">
      <c r="B571" s="6">
        <v>42573</v>
      </c>
      <c r="C571" s="2" t="s">
        <v>1408</v>
      </c>
    </row>
    <row r="572" spans="2:3">
      <c r="B572" s="6">
        <v>42574</v>
      </c>
      <c r="C572" s="2" t="s">
        <v>1409</v>
      </c>
    </row>
    <row r="573" spans="2:3">
      <c r="B573" s="6">
        <v>42575</v>
      </c>
      <c r="C573" s="2" t="s">
        <v>327</v>
      </c>
    </row>
    <row r="574" spans="2:3">
      <c r="B574" s="6">
        <v>42576</v>
      </c>
      <c r="C574" s="2" t="s">
        <v>1410</v>
      </c>
    </row>
    <row r="575" spans="2:3">
      <c r="B575" s="6">
        <v>42577</v>
      </c>
      <c r="C575" s="2" t="s">
        <v>328</v>
      </c>
    </row>
    <row r="576" spans="2:3">
      <c r="B576" s="6">
        <v>42578</v>
      </c>
      <c r="C576" s="2" t="s">
        <v>654</v>
      </c>
    </row>
    <row r="577" spans="2:3">
      <c r="B577" s="6">
        <v>42579</v>
      </c>
      <c r="C577" s="2" t="s">
        <v>1411</v>
      </c>
    </row>
    <row r="578" spans="2:3">
      <c r="B578" s="6">
        <v>42580</v>
      </c>
      <c r="C578" s="2" t="s">
        <v>655</v>
      </c>
    </row>
    <row r="579" spans="2:3">
      <c r="B579" s="6">
        <v>42581</v>
      </c>
      <c r="C579" s="2" t="s">
        <v>329</v>
      </c>
    </row>
    <row r="580" spans="2:3">
      <c r="B580" s="6">
        <v>42582</v>
      </c>
      <c r="C580" s="2" t="s">
        <v>1412</v>
      </c>
    </row>
    <row r="581" spans="2:3">
      <c r="B581" s="6">
        <v>42583</v>
      </c>
      <c r="C581" s="2" t="s">
        <v>1413</v>
      </c>
    </row>
    <row r="582" spans="2:3">
      <c r="B582" s="6">
        <v>42584</v>
      </c>
      <c r="C582" s="2" t="s">
        <v>1414</v>
      </c>
    </row>
    <row r="583" spans="2:3">
      <c r="B583" s="6">
        <v>42585</v>
      </c>
      <c r="C583" s="2" t="s">
        <v>1415</v>
      </c>
    </row>
    <row r="584" spans="2:3">
      <c r="B584" s="6">
        <v>42586</v>
      </c>
      <c r="C584" s="2" t="s">
        <v>1416</v>
      </c>
    </row>
    <row r="585" spans="2:3">
      <c r="B585" s="6">
        <v>42587</v>
      </c>
      <c r="C585" s="2" t="s">
        <v>1417</v>
      </c>
    </row>
    <row r="586" spans="2:3">
      <c r="B586" s="6">
        <v>42588</v>
      </c>
      <c r="C586" s="2" t="s">
        <v>1418</v>
      </c>
    </row>
    <row r="587" spans="2:3">
      <c r="B587" s="6">
        <v>42589</v>
      </c>
      <c r="C587" s="2" t="s">
        <v>1419</v>
      </c>
    </row>
    <row r="588" spans="2:3">
      <c r="B588" s="6">
        <v>42590</v>
      </c>
      <c r="C588" s="2" t="s">
        <v>1420</v>
      </c>
    </row>
    <row r="589" spans="2:3">
      <c r="B589" s="6">
        <v>42591</v>
      </c>
      <c r="C589" s="2" t="s">
        <v>1421</v>
      </c>
    </row>
    <row r="590" spans="2:3">
      <c r="B590" s="6">
        <v>42592</v>
      </c>
      <c r="C590" s="2" t="s">
        <v>1422</v>
      </c>
    </row>
    <row r="591" spans="2:3">
      <c r="B591" s="6">
        <v>42593</v>
      </c>
      <c r="C591" s="2" t="s">
        <v>1423</v>
      </c>
    </row>
    <row r="592" spans="2:3">
      <c r="B592" s="6">
        <v>42594</v>
      </c>
      <c r="C592" s="2" t="s">
        <v>1424</v>
      </c>
    </row>
    <row r="593" spans="2:3">
      <c r="B593" s="6">
        <v>42595</v>
      </c>
      <c r="C593" s="2" t="s">
        <v>1425</v>
      </c>
    </row>
    <row r="594" spans="2:3">
      <c r="B594" s="6">
        <v>42596</v>
      </c>
      <c r="C594" s="2" t="s">
        <v>1426</v>
      </c>
    </row>
    <row r="595" spans="2:3">
      <c r="B595" s="6">
        <v>42597</v>
      </c>
      <c r="C595" s="2" t="s">
        <v>1427</v>
      </c>
    </row>
    <row r="596" spans="2:3">
      <c r="B596" s="6">
        <v>42598</v>
      </c>
      <c r="C596" s="2" t="s">
        <v>1428</v>
      </c>
    </row>
    <row r="597" spans="2:3">
      <c r="B597" s="6">
        <v>42599</v>
      </c>
      <c r="C597" s="2" t="s">
        <v>1429</v>
      </c>
    </row>
    <row r="598" spans="2:3">
      <c r="B598" s="6">
        <v>42600</v>
      </c>
      <c r="C598" s="2" t="s">
        <v>1430</v>
      </c>
    </row>
    <row r="599" spans="2:3">
      <c r="B599" s="6">
        <v>42601</v>
      </c>
      <c r="C599" s="2" t="s">
        <v>1431</v>
      </c>
    </row>
    <row r="600" spans="2:3">
      <c r="B600" s="6">
        <v>42602</v>
      </c>
      <c r="C600" s="2" t="s">
        <v>1432</v>
      </c>
    </row>
    <row r="601" spans="2:3">
      <c r="B601" s="6">
        <v>42603</v>
      </c>
      <c r="C601" s="2" t="s">
        <v>1433</v>
      </c>
    </row>
    <row r="602" spans="2:3">
      <c r="B602" s="6">
        <v>42604</v>
      </c>
      <c r="C602" s="2" t="s">
        <v>1434</v>
      </c>
    </row>
    <row r="603" spans="2:3">
      <c r="B603" s="6">
        <v>42605</v>
      </c>
      <c r="C603" s="2" t="s">
        <v>1435</v>
      </c>
    </row>
    <row r="604" spans="2:3">
      <c r="B604" s="6">
        <v>42606</v>
      </c>
      <c r="C604" s="2" t="s">
        <v>1436</v>
      </c>
    </row>
    <row r="605" spans="2:3">
      <c r="B605" s="6">
        <v>42607</v>
      </c>
      <c r="C605" s="2" t="s">
        <v>1437</v>
      </c>
    </row>
    <row r="606" spans="2:3">
      <c r="B606" s="6">
        <v>42608</v>
      </c>
      <c r="C606" s="2" t="s">
        <v>1438</v>
      </c>
    </row>
    <row r="607" spans="2:3">
      <c r="B607" s="6">
        <v>42609</v>
      </c>
      <c r="C607" s="2" t="s">
        <v>1439</v>
      </c>
    </row>
    <row r="608" spans="2:3">
      <c r="B608" s="6">
        <v>42610</v>
      </c>
      <c r="C608" s="2" t="s">
        <v>1440</v>
      </c>
    </row>
    <row r="609" spans="2:3">
      <c r="B609" s="6">
        <v>42611</v>
      </c>
      <c r="C609" s="2" t="s">
        <v>1441</v>
      </c>
    </row>
    <row r="610" spans="2:3">
      <c r="B610" s="6">
        <v>42612</v>
      </c>
      <c r="C610" s="2" t="s">
        <v>1442</v>
      </c>
    </row>
    <row r="611" spans="2:3">
      <c r="B611" s="6">
        <v>42613</v>
      </c>
      <c r="C611" s="2" t="s">
        <v>1443</v>
      </c>
    </row>
    <row r="612" spans="2:3">
      <c r="B612" s="6">
        <v>42614</v>
      </c>
      <c r="C612" s="2" t="s">
        <v>1444</v>
      </c>
    </row>
    <row r="613" spans="2:3">
      <c r="B613" s="6">
        <v>42615</v>
      </c>
      <c r="C613" s="2" t="s">
        <v>1445</v>
      </c>
    </row>
    <row r="614" spans="2:3">
      <c r="B614" s="6">
        <v>42616</v>
      </c>
      <c r="C614" s="2" t="s">
        <v>1446</v>
      </c>
    </row>
    <row r="615" spans="2:3">
      <c r="B615" s="6">
        <v>42617</v>
      </c>
      <c r="C615" s="2" t="s">
        <v>1447</v>
      </c>
    </row>
    <row r="616" spans="2:3">
      <c r="B616" s="6">
        <v>42618</v>
      </c>
      <c r="C616" s="2" t="s">
        <v>1448</v>
      </c>
    </row>
    <row r="617" spans="2:3">
      <c r="B617" s="6">
        <v>42619</v>
      </c>
      <c r="C617" s="2" t="s">
        <v>1449</v>
      </c>
    </row>
    <row r="618" spans="2:3">
      <c r="B618" s="6">
        <v>42620</v>
      </c>
      <c r="C618" s="2" t="s">
        <v>771</v>
      </c>
    </row>
    <row r="619" spans="2:3">
      <c r="B619" s="6">
        <v>42621</v>
      </c>
      <c r="C619" s="2" t="s">
        <v>1450</v>
      </c>
    </row>
    <row r="620" spans="2:3">
      <c r="B620" s="6">
        <v>42622</v>
      </c>
      <c r="C620" s="2" t="s">
        <v>1451</v>
      </c>
    </row>
    <row r="621" spans="2:3">
      <c r="B621" s="6">
        <v>42623</v>
      </c>
      <c r="C621" s="2" t="s">
        <v>772</v>
      </c>
    </row>
    <row r="622" spans="2:3">
      <c r="B622" s="6">
        <v>42624</v>
      </c>
      <c r="C622" s="2" t="s">
        <v>1452</v>
      </c>
    </row>
    <row r="623" spans="2:3">
      <c r="B623" s="6">
        <v>42625</v>
      </c>
      <c r="C623" s="2" t="s">
        <v>1453</v>
      </c>
    </row>
    <row r="624" spans="2:3">
      <c r="B624" s="6">
        <v>42626</v>
      </c>
      <c r="C624" s="2" t="s">
        <v>1454</v>
      </c>
    </row>
    <row r="625" spans="2:3">
      <c r="B625" s="6">
        <v>42627</v>
      </c>
      <c r="C625" s="2" t="s">
        <v>773</v>
      </c>
    </row>
    <row r="626" spans="2:3">
      <c r="B626" s="6">
        <v>42628</v>
      </c>
      <c r="C626" s="2" t="s">
        <v>1455</v>
      </c>
    </row>
    <row r="627" spans="2:3">
      <c r="B627" s="6">
        <v>42629</v>
      </c>
      <c r="C627" s="2" t="s">
        <v>774</v>
      </c>
    </row>
    <row r="628" spans="2:3">
      <c r="B628" s="6">
        <v>42630</v>
      </c>
      <c r="C628" s="2" t="s">
        <v>1456</v>
      </c>
    </row>
    <row r="629" spans="2:3">
      <c r="B629" s="6">
        <v>42631</v>
      </c>
      <c r="C629" s="2" t="s">
        <v>1457</v>
      </c>
    </row>
    <row r="630" spans="2:3">
      <c r="B630" s="6">
        <v>42632</v>
      </c>
      <c r="C630" s="2" t="s">
        <v>1458</v>
      </c>
    </row>
    <row r="631" spans="2:3">
      <c r="B631" s="6">
        <v>42633</v>
      </c>
      <c r="C631" s="2" t="s">
        <v>1459</v>
      </c>
    </row>
    <row r="632" spans="2:3">
      <c r="B632" s="6">
        <v>42634</v>
      </c>
      <c r="C632" s="2" t="s">
        <v>1460</v>
      </c>
    </row>
    <row r="633" spans="2:3">
      <c r="B633" s="6">
        <v>42635</v>
      </c>
      <c r="C633" s="2" t="s">
        <v>1461</v>
      </c>
    </row>
    <row r="634" spans="2:3">
      <c r="B634" s="6">
        <v>42636</v>
      </c>
      <c r="C634" s="2" t="s">
        <v>1462</v>
      </c>
    </row>
    <row r="635" spans="2:3">
      <c r="B635" s="6">
        <v>42637</v>
      </c>
      <c r="C635" s="2" t="s">
        <v>1463</v>
      </c>
    </row>
    <row r="636" spans="2:3">
      <c r="B636" s="6">
        <v>42638</v>
      </c>
      <c r="C636" s="2" t="s">
        <v>1464</v>
      </c>
    </row>
    <row r="637" spans="2:3">
      <c r="B637" s="6">
        <v>42639</v>
      </c>
      <c r="C637" s="2" t="s">
        <v>1465</v>
      </c>
    </row>
    <row r="638" spans="2:3">
      <c r="B638" s="6">
        <v>42640</v>
      </c>
      <c r="C638" s="2" t="s">
        <v>1466</v>
      </c>
    </row>
    <row r="639" spans="2:3">
      <c r="B639" s="6">
        <v>42641</v>
      </c>
      <c r="C639" s="2" t="s">
        <v>1467</v>
      </c>
    </row>
    <row r="640" spans="2:3">
      <c r="B640" s="6">
        <v>42642</v>
      </c>
      <c r="C640" s="2" t="s">
        <v>1468</v>
      </c>
    </row>
    <row r="641" spans="2:3">
      <c r="B641" s="6">
        <v>42643</v>
      </c>
      <c r="C641" s="2" t="s">
        <v>1469</v>
      </c>
    </row>
    <row r="642" spans="2:3">
      <c r="B642" s="6">
        <v>42644</v>
      </c>
      <c r="C642" s="2" t="s">
        <v>1470</v>
      </c>
    </row>
    <row r="643" spans="2:3">
      <c r="B643" s="6">
        <v>42645</v>
      </c>
      <c r="C643" s="2" t="s">
        <v>1471</v>
      </c>
    </row>
    <row r="644" spans="2:3">
      <c r="B644" s="6">
        <v>42646</v>
      </c>
      <c r="C644" s="2" t="s">
        <v>1472</v>
      </c>
    </row>
    <row r="645" spans="2:3">
      <c r="B645" s="6">
        <v>42647</v>
      </c>
      <c r="C645" s="2" t="s">
        <v>1473</v>
      </c>
    </row>
    <row r="646" spans="2:3">
      <c r="B646" s="6">
        <v>42648</v>
      </c>
      <c r="C646" s="2" t="s">
        <v>1474</v>
      </c>
    </row>
    <row r="647" spans="2:3">
      <c r="B647" s="6">
        <v>42649</v>
      </c>
      <c r="C647" s="2" t="s">
        <v>1475</v>
      </c>
    </row>
    <row r="648" spans="2:3">
      <c r="B648" s="6">
        <v>42650</v>
      </c>
      <c r="C648" s="2" t="s">
        <v>1476</v>
      </c>
    </row>
    <row r="649" spans="2:3">
      <c r="B649" s="6">
        <v>42651</v>
      </c>
      <c r="C649" s="2" t="s">
        <v>1477</v>
      </c>
    </row>
    <row r="650" spans="2:3">
      <c r="B650" s="6">
        <v>42652</v>
      </c>
      <c r="C650" s="2" t="s">
        <v>1478</v>
      </c>
    </row>
    <row r="651" spans="2:3">
      <c r="B651" s="6">
        <v>42653</v>
      </c>
      <c r="C651" s="2" t="s">
        <v>1479</v>
      </c>
    </row>
    <row r="652" spans="2:3">
      <c r="B652" s="6">
        <v>42654</v>
      </c>
      <c r="C652" s="2" t="s">
        <v>1480</v>
      </c>
    </row>
    <row r="653" spans="2:3">
      <c r="B653" s="6">
        <v>42655</v>
      </c>
      <c r="C653" s="2" t="s">
        <v>1481</v>
      </c>
    </row>
    <row r="654" spans="2:3">
      <c r="B654" s="6">
        <v>42656</v>
      </c>
      <c r="C654" s="2" t="s">
        <v>1482</v>
      </c>
    </row>
    <row r="655" spans="2:3">
      <c r="B655" s="6">
        <v>42657</v>
      </c>
      <c r="C655" s="2" t="s">
        <v>1483</v>
      </c>
    </row>
    <row r="656" spans="2:3">
      <c r="B656" s="6">
        <v>42658</v>
      </c>
      <c r="C656" s="2" t="s">
        <v>1484</v>
      </c>
    </row>
    <row r="657" spans="2:3">
      <c r="B657" s="6">
        <v>42659</v>
      </c>
      <c r="C657" s="2" t="s">
        <v>1485</v>
      </c>
    </row>
    <row r="658" spans="2:3">
      <c r="B658" s="6">
        <v>42660</v>
      </c>
      <c r="C658" s="2" t="s">
        <v>1486</v>
      </c>
    </row>
    <row r="659" spans="2:3">
      <c r="B659" s="6">
        <v>42661</v>
      </c>
      <c r="C659" s="2" t="s">
        <v>1487</v>
      </c>
    </row>
    <row r="660" spans="2:3">
      <c r="B660" s="6">
        <v>42662</v>
      </c>
      <c r="C660" s="2" t="s">
        <v>1488</v>
      </c>
    </row>
    <row r="661" spans="2:3">
      <c r="B661" s="6">
        <v>42663</v>
      </c>
      <c r="C661" s="2" t="s">
        <v>1489</v>
      </c>
    </row>
    <row r="662" spans="2:3">
      <c r="B662" s="6">
        <v>42664</v>
      </c>
      <c r="C662" s="2" t="s">
        <v>1490</v>
      </c>
    </row>
    <row r="663" spans="2:3">
      <c r="B663" s="6">
        <v>42665</v>
      </c>
      <c r="C663" s="2" t="s">
        <v>1491</v>
      </c>
    </row>
    <row r="664" spans="2:3">
      <c r="B664" s="6">
        <v>42666</v>
      </c>
      <c r="C664" s="2" t="s">
        <v>1492</v>
      </c>
    </row>
    <row r="665" spans="2:3">
      <c r="B665" s="6">
        <v>42667</v>
      </c>
      <c r="C665" s="2" t="s">
        <v>1493</v>
      </c>
    </row>
    <row r="666" spans="2:3">
      <c r="B666" s="6">
        <v>42668</v>
      </c>
      <c r="C666" s="2" t="s">
        <v>1494</v>
      </c>
    </row>
    <row r="667" spans="2:3">
      <c r="B667" s="6">
        <v>42669</v>
      </c>
      <c r="C667" s="2" t="s">
        <v>1495</v>
      </c>
    </row>
    <row r="668" spans="2:3">
      <c r="B668" s="6">
        <v>42670</v>
      </c>
      <c r="C668" s="2" t="s">
        <v>1496</v>
      </c>
    </row>
    <row r="669" spans="2:3">
      <c r="B669" s="6">
        <v>42671</v>
      </c>
      <c r="C669" s="2" t="s">
        <v>1497</v>
      </c>
    </row>
    <row r="670" spans="2:3">
      <c r="B670" s="6">
        <v>42672</v>
      </c>
      <c r="C670" s="2" t="s">
        <v>1498</v>
      </c>
    </row>
    <row r="671" spans="2:3">
      <c r="B671" s="6">
        <v>42673</v>
      </c>
      <c r="C671" s="2" t="s">
        <v>1499</v>
      </c>
    </row>
    <row r="672" spans="2:3">
      <c r="B672" s="6">
        <v>42674</v>
      </c>
      <c r="C672" s="2" t="s">
        <v>1500</v>
      </c>
    </row>
    <row r="673" spans="2:3">
      <c r="B673" s="6">
        <v>42675</v>
      </c>
      <c r="C673" s="2" t="s">
        <v>1501</v>
      </c>
    </row>
    <row r="674" spans="2:3">
      <c r="B674" s="6">
        <v>42676</v>
      </c>
      <c r="C674" s="2" t="s">
        <v>1502</v>
      </c>
    </row>
    <row r="675" spans="2:3">
      <c r="B675" s="6">
        <v>42677</v>
      </c>
      <c r="C675" s="2" t="s">
        <v>1503</v>
      </c>
    </row>
    <row r="676" spans="2:3">
      <c r="B676" s="6">
        <v>42678</v>
      </c>
      <c r="C676" s="2" t="s">
        <v>1504</v>
      </c>
    </row>
    <row r="677" spans="2:3">
      <c r="B677" s="6">
        <v>42679</v>
      </c>
      <c r="C677" s="2" t="s">
        <v>1505</v>
      </c>
    </row>
    <row r="678" spans="2:3">
      <c r="B678" s="6">
        <v>42680</v>
      </c>
      <c r="C678" s="2" t="s">
        <v>1506</v>
      </c>
    </row>
    <row r="679" spans="2:3">
      <c r="B679" s="6">
        <v>42681</v>
      </c>
      <c r="C679" s="2" t="s">
        <v>1507</v>
      </c>
    </row>
    <row r="680" spans="2:3">
      <c r="B680" s="6">
        <v>42682</v>
      </c>
      <c r="C680" s="2" t="s">
        <v>1508</v>
      </c>
    </row>
    <row r="681" spans="2:3">
      <c r="B681" s="6">
        <v>42683</v>
      </c>
      <c r="C681" s="2" t="s">
        <v>1509</v>
      </c>
    </row>
    <row r="682" spans="2:3">
      <c r="B682" s="6">
        <v>42684</v>
      </c>
      <c r="C682" s="2" t="s">
        <v>1510</v>
      </c>
    </row>
    <row r="683" spans="2:3">
      <c r="B683" s="6">
        <v>42685</v>
      </c>
      <c r="C683" s="2" t="s">
        <v>1511</v>
      </c>
    </row>
    <row r="684" spans="2:3">
      <c r="B684" s="6">
        <v>42686</v>
      </c>
      <c r="C684" s="2" t="s">
        <v>1512</v>
      </c>
    </row>
    <row r="685" spans="2:3">
      <c r="B685" s="6">
        <v>42687</v>
      </c>
      <c r="C685" s="2" t="s">
        <v>1513</v>
      </c>
    </row>
    <row r="686" spans="2:3">
      <c r="B686" s="6">
        <v>42688</v>
      </c>
      <c r="C686" s="2" t="s">
        <v>1514</v>
      </c>
    </row>
    <row r="687" spans="2:3">
      <c r="B687" s="6">
        <v>42689</v>
      </c>
      <c r="C687" s="2" t="s">
        <v>1515</v>
      </c>
    </row>
    <row r="688" spans="2:3">
      <c r="B688" s="6">
        <v>42690</v>
      </c>
      <c r="C688" s="2" t="s">
        <v>1516</v>
      </c>
    </row>
    <row r="689" spans="2:3">
      <c r="B689" s="6">
        <v>42691</v>
      </c>
      <c r="C689" s="2" t="s">
        <v>1517</v>
      </c>
    </row>
    <row r="690" spans="2:3">
      <c r="B690" s="6">
        <v>42692</v>
      </c>
      <c r="C690" s="2" t="s">
        <v>1518</v>
      </c>
    </row>
    <row r="691" spans="2:3">
      <c r="B691" s="6">
        <v>42693</v>
      </c>
      <c r="C691" s="2" t="s">
        <v>1519</v>
      </c>
    </row>
    <row r="692" spans="2:3">
      <c r="B692" s="6">
        <v>42694</v>
      </c>
      <c r="C692" s="2" t="s">
        <v>1520</v>
      </c>
    </row>
    <row r="693" spans="2:3">
      <c r="B693" s="6">
        <v>42695</v>
      </c>
      <c r="C693" s="2" t="s">
        <v>1521</v>
      </c>
    </row>
    <row r="694" spans="2:3">
      <c r="B694" s="6">
        <v>42696</v>
      </c>
      <c r="C694" s="2" t="s">
        <v>1522</v>
      </c>
    </row>
    <row r="695" spans="2:3">
      <c r="B695" s="6">
        <v>42697</v>
      </c>
      <c r="C695" s="2" t="s">
        <v>1523</v>
      </c>
    </row>
    <row r="696" spans="2:3">
      <c r="B696" s="6">
        <v>42698</v>
      </c>
      <c r="C696" s="2" t="s">
        <v>1524</v>
      </c>
    </row>
    <row r="697" spans="2:3">
      <c r="B697" s="6">
        <v>42699</v>
      </c>
      <c r="C697" s="2" t="s">
        <v>1525</v>
      </c>
    </row>
    <row r="698" spans="2:3">
      <c r="B698" s="6">
        <v>42700</v>
      </c>
      <c r="C698" s="2" t="s">
        <v>1526</v>
      </c>
    </row>
    <row r="699" spans="2:3">
      <c r="B699" s="6">
        <v>42701</v>
      </c>
      <c r="C699" s="2" t="s">
        <v>1527</v>
      </c>
    </row>
    <row r="700" spans="2:3">
      <c r="B700" s="6">
        <v>42702</v>
      </c>
      <c r="C700" s="2" t="s">
        <v>1528</v>
      </c>
    </row>
    <row r="701" spans="2:3">
      <c r="B701" s="6">
        <v>42703</v>
      </c>
      <c r="C701" s="2" t="s">
        <v>318</v>
      </c>
    </row>
    <row r="702" spans="2:3">
      <c r="B702" s="6">
        <v>42704</v>
      </c>
      <c r="C702" s="2" t="s">
        <v>1529</v>
      </c>
    </row>
    <row r="703" spans="2:3">
      <c r="B703" s="6">
        <v>42705</v>
      </c>
      <c r="C703" s="2" t="s">
        <v>1530</v>
      </c>
    </row>
    <row r="704" spans="2:3">
      <c r="B704" s="6">
        <v>42706</v>
      </c>
      <c r="C704" s="2" t="s">
        <v>319</v>
      </c>
    </row>
    <row r="705" spans="2:3">
      <c r="B705" s="6">
        <v>42707</v>
      </c>
      <c r="C705" s="2" t="s">
        <v>1531</v>
      </c>
    </row>
    <row r="706" spans="2:3">
      <c r="B706" s="6">
        <v>42708</v>
      </c>
      <c r="C706" s="2" t="s">
        <v>320</v>
      </c>
    </row>
    <row r="707" spans="2:3">
      <c r="B707" s="6">
        <v>42709</v>
      </c>
      <c r="C707" s="2" t="s">
        <v>321</v>
      </c>
    </row>
    <row r="708" spans="2:3">
      <c r="B708" s="6">
        <v>42710</v>
      </c>
      <c r="C708" s="2" t="s">
        <v>1532</v>
      </c>
    </row>
    <row r="709" spans="2:3">
      <c r="B709" s="6">
        <v>42711</v>
      </c>
      <c r="C709" s="2" t="s">
        <v>1533</v>
      </c>
    </row>
    <row r="710" spans="2:3">
      <c r="B710" s="6">
        <v>42712</v>
      </c>
      <c r="C710" s="2" t="s">
        <v>1534</v>
      </c>
    </row>
    <row r="711" spans="2:3">
      <c r="B711" s="6">
        <v>42713</v>
      </c>
      <c r="C711" s="2" t="s">
        <v>1535</v>
      </c>
    </row>
    <row r="712" spans="2:3">
      <c r="B712" s="6">
        <v>42714</v>
      </c>
      <c r="C712" s="2" t="s">
        <v>1536</v>
      </c>
    </row>
    <row r="713" spans="2:3">
      <c r="B713" s="6">
        <v>42715</v>
      </c>
      <c r="C713" s="2" t="s">
        <v>1537</v>
      </c>
    </row>
    <row r="714" spans="2:3">
      <c r="B714" s="6">
        <v>42716</v>
      </c>
      <c r="C714" s="2" t="s">
        <v>1538</v>
      </c>
    </row>
    <row r="715" spans="2:3">
      <c r="B715" s="6">
        <v>42717</v>
      </c>
      <c r="C715" s="2" t="s">
        <v>1539</v>
      </c>
    </row>
    <row r="716" spans="2:3">
      <c r="B716" s="6">
        <v>42718</v>
      </c>
      <c r="C716" s="2" t="s">
        <v>1540</v>
      </c>
    </row>
    <row r="717" spans="2:3">
      <c r="B717" s="6">
        <v>42719</v>
      </c>
      <c r="C717" s="2" t="s">
        <v>1541</v>
      </c>
    </row>
    <row r="718" spans="2:3">
      <c r="B718" s="6">
        <v>42720</v>
      </c>
      <c r="C718" s="2" t="s">
        <v>1542</v>
      </c>
    </row>
    <row r="719" spans="2:3">
      <c r="B719" s="6">
        <v>42721</v>
      </c>
      <c r="C719" s="2" t="s">
        <v>1543</v>
      </c>
    </row>
    <row r="720" spans="2:3">
      <c r="B720" s="6">
        <v>42722</v>
      </c>
      <c r="C720" s="2" t="s">
        <v>1544</v>
      </c>
    </row>
    <row r="721" spans="2:3">
      <c r="B721" s="6">
        <v>42723</v>
      </c>
      <c r="C721" s="2" t="s">
        <v>1545</v>
      </c>
    </row>
    <row r="722" spans="2:3">
      <c r="B722" s="6">
        <v>42724</v>
      </c>
      <c r="C722" s="2" t="s">
        <v>1546</v>
      </c>
    </row>
    <row r="723" spans="2:3">
      <c r="B723" s="6">
        <v>42725</v>
      </c>
      <c r="C723" s="2" t="s">
        <v>1547</v>
      </c>
    </row>
    <row r="724" spans="2:3">
      <c r="B724" s="6">
        <v>42726</v>
      </c>
      <c r="C724" s="2" t="s">
        <v>1548</v>
      </c>
    </row>
    <row r="725" spans="2:3">
      <c r="B725" s="6">
        <v>42727</v>
      </c>
      <c r="C725" s="2" t="s">
        <v>1549</v>
      </c>
    </row>
    <row r="726" spans="2:3">
      <c r="B726" s="6">
        <v>42728</v>
      </c>
      <c r="C726" s="2" t="s">
        <v>1550</v>
      </c>
    </row>
    <row r="727" spans="2:3">
      <c r="B727" s="6">
        <v>42729</v>
      </c>
      <c r="C727" s="2" t="s">
        <v>603</v>
      </c>
    </row>
    <row r="728" spans="2:3">
      <c r="B728" s="6">
        <v>42730</v>
      </c>
      <c r="C728" s="2" t="s">
        <v>1551</v>
      </c>
    </row>
    <row r="729" spans="2:3">
      <c r="B729" s="6">
        <v>42731</v>
      </c>
      <c r="C729" s="2" t="s">
        <v>604</v>
      </c>
    </row>
    <row r="730" spans="2:3">
      <c r="B730" s="6">
        <v>42732</v>
      </c>
      <c r="C730" s="2" t="s">
        <v>605</v>
      </c>
    </row>
    <row r="731" spans="2:3">
      <c r="B731" s="6">
        <v>42733</v>
      </c>
      <c r="C731" s="2" t="s">
        <v>606</v>
      </c>
    </row>
    <row r="732" spans="2:3">
      <c r="B732" s="6">
        <v>42734</v>
      </c>
      <c r="C732" s="2" t="s">
        <v>1552</v>
      </c>
    </row>
    <row r="733" spans="2:3">
      <c r="B733" s="6">
        <v>42735</v>
      </c>
      <c r="C733" s="2" t="s">
        <v>1553</v>
      </c>
    </row>
    <row r="734" spans="2:3">
      <c r="B734" s="6">
        <v>42736</v>
      </c>
      <c r="C734" s="2" t="s">
        <v>1554</v>
      </c>
    </row>
    <row r="735" spans="2:3">
      <c r="B735" s="6">
        <v>42737</v>
      </c>
      <c r="C735" s="2" t="s">
        <v>1555</v>
      </c>
    </row>
    <row r="736" spans="2:3">
      <c r="B736" s="6">
        <v>42738</v>
      </c>
      <c r="C736" s="2" t="s">
        <v>1556</v>
      </c>
    </row>
    <row r="737" spans="2:3">
      <c r="B737" s="6">
        <v>42739</v>
      </c>
      <c r="C737" s="2" t="s">
        <v>1557</v>
      </c>
    </row>
    <row r="738" spans="2:3">
      <c r="B738" s="6">
        <v>42740</v>
      </c>
      <c r="C738" s="2" t="s">
        <v>1558</v>
      </c>
    </row>
    <row r="739" spans="2:3">
      <c r="B739" s="6">
        <v>42741</v>
      </c>
      <c r="C739" s="2" t="s">
        <v>1559</v>
      </c>
    </row>
    <row r="740" spans="2:3">
      <c r="B740" s="6">
        <v>42742</v>
      </c>
      <c r="C740" s="2" t="s">
        <v>1560</v>
      </c>
    </row>
    <row r="741" spans="2:3">
      <c r="B741" s="6">
        <v>42743</v>
      </c>
      <c r="C741" s="2" t="s">
        <v>1561</v>
      </c>
    </row>
    <row r="742" spans="2:3">
      <c r="B742" s="6">
        <v>42744</v>
      </c>
      <c r="C742" s="2" t="s">
        <v>1562</v>
      </c>
    </row>
    <row r="743" spans="2:3">
      <c r="B743" s="6">
        <v>42745</v>
      </c>
      <c r="C743" s="2" t="s">
        <v>1563</v>
      </c>
    </row>
    <row r="744" spans="2:3">
      <c r="B744" s="6">
        <v>42746</v>
      </c>
      <c r="C744" s="2" t="s">
        <v>1564</v>
      </c>
    </row>
    <row r="745" spans="2:3">
      <c r="B745" s="6">
        <v>42747</v>
      </c>
      <c r="C745" s="2" t="s">
        <v>1565</v>
      </c>
    </row>
    <row r="746" spans="2:3">
      <c r="B746" s="6">
        <v>42748</v>
      </c>
      <c r="C746" s="2" t="s">
        <v>1566</v>
      </c>
    </row>
    <row r="747" spans="2:3">
      <c r="B747" s="6">
        <v>42749</v>
      </c>
      <c r="C747" s="2" t="s">
        <v>1567</v>
      </c>
    </row>
    <row r="748" spans="2:3">
      <c r="B748" s="6">
        <v>42750</v>
      </c>
      <c r="C748" s="2" t="s">
        <v>1568</v>
      </c>
    </row>
    <row r="749" spans="2:3">
      <c r="B749" s="6">
        <v>42751</v>
      </c>
      <c r="C749" s="2" t="s">
        <v>1569</v>
      </c>
    </row>
    <row r="750" spans="2:3">
      <c r="B750" s="6">
        <v>42752</v>
      </c>
      <c r="C750" s="2" t="s">
        <v>1570</v>
      </c>
    </row>
    <row r="751" spans="2:3">
      <c r="B751" s="6">
        <v>42753</v>
      </c>
      <c r="C751" s="2" t="s">
        <v>1571</v>
      </c>
    </row>
    <row r="752" spans="2:3">
      <c r="B752" s="6">
        <v>42754</v>
      </c>
      <c r="C752" s="2" t="s">
        <v>1572</v>
      </c>
    </row>
    <row r="753" spans="2:3">
      <c r="B753" s="6">
        <v>42755</v>
      </c>
      <c r="C753" s="2" t="s">
        <v>1573</v>
      </c>
    </row>
    <row r="754" spans="2:3">
      <c r="B754" s="6">
        <v>42756</v>
      </c>
      <c r="C754" s="2" t="s">
        <v>800</v>
      </c>
    </row>
    <row r="755" spans="2:3">
      <c r="B755" s="6">
        <v>42757</v>
      </c>
      <c r="C755" s="2" t="s">
        <v>1574</v>
      </c>
    </row>
    <row r="756" spans="2:3">
      <c r="B756" s="6">
        <v>42758</v>
      </c>
      <c r="C756" s="2" t="s">
        <v>1575</v>
      </c>
    </row>
    <row r="757" spans="2:3">
      <c r="B757" s="6">
        <v>42759</v>
      </c>
      <c r="C757" s="2" t="s">
        <v>1576</v>
      </c>
    </row>
    <row r="758" spans="2:3">
      <c r="B758" s="6">
        <v>42760</v>
      </c>
      <c r="C758" s="2" t="s">
        <v>801</v>
      </c>
    </row>
    <row r="759" spans="2:3">
      <c r="B759" s="6">
        <v>42761</v>
      </c>
      <c r="C759" s="2" t="s">
        <v>1577</v>
      </c>
    </row>
    <row r="760" spans="2:3">
      <c r="B760" s="6">
        <v>42762</v>
      </c>
      <c r="C760" s="2" t="s">
        <v>1578</v>
      </c>
    </row>
    <row r="761" spans="2:3">
      <c r="B761" s="6">
        <v>42763</v>
      </c>
      <c r="C761" s="2" t="s">
        <v>802</v>
      </c>
    </row>
    <row r="762" spans="2:3">
      <c r="B762" s="6">
        <v>42764</v>
      </c>
      <c r="C762" s="2" t="s">
        <v>803</v>
      </c>
    </row>
    <row r="763" spans="2:3">
      <c r="B763" s="6">
        <v>42765</v>
      </c>
      <c r="C763" s="2" t="s">
        <v>1579</v>
      </c>
    </row>
    <row r="764" spans="2:3">
      <c r="B764" s="6">
        <v>42766</v>
      </c>
      <c r="C764" s="2" t="s">
        <v>1580</v>
      </c>
    </row>
    <row r="765" spans="2:3">
      <c r="B765" s="6">
        <v>42767</v>
      </c>
      <c r="C765" s="2" t="s">
        <v>1581</v>
      </c>
    </row>
    <row r="766" spans="2:3">
      <c r="B766" s="6">
        <v>42768</v>
      </c>
      <c r="C766" s="2" t="s">
        <v>1582</v>
      </c>
    </row>
    <row r="767" spans="2:3">
      <c r="B767" s="6">
        <v>42769</v>
      </c>
      <c r="C767" s="2" t="s">
        <v>1583</v>
      </c>
    </row>
    <row r="768" spans="2:3">
      <c r="B768" s="6">
        <v>42770</v>
      </c>
      <c r="C768" s="2" t="s">
        <v>1584</v>
      </c>
    </row>
    <row r="769" spans="2:3">
      <c r="B769" s="6">
        <v>42771</v>
      </c>
      <c r="C769" s="2" t="s">
        <v>1585</v>
      </c>
    </row>
    <row r="770" spans="2:3">
      <c r="B770" s="6">
        <v>42772</v>
      </c>
      <c r="C770" s="2" t="s">
        <v>1586</v>
      </c>
    </row>
    <row r="771" spans="2:3">
      <c r="B771" s="6">
        <v>42773</v>
      </c>
      <c r="C771" s="2" t="s">
        <v>1587</v>
      </c>
    </row>
    <row r="772" spans="2:3">
      <c r="B772" s="6">
        <v>42774</v>
      </c>
      <c r="C772" s="2" t="s">
        <v>1588</v>
      </c>
    </row>
    <row r="773" spans="2:3">
      <c r="B773" s="6">
        <v>42775</v>
      </c>
      <c r="C773" s="2" t="s">
        <v>1589</v>
      </c>
    </row>
    <row r="774" spans="2:3">
      <c r="B774" s="6">
        <v>42776</v>
      </c>
      <c r="C774" s="2" t="s">
        <v>1590</v>
      </c>
    </row>
    <row r="775" spans="2:3">
      <c r="B775" s="6">
        <v>42777</v>
      </c>
      <c r="C775" s="2" t="s">
        <v>1591</v>
      </c>
    </row>
    <row r="776" spans="2:3">
      <c r="B776" s="6">
        <v>42778</v>
      </c>
      <c r="C776" s="2" t="s">
        <v>1592</v>
      </c>
    </row>
    <row r="777" spans="2:3">
      <c r="B777" s="6">
        <v>42779</v>
      </c>
      <c r="C777" s="2" t="s">
        <v>1593</v>
      </c>
    </row>
    <row r="778" spans="2:3">
      <c r="B778" s="6">
        <v>42780</v>
      </c>
      <c r="C778" s="2" t="s">
        <v>1594</v>
      </c>
    </row>
    <row r="779" spans="2:3">
      <c r="B779" s="6">
        <v>42781</v>
      </c>
      <c r="C779" s="2" t="s">
        <v>1595</v>
      </c>
    </row>
    <row r="780" spans="2:3">
      <c r="B780" s="6">
        <v>42782</v>
      </c>
      <c r="C780" s="2" t="s">
        <v>1596</v>
      </c>
    </row>
    <row r="781" spans="2:3">
      <c r="B781" s="6">
        <v>42783</v>
      </c>
      <c r="C781" s="2" t="s">
        <v>1597</v>
      </c>
    </row>
    <row r="782" spans="2:3">
      <c r="B782" s="6">
        <v>42784</v>
      </c>
      <c r="C782" s="2" t="s">
        <v>1598</v>
      </c>
    </row>
    <row r="783" spans="2:3">
      <c r="B783" s="6">
        <v>42785</v>
      </c>
      <c r="C783" s="2" t="s">
        <v>1599</v>
      </c>
    </row>
    <row r="784" spans="2:3">
      <c r="B784" s="6">
        <v>42786</v>
      </c>
      <c r="C784" s="2" t="s">
        <v>582</v>
      </c>
    </row>
    <row r="785" spans="2:3">
      <c r="B785" s="6">
        <v>42787</v>
      </c>
      <c r="C785" s="2" t="s">
        <v>583</v>
      </c>
    </row>
    <row r="786" spans="2:3">
      <c r="B786" s="6">
        <v>42788</v>
      </c>
      <c r="C786" s="2" t="s">
        <v>1600</v>
      </c>
    </row>
    <row r="787" spans="2:3">
      <c r="B787" s="6">
        <v>42789</v>
      </c>
      <c r="C787" s="2" t="s">
        <v>1601</v>
      </c>
    </row>
    <row r="788" spans="2:3">
      <c r="B788" s="6">
        <v>42790</v>
      </c>
      <c r="C788" s="2" t="s">
        <v>584</v>
      </c>
    </row>
    <row r="789" spans="2:3">
      <c r="B789" s="6">
        <v>42791</v>
      </c>
      <c r="C789" s="2" t="s">
        <v>1602</v>
      </c>
    </row>
    <row r="790" spans="2:3">
      <c r="B790" s="6">
        <v>42792</v>
      </c>
      <c r="C790" s="2" t="s">
        <v>1603</v>
      </c>
    </row>
    <row r="791" spans="2:3">
      <c r="B791" s="6">
        <v>42793</v>
      </c>
      <c r="C791" s="2" t="s">
        <v>585</v>
      </c>
    </row>
    <row r="792" spans="2:3">
      <c r="B792" s="6">
        <v>42794</v>
      </c>
      <c r="C792" s="2" t="s">
        <v>1604</v>
      </c>
    </row>
    <row r="793" spans="2:3">
      <c r="B793" s="6">
        <v>42795</v>
      </c>
      <c r="C793" s="2" t="s">
        <v>1605</v>
      </c>
    </row>
    <row r="794" spans="2:3">
      <c r="B794" s="6">
        <v>42796</v>
      </c>
      <c r="C794" s="2" t="s">
        <v>1606</v>
      </c>
    </row>
    <row r="795" spans="2:3">
      <c r="B795" s="6">
        <v>42797</v>
      </c>
      <c r="C795" s="2" t="s">
        <v>1607</v>
      </c>
    </row>
    <row r="796" spans="2:3">
      <c r="B796" s="6">
        <v>42798</v>
      </c>
      <c r="C796" s="2" t="s">
        <v>1608</v>
      </c>
    </row>
    <row r="797" spans="2:3">
      <c r="B797" s="6">
        <v>42799</v>
      </c>
      <c r="C797" s="2" t="s">
        <v>1609</v>
      </c>
    </row>
    <row r="798" spans="2:3">
      <c r="B798" s="6">
        <v>42800</v>
      </c>
      <c r="C798" s="2" t="s">
        <v>1610</v>
      </c>
    </row>
    <row r="799" spans="2:3">
      <c r="B799" s="6">
        <v>42801</v>
      </c>
      <c r="C799" s="2" t="s">
        <v>1611</v>
      </c>
    </row>
    <row r="800" spans="2:3">
      <c r="B800" s="6">
        <v>42802</v>
      </c>
      <c r="C800" s="2" t="s">
        <v>1612</v>
      </c>
    </row>
    <row r="801" spans="2:3">
      <c r="B801" s="6">
        <v>42803</v>
      </c>
      <c r="C801" s="2" t="s">
        <v>1613</v>
      </c>
    </row>
    <row r="802" spans="2:3">
      <c r="B802" s="6">
        <v>42804</v>
      </c>
      <c r="C802" s="2" t="s">
        <v>1614</v>
      </c>
    </row>
    <row r="803" spans="2:3">
      <c r="B803" s="6">
        <v>42805</v>
      </c>
      <c r="C803" s="2" t="s">
        <v>1615</v>
      </c>
    </row>
    <row r="804" spans="2:3">
      <c r="B804" s="6">
        <v>42806</v>
      </c>
      <c r="C804" s="2" t="s">
        <v>1616</v>
      </c>
    </row>
    <row r="805" spans="2:3">
      <c r="B805" s="6">
        <v>42807</v>
      </c>
      <c r="C805" s="2" t="s">
        <v>409</v>
      </c>
    </row>
    <row r="806" spans="2:3">
      <c r="B806" s="6">
        <v>42808</v>
      </c>
      <c r="C806" s="2" t="s">
        <v>1617</v>
      </c>
    </row>
    <row r="807" spans="2:3">
      <c r="B807" s="6">
        <v>42809</v>
      </c>
      <c r="C807" s="2" t="s">
        <v>410</v>
      </c>
    </row>
    <row r="808" spans="2:3">
      <c r="B808" s="6">
        <v>42810</v>
      </c>
      <c r="C808" s="2" t="s">
        <v>1618</v>
      </c>
    </row>
    <row r="809" spans="2:3">
      <c r="B809" s="6">
        <v>42811</v>
      </c>
      <c r="C809" s="2" t="s">
        <v>411</v>
      </c>
    </row>
    <row r="810" spans="2:3">
      <c r="B810" s="6">
        <v>42812</v>
      </c>
      <c r="C810" s="2" t="s">
        <v>1619</v>
      </c>
    </row>
    <row r="811" spans="2:3">
      <c r="B811" s="6">
        <v>42813</v>
      </c>
      <c r="C811" s="2" t="s">
        <v>1620</v>
      </c>
    </row>
    <row r="812" spans="2:3">
      <c r="B812" s="6">
        <v>42814</v>
      </c>
      <c r="C812" s="2" t="s">
        <v>1621</v>
      </c>
    </row>
    <row r="813" spans="2:3">
      <c r="B813" s="6">
        <v>42815</v>
      </c>
      <c r="C813" s="2" t="s">
        <v>412</v>
      </c>
    </row>
    <row r="814" spans="2:3">
      <c r="B814" s="6">
        <v>42816</v>
      </c>
      <c r="C814" s="2" t="s">
        <v>643</v>
      </c>
    </row>
    <row r="815" spans="2:3">
      <c r="B815" s="6">
        <v>42817</v>
      </c>
      <c r="C815" s="2" t="s">
        <v>1622</v>
      </c>
    </row>
    <row r="816" spans="2:3">
      <c r="B816" s="6">
        <v>42818</v>
      </c>
      <c r="C816" s="2" t="s">
        <v>1623</v>
      </c>
    </row>
    <row r="817" spans="2:3">
      <c r="B817" s="6">
        <v>42819</v>
      </c>
      <c r="C817" s="2" t="s">
        <v>1624</v>
      </c>
    </row>
    <row r="818" spans="2:3">
      <c r="B818" s="6">
        <v>42820</v>
      </c>
      <c r="C818" s="2" t="s">
        <v>644</v>
      </c>
    </row>
    <row r="819" spans="2:3">
      <c r="B819" s="6">
        <v>42821</v>
      </c>
      <c r="C819" s="2" t="s">
        <v>1625</v>
      </c>
    </row>
    <row r="820" spans="2:3">
      <c r="B820" s="6">
        <v>42822</v>
      </c>
      <c r="C820" s="2" t="s">
        <v>1626</v>
      </c>
    </row>
    <row r="821" spans="2:3">
      <c r="B821" s="6">
        <v>42823</v>
      </c>
      <c r="C821" s="2" t="s">
        <v>1627</v>
      </c>
    </row>
    <row r="822" spans="2:3">
      <c r="B822" s="6">
        <v>42824</v>
      </c>
      <c r="C822" s="2" t="s">
        <v>645</v>
      </c>
    </row>
    <row r="823" spans="2:3">
      <c r="B823" s="6">
        <v>42825</v>
      </c>
      <c r="C823" s="2" t="s">
        <v>646</v>
      </c>
    </row>
    <row r="824" spans="2:3">
      <c r="B824" s="6">
        <v>42826</v>
      </c>
      <c r="C824" s="2" t="s">
        <v>1628</v>
      </c>
    </row>
    <row r="825" spans="2:3">
      <c r="B825" s="6">
        <v>42827</v>
      </c>
      <c r="C825" s="2" t="s">
        <v>1629</v>
      </c>
    </row>
    <row r="826" spans="2:3">
      <c r="B826" s="6">
        <v>42828</v>
      </c>
      <c r="C826" s="2" t="s">
        <v>1630</v>
      </c>
    </row>
    <row r="827" spans="2:3">
      <c r="B827" s="6">
        <v>42829</v>
      </c>
      <c r="C827" s="2" t="s">
        <v>1631</v>
      </c>
    </row>
    <row r="828" spans="2:3">
      <c r="B828" s="6">
        <v>42830</v>
      </c>
      <c r="C828" s="2" t="s">
        <v>1632</v>
      </c>
    </row>
    <row r="829" spans="2:3">
      <c r="B829" s="6">
        <v>42831</v>
      </c>
      <c r="C829" s="2" t="s">
        <v>1633</v>
      </c>
    </row>
    <row r="830" spans="2:3">
      <c r="B830" s="6">
        <v>42832</v>
      </c>
      <c r="C830" s="2" t="s">
        <v>1634</v>
      </c>
    </row>
    <row r="831" spans="2:3">
      <c r="B831" s="6">
        <v>42833</v>
      </c>
      <c r="C831" s="2" t="s">
        <v>1635</v>
      </c>
    </row>
    <row r="832" spans="2:3">
      <c r="B832" s="6">
        <v>42834</v>
      </c>
      <c r="C832" s="2" t="s">
        <v>1636</v>
      </c>
    </row>
    <row r="833" spans="2:3">
      <c r="B833" s="6">
        <v>42835</v>
      </c>
      <c r="C833" s="2" t="s">
        <v>540</v>
      </c>
    </row>
    <row r="834" spans="2:3">
      <c r="B834" s="6">
        <v>42836</v>
      </c>
      <c r="C834" s="2" t="s">
        <v>1637</v>
      </c>
    </row>
    <row r="835" spans="2:3">
      <c r="B835" s="6">
        <v>42837</v>
      </c>
      <c r="C835" s="2" t="s">
        <v>1638</v>
      </c>
    </row>
    <row r="836" spans="2:3">
      <c r="B836" s="6">
        <v>42838</v>
      </c>
      <c r="C836" s="2" t="s">
        <v>541</v>
      </c>
    </row>
    <row r="837" spans="2:3">
      <c r="B837" s="6">
        <v>42839</v>
      </c>
      <c r="C837" s="2" t="s">
        <v>1639</v>
      </c>
    </row>
    <row r="838" spans="2:3">
      <c r="B838" s="6">
        <v>42840</v>
      </c>
      <c r="C838" s="2" t="s">
        <v>663</v>
      </c>
    </row>
    <row r="839" spans="2:3">
      <c r="B839" s="6">
        <v>42841</v>
      </c>
      <c r="C839" s="2" t="s">
        <v>542</v>
      </c>
    </row>
    <row r="840" spans="2:3">
      <c r="B840" s="6">
        <v>42842</v>
      </c>
      <c r="C840" s="2" t="s">
        <v>1640</v>
      </c>
    </row>
    <row r="841" spans="2:3">
      <c r="B841" s="6">
        <v>42843</v>
      </c>
      <c r="C841" s="2" t="s">
        <v>664</v>
      </c>
    </row>
    <row r="842" spans="2:3">
      <c r="B842" s="6">
        <v>42844</v>
      </c>
      <c r="C842" s="2" t="s">
        <v>543</v>
      </c>
    </row>
    <row r="843" spans="2:3">
      <c r="B843" s="6">
        <v>42845</v>
      </c>
      <c r="C843" s="2" t="s">
        <v>1641</v>
      </c>
    </row>
    <row r="844" spans="2:3">
      <c r="B844" s="6">
        <v>42846</v>
      </c>
      <c r="C844" s="2" t="s">
        <v>1642</v>
      </c>
    </row>
    <row r="845" spans="2:3">
      <c r="B845" s="6">
        <v>42847</v>
      </c>
      <c r="C845" s="2" t="s">
        <v>1643</v>
      </c>
    </row>
    <row r="846" spans="2:3">
      <c r="B846" s="6">
        <v>42848</v>
      </c>
      <c r="C846" s="2" t="s">
        <v>1644</v>
      </c>
    </row>
    <row r="847" spans="2:3">
      <c r="B847" s="6">
        <v>42849</v>
      </c>
      <c r="C847" s="2" t="s">
        <v>1645</v>
      </c>
    </row>
    <row r="848" spans="2:3">
      <c r="B848" s="6">
        <v>42850</v>
      </c>
      <c r="C848" s="2" t="s">
        <v>1646</v>
      </c>
    </row>
    <row r="849" spans="2:3">
      <c r="B849" s="6">
        <v>42851</v>
      </c>
      <c r="C849" s="2" t="s">
        <v>1647</v>
      </c>
    </row>
    <row r="850" spans="2:3">
      <c r="B850" s="6">
        <v>42852</v>
      </c>
      <c r="C850" s="2" t="s">
        <v>1648</v>
      </c>
    </row>
    <row r="851" spans="2:3">
      <c r="B851" s="6">
        <v>42853</v>
      </c>
      <c r="C851" s="2" t="s">
        <v>1649</v>
      </c>
    </row>
    <row r="852" spans="2:3">
      <c r="B852" s="6">
        <v>42854</v>
      </c>
      <c r="C852" s="2" t="s">
        <v>1650</v>
      </c>
    </row>
    <row r="853" spans="2:3">
      <c r="B853" s="6">
        <v>42855</v>
      </c>
      <c r="C853" s="2" t="s">
        <v>1651</v>
      </c>
    </row>
    <row r="854" spans="2:3">
      <c r="B854" s="6">
        <v>42856</v>
      </c>
      <c r="C854" s="2" t="s">
        <v>1652</v>
      </c>
    </row>
    <row r="855" spans="2:3">
      <c r="B855" s="6">
        <v>42857</v>
      </c>
      <c r="C855" s="2" t="s">
        <v>1653</v>
      </c>
    </row>
    <row r="856" spans="2:3">
      <c r="B856" s="6">
        <v>42858</v>
      </c>
      <c r="C856" s="2" t="s">
        <v>1654</v>
      </c>
    </row>
    <row r="857" spans="2:3">
      <c r="B857" s="6">
        <v>42859</v>
      </c>
      <c r="C857" s="2" t="s">
        <v>1655</v>
      </c>
    </row>
    <row r="858" spans="2:3">
      <c r="B858" s="6">
        <v>42860</v>
      </c>
      <c r="C858" s="2" t="s">
        <v>1656</v>
      </c>
    </row>
    <row r="859" spans="2:3">
      <c r="B859" s="6">
        <v>42861</v>
      </c>
      <c r="C859" s="2" t="s">
        <v>1657</v>
      </c>
    </row>
    <row r="860" spans="2:3">
      <c r="B860" s="6">
        <v>42862</v>
      </c>
      <c r="C860" s="2" t="s">
        <v>1658</v>
      </c>
    </row>
    <row r="861" spans="2:3">
      <c r="B861" s="6">
        <v>42863</v>
      </c>
      <c r="C861" s="2" t="s">
        <v>1659</v>
      </c>
    </row>
    <row r="862" spans="2:3">
      <c r="B862" s="6">
        <v>42864</v>
      </c>
      <c r="C862" s="2" t="s">
        <v>1660</v>
      </c>
    </row>
    <row r="863" spans="2:3">
      <c r="B863" s="6">
        <v>42865</v>
      </c>
      <c r="C863" s="2" t="s">
        <v>1661</v>
      </c>
    </row>
    <row r="864" spans="2:3">
      <c r="B864" s="6">
        <v>42866</v>
      </c>
      <c r="C864" s="2" t="s">
        <v>1662</v>
      </c>
    </row>
    <row r="865" spans="2:3">
      <c r="B865" s="6">
        <v>42867</v>
      </c>
      <c r="C865" s="2" t="s">
        <v>1663</v>
      </c>
    </row>
    <row r="866" spans="2:3">
      <c r="B866" s="6">
        <v>42868</v>
      </c>
      <c r="C866" s="2" t="s">
        <v>1664</v>
      </c>
    </row>
    <row r="867" spans="2:3">
      <c r="B867" s="6">
        <v>42869</v>
      </c>
      <c r="C867" s="2" t="s">
        <v>1665</v>
      </c>
    </row>
    <row r="868" spans="2:3">
      <c r="B868" s="6">
        <v>42870</v>
      </c>
      <c r="C868" s="2" t="s">
        <v>1666</v>
      </c>
    </row>
    <row r="869" spans="2:3">
      <c r="B869" s="6">
        <v>42871</v>
      </c>
      <c r="C869" s="2" t="s">
        <v>1667</v>
      </c>
    </row>
    <row r="870" spans="2:3">
      <c r="B870" s="6">
        <v>42872</v>
      </c>
      <c r="C870" s="2" t="s">
        <v>1668</v>
      </c>
    </row>
    <row r="871" spans="2:3">
      <c r="B871" s="6">
        <v>42873</v>
      </c>
      <c r="C871" s="2" t="s">
        <v>254</v>
      </c>
    </row>
    <row r="872" spans="2:3">
      <c r="B872" s="6">
        <v>42874</v>
      </c>
      <c r="C872" s="2" t="s">
        <v>1669</v>
      </c>
    </row>
    <row r="873" spans="2:3">
      <c r="B873" s="6">
        <v>42875</v>
      </c>
      <c r="C873" s="2" t="s">
        <v>255</v>
      </c>
    </row>
    <row r="874" spans="2:3">
      <c r="B874" s="6">
        <v>42876</v>
      </c>
      <c r="C874" s="2" t="s">
        <v>1670</v>
      </c>
    </row>
    <row r="875" spans="2:3">
      <c r="B875" s="6">
        <v>42877</v>
      </c>
      <c r="C875" s="2" t="s">
        <v>1671</v>
      </c>
    </row>
    <row r="876" spans="2:3">
      <c r="B876" s="6">
        <v>42878</v>
      </c>
      <c r="C876" s="2" t="s">
        <v>256</v>
      </c>
    </row>
    <row r="877" spans="2:3">
      <c r="B877" s="6">
        <v>42879</v>
      </c>
      <c r="C877" s="2" t="s">
        <v>1672</v>
      </c>
    </row>
    <row r="878" spans="2:3">
      <c r="B878" s="6">
        <v>42880</v>
      </c>
      <c r="C878" s="2" t="s">
        <v>257</v>
      </c>
    </row>
    <row r="879" spans="2:3">
      <c r="B879" s="6">
        <v>42881</v>
      </c>
      <c r="C879" s="2" t="s">
        <v>1673</v>
      </c>
    </row>
    <row r="880" spans="2:3">
      <c r="B880" s="6">
        <v>42882</v>
      </c>
      <c r="C880" s="2" t="s">
        <v>1674</v>
      </c>
    </row>
    <row r="881" spans="2:3">
      <c r="B881" s="6">
        <v>42883</v>
      </c>
      <c r="C881" s="2" t="s">
        <v>1675</v>
      </c>
    </row>
    <row r="882" spans="2:3">
      <c r="B882" s="6">
        <v>42884</v>
      </c>
      <c r="C882" s="2" t="s">
        <v>1676</v>
      </c>
    </row>
    <row r="883" spans="2:3">
      <c r="B883" s="6">
        <v>42885</v>
      </c>
      <c r="C883" s="2" t="s">
        <v>1677</v>
      </c>
    </row>
    <row r="884" spans="2:3">
      <c r="B884" s="6">
        <v>42886</v>
      </c>
      <c r="C884" s="2" t="s">
        <v>1678</v>
      </c>
    </row>
    <row r="885" spans="2:3">
      <c r="B885" s="6">
        <v>42887</v>
      </c>
      <c r="C885" s="2" t="s">
        <v>1679</v>
      </c>
    </row>
    <row r="886" spans="2:3">
      <c r="B886" s="6">
        <v>42888</v>
      </c>
      <c r="C886" s="2" t="s">
        <v>1680</v>
      </c>
    </row>
    <row r="887" spans="2:3">
      <c r="B887" s="6">
        <v>42889</v>
      </c>
      <c r="C887" s="2" t="s">
        <v>1681</v>
      </c>
    </row>
    <row r="888" spans="2:3">
      <c r="B888" s="6">
        <v>42890</v>
      </c>
      <c r="C888" s="2" t="s">
        <v>1682</v>
      </c>
    </row>
    <row r="889" spans="2:3">
      <c r="B889" s="6">
        <v>42891</v>
      </c>
      <c r="C889" s="2" t="s">
        <v>1683</v>
      </c>
    </row>
    <row r="890" spans="2:3">
      <c r="B890" s="6">
        <v>42892</v>
      </c>
      <c r="C890" s="2" t="s">
        <v>1684</v>
      </c>
    </row>
    <row r="891" spans="2:3">
      <c r="B891" s="6">
        <v>42893</v>
      </c>
      <c r="C891" s="2" t="s">
        <v>1685</v>
      </c>
    </row>
    <row r="892" spans="2:3">
      <c r="B892" s="6">
        <v>42894</v>
      </c>
      <c r="C892" s="2" t="s">
        <v>1686</v>
      </c>
    </row>
    <row r="893" spans="2:3">
      <c r="B893" s="6">
        <v>42895</v>
      </c>
      <c r="C893" s="2" t="s">
        <v>1687</v>
      </c>
    </row>
    <row r="894" spans="2:3">
      <c r="B894" s="6">
        <v>42896</v>
      </c>
      <c r="C894" s="2" t="s">
        <v>1688</v>
      </c>
    </row>
    <row r="895" spans="2:3">
      <c r="B895" s="6">
        <v>42897</v>
      </c>
      <c r="C895" s="2" t="s">
        <v>1689</v>
      </c>
    </row>
    <row r="896" spans="2:3">
      <c r="B896" s="6">
        <v>42898</v>
      </c>
      <c r="C896" s="2" t="s">
        <v>1690</v>
      </c>
    </row>
    <row r="897" spans="2:3">
      <c r="B897" s="6">
        <v>42899</v>
      </c>
      <c r="C897" s="2" t="s">
        <v>1691</v>
      </c>
    </row>
    <row r="898" spans="2:3">
      <c r="B898" s="6">
        <v>42900</v>
      </c>
      <c r="C898" s="2" t="s">
        <v>1692</v>
      </c>
    </row>
    <row r="899" spans="2:3">
      <c r="B899" s="6">
        <v>42901</v>
      </c>
      <c r="C899" s="2" t="s">
        <v>1693</v>
      </c>
    </row>
    <row r="900" spans="2:3">
      <c r="B900" s="6">
        <v>42902</v>
      </c>
      <c r="C900" s="2" t="s">
        <v>1694</v>
      </c>
    </row>
    <row r="901" spans="2:3">
      <c r="B901" s="6">
        <v>42903</v>
      </c>
      <c r="C901" s="2" t="s">
        <v>1695</v>
      </c>
    </row>
    <row r="902" spans="2:3">
      <c r="B902" s="6">
        <v>42904</v>
      </c>
      <c r="C902" s="2" t="s">
        <v>1696</v>
      </c>
    </row>
    <row r="903" spans="2:3">
      <c r="B903" s="6">
        <v>42905</v>
      </c>
      <c r="C903" s="2" t="s">
        <v>1697</v>
      </c>
    </row>
    <row r="904" spans="2:3">
      <c r="B904" s="6">
        <v>42906</v>
      </c>
      <c r="C904" s="2" t="s">
        <v>1698</v>
      </c>
    </row>
    <row r="905" spans="2:3">
      <c r="B905" s="6">
        <v>42907</v>
      </c>
      <c r="C905" s="2" t="s">
        <v>1699</v>
      </c>
    </row>
    <row r="906" spans="2:3">
      <c r="B906" s="6">
        <v>42908</v>
      </c>
      <c r="C906" s="2" t="s">
        <v>1700</v>
      </c>
    </row>
    <row r="907" spans="2:3">
      <c r="B907" s="6">
        <v>42909</v>
      </c>
      <c r="C907" s="2" t="s">
        <v>1701</v>
      </c>
    </row>
    <row r="908" spans="2:3">
      <c r="B908" s="6">
        <v>42910</v>
      </c>
      <c r="C908" s="2" t="s">
        <v>1702</v>
      </c>
    </row>
    <row r="909" spans="2:3">
      <c r="B909" s="6">
        <v>42911</v>
      </c>
      <c r="C909" s="2" t="s">
        <v>1703</v>
      </c>
    </row>
    <row r="910" spans="2:3">
      <c r="B910" s="6">
        <v>42912</v>
      </c>
      <c r="C910" s="2" t="s">
        <v>1704</v>
      </c>
    </row>
    <row r="911" spans="2:3">
      <c r="B911" s="6">
        <v>42913</v>
      </c>
      <c r="C911" s="2" t="s">
        <v>1705</v>
      </c>
    </row>
    <row r="912" spans="2:3">
      <c r="B912" s="6">
        <v>42914</v>
      </c>
      <c r="C912" s="2" t="s">
        <v>1706</v>
      </c>
    </row>
    <row r="913" spans="2:3">
      <c r="B913" s="6">
        <v>42915</v>
      </c>
      <c r="C913" s="2" t="s">
        <v>1707</v>
      </c>
    </row>
    <row r="914" spans="2:3">
      <c r="B914" s="6">
        <v>42916</v>
      </c>
      <c r="C914" s="2" t="s">
        <v>1708</v>
      </c>
    </row>
    <row r="915" spans="2:3">
      <c r="B915" s="6">
        <v>42917</v>
      </c>
      <c r="C915" s="2" t="s">
        <v>1709</v>
      </c>
    </row>
    <row r="916" spans="2:3">
      <c r="B916" s="6">
        <v>42918</v>
      </c>
      <c r="C916" s="2" t="s">
        <v>1710</v>
      </c>
    </row>
    <row r="917" spans="2:3">
      <c r="B917" s="6">
        <v>42919</v>
      </c>
      <c r="C917" s="2" t="s">
        <v>1711</v>
      </c>
    </row>
    <row r="918" spans="2:3">
      <c r="B918" s="6">
        <v>42920</v>
      </c>
      <c r="C918" s="2" t="s">
        <v>1712</v>
      </c>
    </row>
    <row r="919" spans="2:3">
      <c r="B919" s="6">
        <v>42921</v>
      </c>
      <c r="C919" s="2" t="s">
        <v>1713</v>
      </c>
    </row>
    <row r="920" spans="2:3">
      <c r="B920" s="6">
        <v>42922</v>
      </c>
      <c r="C920" s="2" t="s">
        <v>1714</v>
      </c>
    </row>
    <row r="921" spans="2:3">
      <c r="B921" s="6">
        <v>42923</v>
      </c>
      <c r="C921" s="2" t="s">
        <v>1715</v>
      </c>
    </row>
    <row r="922" spans="2:3">
      <c r="B922" s="6">
        <v>42924</v>
      </c>
      <c r="C922" s="2" t="s">
        <v>1716</v>
      </c>
    </row>
    <row r="923" spans="2:3">
      <c r="B923" s="6">
        <v>42925</v>
      </c>
      <c r="C923" s="2" t="s">
        <v>1717</v>
      </c>
    </row>
    <row r="924" spans="2:3">
      <c r="B924" s="6">
        <v>42926</v>
      </c>
      <c r="C924" s="2" t="s">
        <v>1718</v>
      </c>
    </row>
    <row r="925" spans="2:3">
      <c r="B925" s="6">
        <v>42927</v>
      </c>
      <c r="C925" s="2" t="s">
        <v>1719</v>
      </c>
    </row>
    <row r="926" spans="2:3">
      <c r="B926" s="6">
        <v>42928</v>
      </c>
      <c r="C926" s="2" t="s">
        <v>1720</v>
      </c>
    </row>
    <row r="927" spans="2:3">
      <c r="B927" s="6">
        <v>42929</v>
      </c>
      <c r="C927" s="2" t="s">
        <v>1721</v>
      </c>
    </row>
    <row r="928" spans="2:3">
      <c r="B928" s="6">
        <v>42930</v>
      </c>
      <c r="C928" s="2" t="s">
        <v>1722</v>
      </c>
    </row>
    <row r="929" spans="2:3">
      <c r="B929" s="6">
        <v>42931</v>
      </c>
      <c r="C929" s="2" t="s">
        <v>1723</v>
      </c>
    </row>
    <row r="930" spans="2:3">
      <c r="B930" s="6">
        <v>42932</v>
      </c>
      <c r="C930" s="2" t="s">
        <v>1724</v>
      </c>
    </row>
    <row r="931" spans="2:3">
      <c r="B931" s="6">
        <v>42933</v>
      </c>
      <c r="C931" s="2" t="s">
        <v>1725</v>
      </c>
    </row>
    <row r="932" spans="2:3">
      <c r="B932" s="6">
        <v>42934</v>
      </c>
      <c r="C932" s="2" t="s">
        <v>1726</v>
      </c>
    </row>
    <row r="933" spans="2:3">
      <c r="B933" s="6">
        <v>42935</v>
      </c>
      <c r="C933" s="2" t="s">
        <v>1727</v>
      </c>
    </row>
    <row r="934" spans="2:3">
      <c r="B934" s="6">
        <v>42936</v>
      </c>
      <c r="C934" s="2" t="s">
        <v>515</v>
      </c>
    </row>
    <row r="935" spans="2:3">
      <c r="B935" s="6">
        <v>42937</v>
      </c>
      <c r="C935" s="2" t="s">
        <v>1728</v>
      </c>
    </row>
    <row r="936" spans="2:3">
      <c r="B936" s="6">
        <v>42938</v>
      </c>
      <c r="C936" s="2" t="s">
        <v>516</v>
      </c>
    </row>
    <row r="937" spans="2:3">
      <c r="B937" s="6">
        <v>42939</v>
      </c>
      <c r="C937" s="2" t="s">
        <v>1729</v>
      </c>
    </row>
    <row r="938" spans="2:3">
      <c r="B938" s="6">
        <v>42940</v>
      </c>
      <c r="C938" s="2" t="s">
        <v>517</v>
      </c>
    </row>
    <row r="939" spans="2:3">
      <c r="B939" s="6">
        <v>42941</v>
      </c>
      <c r="C939" s="2" t="s">
        <v>518</v>
      </c>
    </row>
    <row r="940" spans="2:3">
      <c r="B940" s="6">
        <v>42942</v>
      </c>
      <c r="C940" s="2" t="s">
        <v>1730</v>
      </c>
    </row>
    <row r="941" spans="2:3">
      <c r="B941" s="6">
        <v>42943</v>
      </c>
      <c r="C941" s="2" t="s">
        <v>1731</v>
      </c>
    </row>
    <row r="942" spans="2:3">
      <c r="B942" s="6">
        <v>42944</v>
      </c>
      <c r="C942" s="2" t="s">
        <v>1732</v>
      </c>
    </row>
    <row r="943" spans="2:3">
      <c r="B943" s="6">
        <v>42945</v>
      </c>
      <c r="C943" s="2" t="s">
        <v>1733</v>
      </c>
    </row>
    <row r="944" spans="2:3">
      <c r="B944" s="6">
        <v>42946</v>
      </c>
      <c r="C944" s="2" t="s">
        <v>1734</v>
      </c>
    </row>
    <row r="945" spans="2:3">
      <c r="B945" s="6">
        <v>42947</v>
      </c>
      <c r="C945" s="2" t="s">
        <v>1735</v>
      </c>
    </row>
    <row r="946" spans="2:3">
      <c r="B946" s="6">
        <v>42948</v>
      </c>
      <c r="C946" s="2" t="s">
        <v>1736</v>
      </c>
    </row>
    <row r="947" spans="2:3">
      <c r="B947" s="6">
        <v>42949</v>
      </c>
      <c r="C947" s="2" t="s">
        <v>1737</v>
      </c>
    </row>
    <row r="948" spans="2:3">
      <c r="B948" s="6">
        <v>42950</v>
      </c>
      <c r="C948" s="2" t="s">
        <v>1738</v>
      </c>
    </row>
    <row r="949" spans="2:3">
      <c r="B949" s="6">
        <v>42951</v>
      </c>
      <c r="C949" s="2" t="s">
        <v>586</v>
      </c>
    </row>
    <row r="950" spans="2:3">
      <c r="B950" s="6">
        <v>42952</v>
      </c>
      <c r="C950" s="2" t="s">
        <v>1739</v>
      </c>
    </row>
    <row r="951" spans="2:3">
      <c r="B951" s="6">
        <v>42953</v>
      </c>
      <c r="C951" s="2" t="s">
        <v>587</v>
      </c>
    </row>
    <row r="952" spans="2:3">
      <c r="B952" s="6">
        <v>42954</v>
      </c>
      <c r="C952" s="2" t="s">
        <v>1740</v>
      </c>
    </row>
    <row r="953" spans="2:3">
      <c r="B953" s="6">
        <v>42955</v>
      </c>
      <c r="C953" s="2" t="s">
        <v>1741</v>
      </c>
    </row>
    <row r="954" spans="2:3">
      <c r="B954" s="6">
        <v>42956</v>
      </c>
      <c r="C954" s="2" t="s">
        <v>1742</v>
      </c>
    </row>
    <row r="955" spans="2:3">
      <c r="B955" s="6">
        <v>42957</v>
      </c>
      <c r="C955" s="2" t="s">
        <v>588</v>
      </c>
    </row>
    <row r="956" spans="2:3">
      <c r="B956" s="6">
        <v>42958</v>
      </c>
      <c r="C956" s="2" t="s">
        <v>1743</v>
      </c>
    </row>
    <row r="957" spans="2:3">
      <c r="B957" s="6">
        <v>42959</v>
      </c>
      <c r="C957" s="2" t="s">
        <v>589</v>
      </c>
    </row>
    <row r="958" spans="2:3">
      <c r="B958" s="6">
        <v>42960</v>
      </c>
      <c r="C958" s="2" t="s">
        <v>1744</v>
      </c>
    </row>
    <row r="959" spans="2:3">
      <c r="B959" s="6">
        <v>42961</v>
      </c>
      <c r="C959" s="2" t="s">
        <v>1745</v>
      </c>
    </row>
    <row r="960" spans="2:3">
      <c r="B960" s="6">
        <v>42962</v>
      </c>
      <c r="C960" s="2" t="s">
        <v>1746</v>
      </c>
    </row>
    <row r="961" spans="2:3">
      <c r="B961" s="6">
        <v>42963</v>
      </c>
      <c r="C961" s="2" t="s">
        <v>1747</v>
      </c>
    </row>
    <row r="962" spans="2:3">
      <c r="B962" s="6">
        <v>42964</v>
      </c>
      <c r="C962" s="2" t="s">
        <v>1748</v>
      </c>
    </row>
    <row r="963" spans="2:3">
      <c r="B963" s="6">
        <v>42965</v>
      </c>
      <c r="C963" s="2" t="s">
        <v>1749</v>
      </c>
    </row>
    <row r="964" spans="2:3">
      <c r="B964" s="6">
        <v>42966</v>
      </c>
      <c r="C964" s="2" t="s">
        <v>1750</v>
      </c>
    </row>
    <row r="965" spans="2:3">
      <c r="B965" s="6">
        <v>42967</v>
      </c>
      <c r="C965" s="2" t="s">
        <v>1751</v>
      </c>
    </row>
    <row r="966" spans="2:3">
      <c r="B966" s="6">
        <v>42968</v>
      </c>
      <c r="C966" s="2" t="s">
        <v>1752</v>
      </c>
    </row>
    <row r="967" spans="2:3">
      <c r="B967" s="6">
        <v>42969</v>
      </c>
      <c r="C967" s="2" t="s">
        <v>1753</v>
      </c>
    </row>
    <row r="968" spans="2:3">
      <c r="B968" s="6">
        <v>42970</v>
      </c>
      <c r="C968" s="2" t="s">
        <v>1754</v>
      </c>
    </row>
    <row r="969" spans="2:3">
      <c r="B969" s="6">
        <v>42971</v>
      </c>
      <c r="C969" s="2" t="s">
        <v>1755</v>
      </c>
    </row>
    <row r="970" spans="2:3">
      <c r="B970" s="6">
        <v>42972</v>
      </c>
      <c r="C970" s="2" t="s">
        <v>1756</v>
      </c>
    </row>
    <row r="971" spans="2:3">
      <c r="B971" s="6">
        <v>42973</v>
      </c>
      <c r="C971" s="2" t="s">
        <v>1757</v>
      </c>
    </row>
    <row r="972" spans="2:3">
      <c r="B972" s="6">
        <v>42974</v>
      </c>
      <c r="C972" s="2" t="s">
        <v>1758</v>
      </c>
    </row>
    <row r="973" spans="2:3">
      <c r="B973" s="6">
        <v>42975</v>
      </c>
      <c r="C973" s="2" t="s">
        <v>1759</v>
      </c>
    </row>
    <row r="974" spans="2:3">
      <c r="B974" s="6">
        <v>42976</v>
      </c>
      <c r="C974" s="2" t="s">
        <v>1760</v>
      </c>
    </row>
    <row r="975" spans="2:3">
      <c r="B975" s="6">
        <v>42977</v>
      </c>
      <c r="C975" s="2" t="s">
        <v>1761</v>
      </c>
    </row>
    <row r="976" spans="2:3">
      <c r="B976" s="6">
        <v>42978</v>
      </c>
      <c r="C976" s="2" t="s">
        <v>1762</v>
      </c>
    </row>
    <row r="977" spans="2:3">
      <c r="B977" s="6">
        <v>42979</v>
      </c>
      <c r="C977" s="2" t="s">
        <v>1763</v>
      </c>
    </row>
    <row r="978" spans="2:3">
      <c r="B978" s="6">
        <v>42980</v>
      </c>
      <c r="C978" s="2" t="s">
        <v>1764</v>
      </c>
    </row>
    <row r="979" spans="2:3">
      <c r="B979" s="6">
        <v>42981</v>
      </c>
      <c r="C979" s="2" t="s">
        <v>1765</v>
      </c>
    </row>
    <row r="980" spans="2:3">
      <c r="B980" s="6">
        <v>42982</v>
      </c>
      <c r="C980" s="2" t="s">
        <v>1766</v>
      </c>
    </row>
    <row r="981" spans="2:3">
      <c r="B981" s="6">
        <v>42983</v>
      </c>
      <c r="C981" s="2" t="s">
        <v>1767</v>
      </c>
    </row>
    <row r="982" spans="2:3">
      <c r="B982" s="6">
        <v>42984</v>
      </c>
      <c r="C982" s="2" t="s">
        <v>1768</v>
      </c>
    </row>
    <row r="983" spans="2:3">
      <c r="B983" s="6">
        <v>42985</v>
      </c>
      <c r="C983" s="2" t="s">
        <v>1769</v>
      </c>
    </row>
    <row r="984" spans="2:3">
      <c r="B984" s="6">
        <v>42986</v>
      </c>
      <c r="C984" s="2" t="s">
        <v>1770</v>
      </c>
    </row>
    <row r="985" spans="2:3">
      <c r="B985" s="6">
        <v>42987</v>
      </c>
      <c r="C985" s="2" t="s">
        <v>1771</v>
      </c>
    </row>
    <row r="986" spans="2:3">
      <c r="B986" s="6">
        <v>42988</v>
      </c>
      <c r="C986" s="2" t="s">
        <v>1772</v>
      </c>
    </row>
    <row r="987" spans="2:3">
      <c r="B987" s="6">
        <v>42989</v>
      </c>
      <c r="C987" s="2" t="s">
        <v>1773</v>
      </c>
    </row>
    <row r="988" spans="2:3">
      <c r="B988" s="6">
        <v>42990</v>
      </c>
      <c r="C988" s="2" t="s">
        <v>1774</v>
      </c>
    </row>
    <row r="989" spans="2:3">
      <c r="B989" s="6">
        <v>42991</v>
      </c>
      <c r="C989" s="2" t="s">
        <v>1775</v>
      </c>
    </row>
    <row r="990" spans="2:3">
      <c r="B990" s="6">
        <v>42992</v>
      </c>
      <c r="C990" s="2" t="s">
        <v>1776</v>
      </c>
    </row>
    <row r="991" spans="2:3">
      <c r="B991" s="6">
        <v>42993</v>
      </c>
      <c r="C991" s="2" t="s">
        <v>1777</v>
      </c>
    </row>
    <row r="992" spans="2:3">
      <c r="B992" s="6">
        <v>42994</v>
      </c>
      <c r="C992" s="2" t="s">
        <v>1778</v>
      </c>
    </row>
    <row r="993" spans="2:3">
      <c r="B993" s="6">
        <v>42995</v>
      </c>
      <c r="C993" s="2" t="s">
        <v>1779</v>
      </c>
    </row>
    <row r="994" spans="2:3">
      <c r="B994" s="6">
        <v>42996</v>
      </c>
      <c r="C994" s="2" t="s">
        <v>1780</v>
      </c>
    </row>
    <row r="995" spans="2:3">
      <c r="B995" s="6">
        <v>42997</v>
      </c>
      <c r="C995" s="2" t="s">
        <v>1781</v>
      </c>
    </row>
    <row r="996" spans="2:3">
      <c r="B996" s="6">
        <v>42998</v>
      </c>
      <c r="C996" s="2" t="s">
        <v>1782</v>
      </c>
    </row>
    <row r="997" spans="2:3">
      <c r="B997" s="6">
        <v>42999</v>
      </c>
      <c r="C997" s="2" t="s">
        <v>1783</v>
      </c>
    </row>
    <row r="998" spans="2:3">
      <c r="B998" s="6">
        <v>43000</v>
      </c>
      <c r="C998" s="2" t="s">
        <v>1784</v>
      </c>
    </row>
    <row r="999" spans="2:3">
      <c r="B999" s="6">
        <v>43001</v>
      </c>
      <c r="C999" s="2" t="s">
        <v>1785</v>
      </c>
    </row>
    <row r="1000" spans="2:3">
      <c r="B1000" s="6">
        <v>43002</v>
      </c>
      <c r="C1000" s="2" t="s">
        <v>1786</v>
      </c>
    </row>
    <row r="1001" spans="2:3">
      <c r="B1001" s="6">
        <v>43003</v>
      </c>
      <c r="C1001" s="2" t="s">
        <v>1787</v>
      </c>
    </row>
    <row r="1002" spans="2:3">
      <c r="B1002" s="6">
        <v>43004</v>
      </c>
      <c r="C1002" s="2" t="s">
        <v>1788</v>
      </c>
    </row>
    <row r="1003" spans="2:3">
      <c r="B1003" s="6">
        <v>43005</v>
      </c>
      <c r="C1003" s="2" t="s">
        <v>1789</v>
      </c>
    </row>
    <row r="1004" spans="2:3">
      <c r="B1004" s="6">
        <v>43006</v>
      </c>
      <c r="C1004" s="2" t="s">
        <v>1790</v>
      </c>
    </row>
    <row r="1005" spans="2:3">
      <c r="B1005" s="6">
        <v>43007</v>
      </c>
      <c r="C1005" s="2" t="s">
        <v>1791</v>
      </c>
    </row>
    <row r="1006" spans="2:3">
      <c r="B1006" s="6">
        <v>43008</v>
      </c>
      <c r="C1006" s="2" t="s">
        <v>1792</v>
      </c>
    </row>
    <row r="1007" spans="2:3">
      <c r="B1007" s="6">
        <v>43009</v>
      </c>
      <c r="C1007" s="2" t="s">
        <v>1793</v>
      </c>
    </row>
    <row r="1008" spans="2:3">
      <c r="B1008" s="6">
        <v>43010</v>
      </c>
      <c r="C1008" s="2" t="s">
        <v>1794</v>
      </c>
    </row>
    <row r="1009" spans="2:3">
      <c r="B1009" s="6">
        <v>43011</v>
      </c>
      <c r="C1009" s="2" t="s">
        <v>1795</v>
      </c>
    </row>
    <row r="1010" spans="2:3">
      <c r="B1010" s="6">
        <v>43012</v>
      </c>
      <c r="C1010" s="2" t="s">
        <v>1796</v>
      </c>
    </row>
    <row r="1011" spans="2:3">
      <c r="B1011" s="6">
        <v>43013</v>
      </c>
      <c r="C1011" s="2" t="s">
        <v>648</v>
      </c>
    </row>
    <row r="1012" spans="2:3">
      <c r="B1012" s="6">
        <v>43014</v>
      </c>
      <c r="C1012" s="2" t="s">
        <v>1797</v>
      </c>
    </row>
    <row r="1013" spans="2:3">
      <c r="B1013" s="6">
        <v>43015</v>
      </c>
      <c r="C1013" s="2" t="s">
        <v>1798</v>
      </c>
    </row>
    <row r="1014" spans="2:3">
      <c r="B1014" s="6">
        <v>43016</v>
      </c>
      <c r="C1014" s="2" t="s">
        <v>1799</v>
      </c>
    </row>
    <row r="1015" spans="2:3">
      <c r="B1015" s="6">
        <v>43017</v>
      </c>
      <c r="C1015" s="2" t="s">
        <v>649</v>
      </c>
    </row>
    <row r="1016" spans="2:3">
      <c r="B1016" s="6">
        <v>43018</v>
      </c>
      <c r="C1016" s="2" t="s">
        <v>650</v>
      </c>
    </row>
    <row r="1017" spans="2:3">
      <c r="B1017" s="6">
        <v>43019</v>
      </c>
      <c r="C1017" s="2" t="s">
        <v>1800</v>
      </c>
    </row>
    <row r="1018" spans="2:3">
      <c r="B1018" s="6">
        <v>43020</v>
      </c>
      <c r="C1018" s="2" t="s">
        <v>1801</v>
      </c>
    </row>
    <row r="1019" spans="2:3">
      <c r="B1019" s="6">
        <v>43021</v>
      </c>
      <c r="C1019" s="2" t="s">
        <v>1802</v>
      </c>
    </row>
    <row r="1020" spans="2:3">
      <c r="B1020" s="6">
        <v>43022</v>
      </c>
      <c r="C1020" s="2" t="s">
        <v>651</v>
      </c>
    </row>
    <row r="1021" spans="2:3">
      <c r="B1021" s="6">
        <v>43023</v>
      </c>
      <c r="C1021" s="2" t="s">
        <v>1803</v>
      </c>
    </row>
    <row r="1022" spans="2:3">
      <c r="B1022" s="6">
        <v>43024</v>
      </c>
      <c r="C1022" s="2" t="s">
        <v>1804</v>
      </c>
    </row>
    <row r="1023" spans="2:3">
      <c r="B1023" s="6">
        <v>43025</v>
      </c>
      <c r="C1023" s="2" t="s">
        <v>1805</v>
      </c>
    </row>
    <row r="1024" spans="2:3">
      <c r="B1024" s="6">
        <v>43026</v>
      </c>
      <c r="C1024" s="2" t="s">
        <v>756</v>
      </c>
    </row>
    <row r="1025" spans="2:3">
      <c r="B1025" s="6">
        <v>43027</v>
      </c>
      <c r="C1025" s="2" t="s">
        <v>1806</v>
      </c>
    </row>
    <row r="1026" spans="2:3">
      <c r="B1026" s="6">
        <v>43028</v>
      </c>
      <c r="C1026" s="2" t="s">
        <v>757</v>
      </c>
    </row>
    <row r="1027" spans="2:3">
      <c r="B1027" s="6">
        <v>43029</v>
      </c>
      <c r="C1027" s="2" t="s">
        <v>1807</v>
      </c>
    </row>
    <row r="1028" spans="2:3">
      <c r="B1028" s="6">
        <v>43030</v>
      </c>
      <c r="C1028" s="2" t="s">
        <v>1808</v>
      </c>
    </row>
    <row r="1029" spans="2:3">
      <c r="B1029" s="6">
        <v>43031</v>
      </c>
      <c r="C1029" s="2" t="s">
        <v>746</v>
      </c>
    </row>
    <row r="1030" spans="2:3">
      <c r="B1030" s="6">
        <v>43032</v>
      </c>
      <c r="C1030" s="2" t="s">
        <v>747</v>
      </c>
    </row>
    <row r="1031" spans="2:3">
      <c r="B1031" s="6">
        <v>43033</v>
      </c>
      <c r="C1031" s="2" t="s">
        <v>758</v>
      </c>
    </row>
    <row r="1032" spans="2:3">
      <c r="B1032" s="6">
        <v>43034</v>
      </c>
      <c r="C1032" s="2" t="s">
        <v>713</v>
      </c>
    </row>
    <row r="1033" spans="2:3">
      <c r="B1033" s="6">
        <v>43035</v>
      </c>
      <c r="C1033" s="2" t="s">
        <v>1809</v>
      </c>
    </row>
    <row r="1034" spans="2:3">
      <c r="B1034" s="6">
        <v>43036</v>
      </c>
      <c r="C1034" s="2" t="s">
        <v>357</v>
      </c>
    </row>
    <row r="1035" spans="2:3">
      <c r="B1035" s="6">
        <v>43037</v>
      </c>
      <c r="C1035" s="2" t="s">
        <v>748</v>
      </c>
    </row>
    <row r="1036" spans="2:3">
      <c r="B1036" s="6">
        <v>43038</v>
      </c>
      <c r="C1036" s="2" t="s">
        <v>358</v>
      </c>
    </row>
    <row r="1037" spans="2:3">
      <c r="B1037" s="6">
        <v>43039</v>
      </c>
      <c r="C1037" s="2" t="s">
        <v>1810</v>
      </c>
    </row>
    <row r="1038" spans="2:3">
      <c r="B1038" s="6">
        <v>43040</v>
      </c>
      <c r="C1038" s="2" t="s">
        <v>359</v>
      </c>
    </row>
    <row r="1039" spans="2:3">
      <c r="B1039" s="6">
        <v>43041</v>
      </c>
      <c r="C1039" s="2" t="s">
        <v>1811</v>
      </c>
    </row>
    <row r="1040" spans="2:3">
      <c r="B1040" s="6">
        <v>43042</v>
      </c>
      <c r="C1040" s="2" t="s">
        <v>1812</v>
      </c>
    </row>
    <row r="1041" spans="2:3">
      <c r="B1041" s="6">
        <v>43043</v>
      </c>
      <c r="C1041" s="2" t="s">
        <v>714</v>
      </c>
    </row>
    <row r="1042" spans="2:3">
      <c r="B1042" s="6">
        <v>43044</v>
      </c>
      <c r="C1042" s="2" t="s">
        <v>360</v>
      </c>
    </row>
    <row r="1043" spans="2:3">
      <c r="B1043" s="6">
        <v>43045</v>
      </c>
      <c r="C1043" s="2" t="s">
        <v>1813</v>
      </c>
    </row>
    <row r="1044" spans="2:3">
      <c r="B1044" s="6">
        <v>43046</v>
      </c>
      <c r="C1044" s="2" t="s">
        <v>1814</v>
      </c>
    </row>
    <row r="1045" spans="2:3">
      <c r="B1045" s="6">
        <v>43047</v>
      </c>
      <c r="C1045" s="2" t="s">
        <v>1815</v>
      </c>
    </row>
    <row r="1046" spans="2:3">
      <c r="B1046" s="6">
        <v>43048</v>
      </c>
      <c r="C1046" s="2" t="s">
        <v>1816</v>
      </c>
    </row>
    <row r="1047" spans="2:3">
      <c r="B1047" s="6">
        <v>43049</v>
      </c>
      <c r="C1047" s="2" t="s">
        <v>1817</v>
      </c>
    </row>
    <row r="1048" spans="2:3">
      <c r="B1048" s="6">
        <v>43050</v>
      </c>
      <c r="C1048" s="2" t="s">
        <v>1818</v>
      </c>
    </row>
    <row r="1049" spans="2:3">
      <c r="B1049" s="6">
        <v>43051</v>
      </c>
      <c r="C1049" s="2" t="s">
        <v>1819</v>
      </c>
    </row>
    <row r="1050" spans="2:3">
      <c r="B1050" s="6">
        <v>43052</v>
      </c>
      <c r="C1050" s="2" t="s">
        <v>1820</v>
      </c>
    </row>
    <row r="1051" spans="2:3">
      <c r="B1051" s="6">
        <v>43053</v>
      </c>
      <c r="C1051" s="2" t="s">
        <v>1821</v>
      </c>
    </row>
    <row r="1052" spans="2:3">
      <c r="B1052" s="6">
        <v>43054</v>
      </c>
      <c r="C1052" s="2" t="s">
        <v>1822</v>
      </c>
    </row>
    <row r="1053" spans="2:3">
      <c r="B1053" s="6">
        <v>43055</v>
      </c>
      <c r="C1053" s="2" t="s">
        <v>1823</v>
      </c>
    </row>
    <row r="1054" spans="2:3">
      <c r="B1054" s="6">
        <v>43056</v>
      </c>
      <c r="C1054" s="2" t="s">
        <v>1824</v>
      </c>
    </row>
    <row r="1055" spans="2:3">
      <c r="B1055" s="6">
        <v>43057</v>
      </c>
      <c r="C1055" s="2" t="s">
        <v>1825</v>
      </c>
    </row>
    <row r="1056" spans="2:3">
      <c r="B1056" s="6">
        <v>43058</v>
      </c>
      <c r="C1056" s="2" t="s">
        <v>1826</v>
      </c>
    </row>
    <row r="1057" spans="2:3">
      <c r="B1057" s="6">
        <v>43059</v>
      </c>
      <c r="C1057" s="2" t="s">
        <v>1827</v>
      </c>
    </row>
    <row r="1058" spans="2:3">
      <c r="B1058" s="6">
        <v>43060</v>
      </c>
      <c r="C1058" s="2" t="s">
        <v>1828</v>
      </c>
    </row>
    <row r="1059" spans="2:3">
      <c r="B1059" s="6">
        <v>43061</v>
      </c>
      <c r="C1059" s="2" t="s">
        <v>1829</v>
      </c>
    </row>
    <row r="1060" spans="2:3">
      <c r="B1060" s="6">
        <v>43062</v>
      </c>
      <c r="C1060" s="2" t="s">
        <v>1830</v>
      </c>
    </row>
    <row r="1061" spans="2:3">
      <c r="B1061" s="6">
        <v>43063</v>
      </c>
      <c r="C1061" s="2" t="s">
        <v>1831</v>
      </c>
    </row>
    <row r="1062" spans="2:3">
      <c r="B1062" s="6">
        <v>43064</v>
      </c>
      <c r="C1062" s="2" t="s">
        <v>1832</v>
      </c>
    </row>
    <row r="1063" spans="2:3">
      <c r="B1063" s="6">
        <v>43065</v>
      </c>
      <c r="C1063" s="2" t="s">
        <v>1833</v>
      </c>
    </row>
    <row r="1064" spans="2:3">
      <c r="B1064" s="6">
        <v>43066</v>
      </c>
      <c r="C1064" s="2" t="s">
        <v>1834</v>
      </c>
    </row>
    <row r="1065" spans="2:3">
      <c r="B1065" s="6">
        <v>43067</v>
      </c>
      <c r="C1065" s="2" t="s">
        <v>1835</v>
      </c>
    </row>
    <row r="1066" spans="2:3">
      <c r="B1066" s="6">
        <v>43068</v>
      </c>
      <c r="C1066" s="2" t="s">
        <v>1836</v>
      </c>
    </row>
    <row r="1067" spans="2:3">
      <c r="B1067" s="6">
        <v>43069</v>
      </c>
      <c r="C1067" s="2" t="s">
        <v>1837</v>
      </c>
    </row>
    <row r="1068" spans="2:3">
      <c r="B1068" s="6">
        <v>43070</v>
      </c>
      <c r="C1068" s="2" t="s">
        <v>1838</v>
      </c>
    </row>
    <row r="1069" spans="2:3">
      <c r="B1069" s="6">
        <v>43071</v>
      </c>
      <c r="C1069" s="2" t="s">
        <v>1839</v>
      </c>
    </row>
    <row r="1070" spans="2:3">
      <c r="B1070" s="6">
        <v>43072</v>
      </c>
      <c r="C1070" s="2" t="s">
        <v>1840</v>
      </c>
    </row>
    <row r="1071" spans="2:3">
      <c r="B1071" s="6">
        <v>43073</v>
      </c>
      <c r="C1071" s="2" t="s">
        <v>1841</v>
      </c>
    </row>
    <row r="1072" spans="2:3">
      <c r="B1072" s="6">
        <v>43074</v>
      </c>
      <c r="C1072" s="2" t="s">
        <v>1842</v>
      </c>
    </row>
    <row r="1073" spans="2:3">
      <c r="B1073" s="6">
        <v>43075</v>
      </c>
      <c r="C1073" s="2" t="s">
        <v>1843</v>
      </c>
    </row>
    <row r="1074" spans="2:3">
      <c r="B1074" s="6">
        <v>43076</v>
      </c>
      <c r="C1074" s="2" t="s">
        <v>1844</v>
      </c>
    </row>
    <row r="1075" spans="2:3">
      <c r="B1075" s="6">
        <v>43077</v>
      </c>
      <c r="C1075" s="2" t="s">
        <v>1845</v>
      </c>
    </row>
    <row r="1076" spans="2:3">
      <c r="B1076" s="6">
        <v>43078</v>
      </c>
      <c r="C1076" s="2" t="s">
        <v>536</v>
      </c>
    </row>
    <row r="1077" spans="2:3">
      <c r="B1077" s="6">
        <v>43079</v>
      </c>
      <c r="C1077" s="2" t="s">
        <v>1846</v>
      </c>
    </row>
    <row r="1078" spans="2:3">
      <c r="B1078" s="6">
        <v>43080</v>
      </c>
      <c r="C1078" s="2" t="s">
        <v>1847</v>
      </c>
    </row>
    <row r="1079" spans="2:3">
      <c r="B1079" s="6">
        <v>43081</v>
      </c>
      <c r="C1079" s="2" t="s">
        <v>1848</v>
      </c>
    </row>
    <row r="1080" spans="2:3">
      <c r="B1080" s="6">
        <v>43082</v>
      </c>
      <c r="C1080" s="2" t="s">
        <v>537</v>
      </c>
    </row>
    <row r="1081" spans="2:3">
      <c r="B1081" s="6">
        <v>43083</v>
      </c>
      <c r="C1081" s="2" t="s">
        <v>1849</v>
      </c>
    </row>
    <row r="1082" spans="2:3">
      <c r="B1082" s="6">
        <v>43084</v>
      </c>
      <c r="C1082" s="2" t="s">
        <v>1850</v>
      </c>
    </row>
    <row r="1083" spans="2:3">
      <c r="B1083" s="6">
        <v>43085</v>
      </c>
      <c r="C1083" s="2" t="s">
        <v>1851</v>
      </c>
    </row>
    <row r="1084" spans="2:3">
      <c r="B1084" s="6">
        <v>43086</v>
      </c>
      <c r="C1084" s="2" t="s">
        <v>538</v>
      </c>
    </row>
    <row r="1085" spans="2:3">
      <c r="B1085" s="6">
        <v>43087</v>
      </c>
      <c r="C1085" s="2" t="s">
        <v>1852</v>
      </c>
    </row>
    <row r="1086" spans="2:3">
      <c r="B1086" s="6">
        <v>43088</v>
      </c>
      <c r="C1086" s="2" t="s">
        <v>1853</v>
      </c>
    </row>
    <row r="1087" spans="2:3">
      <c r="B1087" s="6">
        <v>43089</v>
      </c>
      <c r="C1087" s="2" t="s">
        <v>1854</v>
      </c>
    </row>
    <row r="1088" spans="2:3">
      <c r="B1088" s="6">
        <v>43090</v>
      </c>
      <c r="C1088" s="2" t="s">
        <v>539</v>
      </c>
    </row>
    <row r="1089" spans="2:3">
      <c r="B1089" s="6">
        <v>43091</v>
      </c>
      <c r="C1089" s="2" t="s">
        <v>1855</v>
      </c>
    </row>
    <row r="1090" spans="2:3">
      <c r="B1090" s="6">
        <v>43092</v>
      </c>
      <c r="C1090" s="2" t="s">
        <v>439</v>
      </c>
    </row>
    <row r="1091" spans="2:3">
      <c r="B1091" s="6">
        <v>43093</v>
      </c>
      <c r="C1091" s="2" t="s">
        <v>1856</v>
      </c>
    </row>
    <row r="1092" spans="2:3">
      <c r="B1092" s="6">
        <v>43094</v>
      </c>
      <c r="C1092" s="2" t="s">
        <v>1857</v>
      </c>
    </row>
    <row r="1093" spans="2:3">
      <c r="B1093" s="6">
        <v>43095</v>
      </c>
      <c r="C1093" s="2" t="s">
        <v>1858</v>
      </c>
    </row>
    <row r="1094" spans="2:3">
      <c r="B1094" s="6">
        <v>43096</v>
      </c>
      <c r="C1094" s="2" t="s">
        <v>440</v>
      </c>
    </row>
    <row r="1095" spans="2:3">
      <c r="B1095" s="6">
        <v>43097</v>
      </c>
      <c r="C1095" s="2" t="s">
        <v>441</v>
      </c>
    </row>
    <row r="1096" spans="2:3">
      <c r="B1096" s="6">
        <v>43098</v>
      </c>
      <c r="C1096" s="2" t="s">
        <v>442</v>
      </c>
    </row>
    <row r="1097" spans="2:3">
      <c r="B1097" s="6">
        <v>43099</v>
      </c>
      <c r="C1097" s="2" t="s">
        <v>1859</v>
      </c>
    </row>
    <row r="1098" spans="2:3">
      <c r="B1098" s="6">
        <v>43100</v>
      </c>
      <c r="C1098" s="2" t="s">
        <v>1860</v>
      </c>
    </row>
    <row r="1099" spans="2:3">
      <c r="B1099" s="6">
        <v>43101</v>
      </c>
      <c r="C1099" s="2" t="s">
        <v>1861</v>
      </c>
    </row>
    <row r="1100" spans="2:3">
      <c r="B1100" s="6">
        <v>43102</v>
      </c>
      <c r="C1100" s="2" t="s">
        <v>1862</v>
      </c>
    </row>
    <row r="1101" spans="2:3">
      <c r="B1101" s="6">
        <v>43103</v>
      </c>
      <c r="C1101" s="2" t="s">
        <v>1863</v>
      </c>
    </row>
    <row r="1102" spans="2:3">
      <c r="B1102" s="6">
        <v>43104</v>
      </c>
      <c r="C1102" s="2" t="s">
        <v>1864</v>
      </c>
    </row>
    <row r="1103" spans="2:3">
      <c r="B1103" s="6">
        <v>43105</v>
      </c>
      <c r="C1103" s="2" t="s">
        <v>1865</v>
      </c>
    </row>
    <row r="1104" spans="2:3">
      <c r="B1104" s="6">
        <v>43106</v>
      </c>
      <c r="C1104" s="2" t="s">
        <v>1866</v>
      </c>
    </row>
    <row r="1105" spans="2:3">
      <c r="B1105" s="6">
        <v>43107</v>
      </c>
      <c r="C1105" s="2" t="s">
        <v>1867</v>
      </c>
    </row>
    <row r="1106" spans="2:3">
      <c r="B1106" s="6">
        <v>43108</v>
      </c>
      <c r="C1106" s="2" t="s">
        <v>1868</v>
      </c>
    </row>
    <row r="1107" spans="2:3">
      <c r="B1107" s="6">
        <v>43109</v>
      </c>
      <c r="C1107" s="2" t="s">
        <v>1869</v>
      </c>
    </row>
    <row r="1108" spans="2:3">
      <c r="B1108" s="6">
        <v>43110</v>
      </c>
      <c r="C1108" s="2" t="s">
        <v>1870</v>
      </c>
    </row>
    <row r="1109" spans="2:3">
      <c r="B1109" s="6">
        <v>43111</v>
      </c>
      <c r="C1109" s="2" t="s">
        <v>1871</v>
      </c>
    </row>
    <row r="1110" spans="2:3">
      <c r="B1110" s="6">
        <v>43112</v>
      </c>
      <c r="C1110" s="2" t="s">
        <v>1872</v>
      </c>
    </row>
    <row r="1111" spans="2:3">
      <c r="B1111" s="6">
        <v>43113</v>
      </c>
      <c r="C1111" s="2" t="s">
        <v>1873</v>
      </c>
    </row>
    <row r="1112" spans="2:3">
      <c r="B1112" s="6">
        <v>43114</v>
      </c>
      <c r="C1112" s="2" t="s">
        <v>1874</v>
      </c>
    </row>
    <row r="1113" spans="2:3">
      <c r="B1113" s="6">
        <v>43115</v>
      </c>
      <c r="C1113" s="2" t="s">
        <v>459</v>
      </c>
    </row>
    <row r="1114" spans="2:3">
      <c r="B1114" s="6">
        <v>43116</v>
      </c>
      <c r="C1114" s="2" t="s">
        <v>1875</v>
      </c>
    </row>
    <row r="1115" spans="2:3">
      <c r="B1115" s="6">
        <v>43117</v>
      </c>
      <c r="C1115" s="2" t="s">
        <v>460</v>
      </c>
    </row>
    <row r="1116" spans="2:3">
      <c r="B1116" s="6">
        <v>43118</v>
      </c>
      <c r="C1116" s="2" t="s">
        <v>1876</v>
      </c>
    </row>
    <row r="1117" spans="2:3">
      <c r="B1117" s="6">
        <v>43119</v>
      </c>
      <c r="C1117" s="2" t="s">
        <v>461</v>
      </c>
    </row>
    <row r="1118" spans="2:3">
      <c r="B1118" s="6">
        <v>43120</v>
      </c>
      <c r="C1118" s="2" t="s">
        <v>462</v>
      </c>
    </row>
    <row r="1119" spans="2:3">
      <c r="B1119" s="6">
        <v>43121</v>
      </c>
      <c r="C1119" s="2" t="s">
        <v>1877</v>
      </c>
    </row>
    <row r="1120" spans="2:3">
      <c r="B1120" s="6">
        <v>43122</v>
      </c>
      <c r="C1120" s="2" t="s">
        <v>1878</v>
      </c>
    </row>
    <row r="1121" spans="2:3">
      <c r="B1121" s="6">
        <v>43123</v>
      </c>
      <c r="C1121" s="2" t="s">
        <v>1879</v>
      </c>
    </row>
    <row r="1122" spans="2:3">
      <c r="B1122" s="6">
        <v>43124</v>
      </c>
      <c r="C1122" s="2" t="s">
        <v>1880</v>
      </c>
    </row>
    <row r="1123" spans="2:3">
      <c r="B1123" s="6">
        <v>43125</v>
      </c>
      <c r="C1123" s="2" t="s">
        <v>1881</v>
      </c>
    </row>
    <row r="1124" spans="2:3">
      <c r="B1124" s="6">
        <v>43126</v>
      </c>
      <c r="C1124" s="2" t="s">
        <v>1882</v>
      </c>
    </row>
    <row r="1125" spans="2:3">
      <c r="B1125" s="6">
        <v>43127</v>
      </c>
      <c r="C1125" s="2" t="s">
        <v>1883</v>
      </c>
    </row>
    <row r="1126" spans="2:3">
      <c r="B1126" s="6">
        <v>43128</v>
      </c>
      <c r="C1126" s="2" t="s">
        <v>1884</v>
      </c>
    </row>
    <row r="1127" spans="2:3">
      <c r="B1127" s="6">
        <v>43129</v>
      </c>
      <c r="C1127" s="2" t="s">
        <v>1885</v>
      </c>
    </row>
    <row r="1128" spans="2:3">
      <c r="B1128" s="6">
        <v>43130</v>
      </c>
      <c r="C1128" s="2" t="s">
        <v>1886</v>
      </c>
    </row>
    <row r="1129" spans="2:3">
      <c r="B1129" s="6">
        <v>43131</v>
      </c>
      <c r="C1129" s="2" t="s">
        <v>1887</v>
      </c>
    </row>
    <row r="1130" spans="2:3">
      <c r="B1130" s="6">
        <v>43132</v>
      </c>
      <c r="C1130" s="2" t="s">
        <v>1888</v>
      </c>
    </row>
    <row r="1131" spans="2:3">
      <c r="B1131" s="6">
        <v>43133</v>
      </c>
      <c r="C1131" s="2" t="s">
        <v>365</v>
      </c>
    </row>
    <row r="1132" spans="2:3">
      <c r="B1132" s="6">
        <v>43134</v>
      </c>
      <c r="C1132" s="2" t="s">
        <v>1889</v>
      </c>
    </row>
    <row r="1133" spans="2:3">
      <c r="B1133" s="6">
        <v>43135</v>
      </c>
      <c r="C1133" s="2" t="s">
        <v>1890</v>
      </c>
    </row>
    <row r="1134" spans="2:3">
      <c r="B1134" s="6">
        <v>43136</v>
      </c>
      <c r="C1134" s="2" t="s">
        <v>366</v>
      </c>
    </row>
    <row r="1135" spans="2:3">
      <c r="B1135" s="6">
        <v>43137</v>
      </c>
      <c r="C1135" s="2" t="s">
        <v>1891</v>
      </c>
    </row>
    <row r="1136" spans="2:3">
      <c r="B1136" s="6">
        <v>43138</v>
      </c>
      <c r="C1136" s="2" t="s">
        <v>367</v>
      </c>
    </row>
    <row r="1137" spans="2:3">
      <c r="B1137" s="6">
        <v>43139</v>
      </c>
      <c r="C1137" s="2" t="s">
        <v>368</v>
      </c>
    </row>
    <row r="1138" spans="2:3">
      <c r="B1138" s="6">
        <v>43140</v>
      </c>
      <c r="C1138" s="2" t="s">
        <v>1892</v>
      </c>
    </row>
    <row r="1139" spans="2:3">
      <c r="B1139" s="6">
        <v>43141</v>
      </c>
      <c r="C1139" s="2" t="s">
        <v>1893</v>
      </c>
    </row>
    <row r="1140" spans="2:3">
      <c r="B1140" s="6">
        <v>43142</v>
      </c>
      <c r="C1140" s="2" t="s">
        <v>1894</v>
      </c>
    </row>
    <row r="1141" spans="2:3">
      <c r="B1141" s="6">
        <v>43143</v>
      </c>
      <c r="C1141" s="2" t="s">
        <v>1895</v>
      </c>
    </row>
    <row r="1142" spans="2:3">
      <c r="B1142" s="6">
        <v>43144</v>
      </c>
      <c r="C1142" s="2" t="s">
        <v>1896</v>
      </c>
    </row>
    <row r="1143" spans="2:3">
      <c r="B1143" s="6">
        <v>43145</v>
      </c>
      <c r="C1143" s="2" t="s">
        <v>1897</v>
      </c>
    </row>
    <row r="1144" spans="2:3">
      <c r="B1144" s="6">
        <v>43146</v>
      </c>
      <c r="C1144" s="2" t="s">
        <v>1898</v>
      </c>
    </row>
    <row r="1145" spans="2:3">
      <c r="B1145" s="6">
        <v>43147</v>
      </c>
      <c r="C1145" s="2" t="s">
        <v>1899</v>
      </c>
    </row>
    <row r="1146" spans="2:3">
      <c r="B1146" s="6">
        <v>43148</v>
      </c>
      <c r="C1146" s="2" t="s">
        <v>1900</v>
      </c>
    </row>
    <row r="1147" spans="2:3">
      <c r="B1147" s="6">
        <v>43149</v>
      </c>
      <c r="C1147" s="2" t="s">
        <v>1901</v>
      </c>
    </row>
    <row r="1148" spans="2:3">
      <c r="B1148" s="6">
        <v>43150</v>
      </c>
      <c r="C1148" s="2" t="s">
        <v>594</v>
      </c>
    </row>
    <row r="1149" spans="2:3">
      <c r="B1149" s="6">
        <v>43151</v>
      </c>
      <c r="C1149" s="2" t="s">
        <v>1902</v>
      </c>
    </row>
    <row r="1150" spans="2:3">
      <c r="B1150" s="6">
        <v>43152</v>
      </c>
      <c r="C1150" s="2" t="s">
        <v>1903</v>
      </c>
    </row>
    <row r="1151" spans="2:3">
      <c r="B1151" s="6">
        <v>43153</v>
      </c>
      <c r="C1151" s="2" t="s">
        <v>1904</v>
      </c>
    </row>
    <row r="1152" spans="2:3">
      <c r="B1152" s="6">
        <v>43154</v>
      </c>
      <c r="C1152" s="2" t="s">
        <v>389</v>
      </c>
    </row>
    <row r="1153" spans="2:3">
      <c r="B1153" s="6">
        <v>43155</v>
      </c>
      <c r="C1153" s="2" t="s">
        <v>595</v>
      </c>
    </row>
    <row r="1154" spans="2:3">
      <c r="B1154" s="6">
        <v>43156</v>
      </c>
      <c r="C1154" s="2" t="s">
        <v>1905</v>
      </c>
    </row>
    <row r="1155" spans="2:3">
      <c r="B1155" s="6">
        <v>43157</v>
      </c>
      <c r="C1155" s="2" t="s">
        <v>390</v>
      </c>
    </row>
    <row r="1156" spans="2:3">
      <c r="B1156" s="6">
        <v>43158</v>
      </c>
      <c r="C1156" s="2" t="s">
        <v>1906</v>
      </c>
    </row>
    <row r="1157" spans="2:3">
      <c r="B1157" s="6">
        <v>43159</v>
      </c>
      <c r="C1157" s="2" t="s">
        <v>596</v>
      </c>
    </row>
    <row r="1158" spans="2:3">
      <c r="B1158" s="6">
        <v>43160</v>
      </c>
      <c r="C1158" s="2" t="s">
        <v>391</v>
      </c>
    </row>
    <row r="1159" spans="2:3">
      <c r="B1159" s="6">
        <v>43161</v>
      </c>
      <c r="C1159" s="2" t="s">
        <v>1907</v>
      </c>
    </row>
    <row r="1160" spans="2:3">
      <c r="B1160" s="6">
        <v>43162</v>
      </c>
      <c r="C1160" s="2" t="s">
        <v>392</v>
      </c>
    </row>
    <row r="1161" spans="2:3">
      <c r="B1161" s="6">
        <v>43163</v>
      </c>
      <c r="C1161" s="2" t="s">
        <v>1908</v>
      </c>
    </row>
    <row r="1162" spans="2:3">
      <c r="B1162" s="6">
        <v>43164</v>
      </c>
      <c r="C1162" s="2" t="s">
        <v>262</v>
      </c>
    </row>
    <row r="1163" spans="2:3">
      <c r="B1163" s="6">
        <v>43165</v>
      </c>
      <c r="C1163" s="2" t="s">
        <v>1909</v>
      </c>
    </row>
    <row r="1164" spans="2:3">
      <c r="B1164" s="6">
        <v>43166</v>
      </c>
      <c r="C1164" s="2" t="s">
        <v>1910</v>
      </c>
    </row>
    <row r="1165" spans="2:3">
      <c r="B1165" s="6">
        <v>43167</v>
      </c>
      <c r="C1165" s="2" t="s">
        <v>1911</v>
      </c>
    </row>
    <row r="1166" spans="2:3">
      <c r="B1166" s="6">
        <v>43168</v>
      </c>
      <c r="C1166" s="2" t="s">
        <v>263</v>
      </c>
    </row>
    <row r="1167" spans="2:3">
      <c r="B1167" s="6">
        <v>43169</v>
      </c>
      <c r="C1167" s="2" t="s">
        <v>264</v>
      </c>
    </row>
    <row r="1168" spans="2:3">
      <c r="B1168" s="6">
        <v>43170</v>
      </c>
      <c r="C1168" s="2" t="s">
        <v>1912</v>
      </c>
    </row>
    <row r="1169" spans="2:3">
      <c r="B1169" s="6">
        <v>43171</v>
      </c>
      <c r="C1169" s="2" t="s">
        <v>1913</v>
      </c>
    </row>
    <row r="1170" spans="2:3">
      <c r="B1170" s="6">
        <v>43172</v>
      </c>
      <c r="C1170" s="2" t="s">
        <v>1914</v>
      </c>
    </row>
    <row r="1171" spans="2:3">
      <c r="B1171" s="6">
        <v>43173</v>
      </c>
      <c r="C1171" s="2" t="s">
        <v>265</v>
      </c>
    </row>
    <row r="1172" spans="2:3">
      <c r="B1172" s="6">
        <v>43174</v>
      </c>
      <c r="C1172" s="2" t="s">
        <v>1915</v>
      </c>
    </row>
    <row r="1173" spans="2:3">
      <c r="B1173" s="6">
        <v>43175</v>
      </c>
      <c r="C1173" s="2" t="s">
        <v>1916</v>
      </c>
    </row>
    <row r="1174" spans="2:3">
      <c r="B1174" s="6">
        <v>43176</v>
      </c>
      <c r="C1174" s="2" t="s">
        <v>625</v>
      </c>
    </row>
    <row r="1175" spans="2:3">
      <c r="B1175" s="6">
        <v>43177</v>
      </c>
      <c r="C1175" s="2" t="s">
        <v>1917</v>
      </c>
    </row>
    <row r="1176" spans="2:3">
      <c r="B1176" s="6">
        <v>43178</v>
      </c>
      <c r="C1176" s="2" t="s">
        <v>1918</v>
      </c>
    </row>
    <row r="1177" spans="2:3">
      <c r="B1177" s="6">
        <v>43179</v>
      </c>
      <c r="C1177" s="2" t="s">
        <v>1919</v>
      </c>
    </row>
    <row r="1178" spans="2:3">
      <c r="B1178" s="6">
        <v>43180</v>
      </c>
      <c r="C1178" s="2" t="s">
        <v>626</v>
      </c>
    </row>
    <row r="1179" spans="2:3">
      <c r="B1179" s="6">
        <v>43181</v>
      </c>
      <c r="C1179" s="2" t="s">
        <v>1920</v>
      </c>
    </row>
    <row r="1180" spans="2:3">
      <c r="B1180" s="6">
        <v>43182</v>
      </c>
      <c r="C1180" s="2" t="s">
        <v>1921</v>
      </c>
    </row>
    <row r="1181" spans="2:3">
      <c r="B1181" s="6">
        <v>43183</v>
      </c>
      <c r="C1181" s="2" t="s">
        <v>1922</v>
      </c>
    </row>
    <row r="1182" spans="2:3">
      <c r="B1182" s="6">
        <v>43184</v>
      </c>
      <c r="C1182" s="2" t="s">
        <v>627</v>
      </c>
    </row>
    <row r="1183" spans="2:3">
      <c r="B1183" s="6">
        <v>43185</v>
      </c>
      <c r="C1183" s="2" t="s">
        <v>1923</v>
      </c>
    </row>
    <row r="1184" spans="2:3">
      <c r="B1184" s="6">
        <v>43186</v>
      </c>
      <c r="C1184" s="2" t="s">
        <v>628</v>
      </c>
    </row>
    <row r="1185" spans="2:3">
      <c r="B1185" s="6">
        <v>43187</v>
      </c>
      <c r="C1185" s="2" t="s">
        <v>1924</v>
      </c>
    </row>
    <row r="1186" spans="2:3">
      <c r="B1186" s="6">
        <v>43188</v>
      </c>
      <c r="C1186" s="2" t="s">
        <v>1925</v>
      </c>
    </row>
    <row r="1187" spans="2:3">
      <c r="B1187" s="6">
        <v>43189</v>
      </c>
      <c r="C1187" s="2" t="s">
        <v>1926</v>
      </c>
    </row>
    <row r="1188" spans="2:3">
      <c r="B1188" s="6">
        <v>43190</v>
      </c>
      <c r="C1188" s="2" t="s">
        <v>1927</v>
      </c>
    </row>
    <row r="1189" spans="2:3">
      <c r="B1189" s="6">
        <v>43191</v>
      </c>
      <c r="C1189" s="2" t="s">
        <v>1928</v>
      </c>
    </row>
    <row r="1190" spans="2:3">
      <c r="B1190" s="6">
        <v>43192</v>
      </c>
      <c r="C1190" s="2" t="s">
        <v>1929</v>
      </c>
    </row>
    <row r="1191" spans="2:3">
      <c r="B1191" s="6">
        <v>43193</v>
      </c>
      <c r="C1191" s="2" t="s">
        <v>1930</v>
      </c>
    </row>
    <row r="1192" spans="2:3">
      <c r="B1192" s="6">
        <v>43194</v>
      </c>
      <c r="C1192" s="2" t="s">
        <v>1931</v>
      </c>
    </row>
    <row r="1193" spans="2:3">
      <c r="B1193" s="6">
        <v>43195</v>
      </c>
      <c r="C1193" s="2" t="s">
        <v>1932</v>
      </c>
    </row>
    <row r="1194" spans="2:3">
      <c r="B1194" s="6">
        <v>43196</v>
      </c>
      <c r="C1194" s="2" t="s">
        <v>726</v>
      </c>
    </row>
    <row r="1195" spans="2:3">
      <c r="B1195" s="6">
        <v>43197</v>
      </c>
      <c r="C1195" s="2" t="s">
        <v>1933</v>
      </c>
    </row>
    <row r="1196" spans="2:3">
      <c r="B1196" s="6">
        <v>43198</v>
      </c>
      <c r="C1196" s="2" t="s">
        <v>727</v>
      </c>
    </row>
    <row r="1197" spans="2:3">
      <c r="B1197" s="6">
        <v>43199</v>
      </c>
      <c r="C1197" s="2" t="s">
        <v>1934</v>
      </c>
    </row>
    <row r="1198" spans="2:3">
      <c r="B1198" s="6">
        <v>43200</v>
      </c>
      <c r="C1198" s="2" t="s">
        <v>1935</v>
      </c>
    </row>
    <row r="1199" spans="2:3">
      <c r="B1199" s="6">
        <v>43201</v>
      </c>
      <c r="C1199" s="2" t="s">
        <v>728</v>
      </c>
    </row>
    <row r="1200" spans="2:3">
      <c r="B1200" s="6">
        <v>43202</v>
      </c>
      <c r="C1200" s="2" t="s">
        <v>729</v>
      </c>
    </row>
    <row r="1201" spans="2:3">
      <c r="B1201" s="6">
        <v>43203</v>
      </c>
      <c r="C1201" s="2" t="s">
        <v>1936</v>
      </c>
    </row>
    <row r="1202" spans="2:3">
      <c r="B1202" s="6">
        <v>43204</v>
      </c>
      <c r="C1202" s="2" t="s">
        <v>1937</v>
      </c>
    </row>
    <row r="1203" spans="2:3">
      <c r="B1203" s="6">
        <v>43205</v>
      </c>
      <c r="C1203" s="2" t="s">
        <v>1938</v>
      </c>
    </row>
    <row r="1204" spans="2:3">
      <c r="B1204" s="6">
        <v>43206</v>
      </c>
      <c r="C1204" s="2" t="s">
        <v>1939</v>
      </c>
    </row>
    <row r="1205" spans="2:3">
      <c r="B1205" s="6">
        <v>43207</v>
      </c>
      <c r="C1205" s="2" t="s">
        <v>715</v>
      </c>
    </row>
    <row r="1206" spans="2:3">
      <c r="B1206" s="6">
        <v>43208</v>
      </c>
      <c r="C1206" s="2" t="s">
        <v>716</v>
      </c>
    </row>
    <row r="1207" spans="2:3">
      <c r="B1207" s="6">
        <v>43209</v>
      </c>
      <c r="C1207" s="2" t="s">
        <v>717</v>
      </c>
    </row>
    <row r="1208" spans="2:3">
      <c r="B1208" s="6">
        <v>43210</v>
      </c>
      <c r="C1208" s="2" t="s">
        <v>1940</v>
      </c>
    </row>
    <row r="1209" spans="2:3">
      <c r="B1209" s="6">
        <v>43211</v>
      </c>
      <c r="C1209" s="2" t="s">
        <v>1941</v>
      </c>
    </row>
    <row r="1210" spans="2:3">
      <c r="B1210" s="6">
        <v>43212</v>
      </c>
      <c r="C1210" s="2" t="s">
        <v>1942</v>
      </c>
    </row>
    <row r="1211" spans="2:3">
      <c r="B1211" s="6">
        <v>43213</v>
      </c>
      <c r="C1211" s="2" t="s">
        <v>718</v>
      </c>
    </row>
    <row r="1212" spans="2:3">
      <c r="B1212" s="6">
        <v>43214</v>
      </c>
      <c r="C1212" s="2" t="s">
        <v>1943</v>
      </c>
    </row>
    <row r="1213" spans="2:3">
      <c r="B1213" s="6">
        <v>43215</v>
      </c>
      <c r="C1213" s="2" t="s">
        <v>1944</v>
      </c>
    </row>
    <row r="1214" spans="2:3">
      <c r="B1214" s="6">
        <v>43216</v>
      </c>
      <c r="C1214" s="2" t="s">
        <v>1945</v>
      </c>
    </row>
    <row r="1215" spans="2:3">
      <c r="B1215" s="6">
        <v>43217</v>
      </c>
      <c r="C1215" s="2" t="s">
        <v>1946</v>
      </c>
    </row>
    <row r="1216" spans="2:3">
      <c r="B1216" s="6">
        <v>43218</v>
      </c>
      <c r="C1216" s="2" t="s">
        <v>1947</v>
      </c>
    </row>
    <row r="1217" spans="2:3">
      <c r="B1217" s="6">
        <v>43219</v>
      </c>
      <c r="C1217" s="2" t="s">
        <v>1948</v>
      </c>
    </row>
    <row r="1218" spans="2:3">
      <c r="B1218" s="6">
        <v>43220</v>
      </c>
      <c r="C1218" s="2" t="s">
        <v>1949</v>
      </c>
    </row>
    <row r="1219" spans="2:3">
      <c r="B1219" s="6">
        <v>43221</v>
      </c>
      <c r="C1219" s="2" t="s">
        <v>1950</v>
      </c>
    </row>
    <row r="1220" spans="2:3">
      <c r="B1220" s="6">
        <v>43222</v>
      </c>
      <c r="C1220" s="2" t="s">
        <v>1951</v>
      </c>
    </row>
    <row r="1221" spans="2:3">
      <c r="B1221" s="6">
        <v>43223</v>
      </c>
      <c r="C1221" s="2" t="s">
        <v>1952</v>
      </c>
    </row>
    <row r="1222" spans="2:3">
      <c r="B1222" s="6">
        <v>43224</v>
      </c>
      <c r="C1222" s="2" t="s">
        <v>1953</v>
      </c>
    </row>
    <row r="1223" spans="2:3">
      <c r="B1223" s="6">
        <v>43225</v>
      </c>
      <c r="C1223" s="2" t="s">
        <v>1954</v>
      </c>
    </row>
    <row r="1224" spans="2:3">
      <c r="B1224" s="6">
        <v>43226</v>
      </c>
      <c r="C1224" s="2" t="s">
        <v>1955</v>
      </c>
    </row>
    <row r="1225" spans="2:3">
      <c r="B1225" s="6">
        <v>43227</v>
      </c>
      <c r="C1225" s="2" t="s">
        <v>1956</v>
      </c>
    </row>
    <row r="1226" spans="2:3">
      <c r="B1226" s="6">
        <v>43228</v>
      </c>
      <c r="C1226" s="2" t="s">
        <v>1957</v>
      </c>
    </row>
    <row r="1227" spans="2:3">
      <c r="B1227" s="6">
        <v>43229</v>
      </c>
      <c r="C1227" s="2" t="s">
        <v>1958</v>
      </c>
    </row>
    <row r="1228" spans="2:3">
      <c r="B1228" s="6">
        <v>43230</v>
      </c>
      <c r="C1228" s="2" t="s">
        <v>1959</v>
      </c>
    </row>
    <row r="1229" spans="2:3">
      <c r="B1229" s="6">
        <v>43231</v>
      </c>
      <c r="C1229" s="2" t="s">
        <v>1960</v>
      </c>
    </row>
    <row r="1230" spans="2:3">
      <c r="B1230" s="6">
        <v>43232</v>
      </c>
      <c r="C1230" s="2" t="s">
        <v>1961</v>
      </c>
    </row>
    <row r="1231" spans="2:3">
      <c r="B1231" s="6">
        <v>43233</v>
      </c>
      <c r="C1231" s="2" t="s">
        <v>1962</v>
      </c>
    </row>
    <row r="1232" spans="2:3">
      <c r="B1232" s="6">
        <v>43234</v>
      </c>
      <c r="C1232" s="2" t="s">
        <v>1963</v>
      </c>
    </row>
    <row r="1233" spans="2:3">
      <c r="B1233" s="6">
        <v>43235</v>
      </c>
      <c r="C1233" s="2" t="s">
        <v>1964</v>
      </c>
    </row>
    <row r="1234" spans="2:3">
      <c r="B1234" s="6">
        <v>43236</v>
      </c>
      <c r="C1234" s="2" t="s">
        <v>1965</v>
      </c>
    </row>
    <row r="1235" spans="2:3">
      <c r="B1235" s="6">
        <v>43237</v>
      </c>
      <c r="C1235" s="2" t="s">
        <v>1966</v>
      </c>
    </row>
    <row r="1236" spans="2:3">
      <c r="B1236" s="6">
        <v>43238</v>
      </c>
      <c r="C1236" s="2" t="s">
        <v>1967</v>
      </c>
    </row>
    <row r="1237" spans="2:3">
      <c r="B1237" s="6">
        <v>43239</v>
      </c>
      <c r="C1237" s="2" t="s">
        <v>1968</v>
      </c>
    </row>
    <row r="1238" spans="2:3">
      <c r="B1238" s="6">
        <v>43240</v>
      </c>
      <c r="C1238" s="2" t="s">
        <v>1969</v>
      </c>
    </row>
    <row r="1239" spans="2:3">
      <c r="B1239" s="6">
        <v>43241</v>
      </c>
      <c r="C1239" s="2" t="s">
        <v>1970</v>
      </c>
    </row>
    <row r="1240" spans="2:3">
      <c r="B1240" s="6">
        <v>43242</v>
      </c>
      <c r="C1240" s="2" t="s">
        <v>1971</v>
      </c>
    </row>
    <row r="1241" spans="2:3">
      <c r="B1241" s="6">
        <v>43243</v>
      </c>
      <c r="C1241" s="2" t="s">
        <v>1972</v>
      </c>
    </row>
    <row r="1242" spans="2:3">
      <c r="B1242" s="6">
        <v>43244</v>
      </c>
      <c r="C1242" s="2" t="s">
        <v>1973</v>
      </c>
    </row>
    <row r="1243" spans="2:3">
      <c r="B1243" s="6">
        <v>43245</v>
      </c>
      <c r="C1243" s="2" t="s">
        <v>1974</v>
      </c>
    </row>
    <row r="1244" spans="2:3">
      <c r="B1244" s="6">
        <v>43246</v>
      </c>
      <c r="C1244" s="2" t="s">
        <v>1975</v>
      </c>
    </row>
    <row r="1245" spans="2:3">
      <c r="B1245" s="6">
        <v>43247</v>
      </c>
      <c r="C1245" s="2" t="s">
        <v>1976</v>
      </c>
    </row>
    <row r="1246" spans="2:3">
      <c r="B1246" s="6">
        <v>43248</v>
      </c>
      <c r="C1246" s="2" t="s">
        <v>1977</v>
      </c>
    </row>
    <row r="1247" spans="2:3">
      <c r="B1247" s="6">
        <v>43249</v>
      </c>
      <c r="C1247" s="2" t="s">
        <v>1978</v>
      </c>
    </row>
    <row r="1248" spans="2:3">
      <c r="B1248" s="6">
        <v>43250</v>
      </c>
      <c r="C1248" s="2" t="s">
        <v>1979</v>
      </c>
    </row>
    <row r="1249" spans="2:3">
      <c r="B1249" s="6">
        <v>43251</v>
      </c>
      <c r="C1249" s="2" t="s">
        <v>1980</v>
      </c>
    </row>
    <row r="1250" spans="2:3">
      <c r="B1250" s="6">
        <v>43252</v>
      </c>
      <c r="C1250" s="2" t="s">
        <v>1981</v>
      </c>
    </row>
    <row r="1251" spans="2:3">
      <c r="B1251" s="6">
        <v>43253</v>
      </c>
      <c r="C1251" s="2" t="s">
        <v>1982</v>
      </c>
    </row>
    <row r="1252" spans="2:3">
      <c r="B1252" s="6">
        <v>43254</v>
      </c>
      <c r="C1252" s="2" t="s">
        <v>629</v>
      </c>
    </row>
    <row r="1253" spans="2:3">
      <c r="B1253" s="6">
        <v>43255</v>
      </c>
      <c r="C1253" s="2" t="s">
        <v>1983</v>
      </c>
    </row>
    <row r="1254" spans="2:3">
      <c r="B1254" s="6">
        <v>43256</v>
      </c>
      <c r="C1254" s="2" t="s">
        <v>1984</v>
      </c>
    </row>
    <row r="1255" spans="2:3">
      <c r="B1255" s="6">
        <v>43257</v>
      </c>
      <c r="C1255" s="2" t="s">
        <v>1985</v>
      </c>
    </row>
    <row r="1256" spans="2:3">
      <c r="B1256" s="6">
        <v>43258</v>
      </c>
      <c r="C1256" s="2" t="s">
        <v>630</v>
      </c>
    </row>
    <row r="1257" spans="2:3">
      <c r="B1257" s="6">
        <v>43259</v>
      </c>
      <c r="C1257" s="2" t="s">
        <v>1986</v>
      </c>
    </row>
    <row r="1258" spans="2:3">
      <c r="B1258" s="6">
        <v>43260</v>
      </c>
      <c r="C1258" s="2" t="s">
        <v>1987</v>
      </c>
    </row>
    <row r="1259" spans="2:3">
      <c r="B1259" s="6">
        <v>43261</v>
      </c>
      <c r="C1259" s="2" t="s">
        <v>631</v>
      </c>
    </row>
    <row r="1260" spans="2:3">
      <c r="B1260" s="6">
        <v>43262</v>
      </c>
      <c r="C1260" s="2" t="s">
        <v>1988</v>
      </c>
    </row>
    <row r="1261" spans="2:3">
      <c r="B1261" s="6">
        <v>43263</v>
      </c>
      <c r="C1261" s="2" t="s">
        <v>1989</v>
      </c>
    </row>
    <row r="1262" spans="2:3">
      <c r="B1262" s="6">
        <v>43264</v>
      </c>
      <c r="C1262" s="2" t="s">
        <v>1990</v>
      </c>
    </row>
    <row r="1263" spans="2:3">
      <c r="B1263" s="6">
        <v>43265</v>
      </c>
      <c r="C1263" s="2" t="s">
        <v>632</v>
      </c>
    </row>
    <row r="1264" spans="2:3">
      <c r="B1264" s="6">
        <v>43266</v>
      </c>
      <c r="C1264" s="2" t="s">
        <v>1991</v>
      </c>
    </row>
    <row r="1265" spans="2:3">
      <c r="B1265" s="6">
        <v>43267</v>
      </c>
      <c r="C1265" s="2" t="s">
        <v>1992</v>
      </c>
    </row>
    <row r="1266" spans="2:3">
      <c r="B1266" s="6">
        <v>43268</v>
      </c>
      <c r="C1266" s="2" t="s">
        <v>1993</v>
      </c>
    </row>
    <row r="1267" spans="2:3">
      <c r="B1267" s="6">
        <v>43269</v>
      </c>
      <c r="C1267" s="2" t="s">
        <v>1994</v>
      </c>
    </row>
    <row r="1268" spans="2:3">
      <c r="B1268" s="6">
        <v>43270</v>
      </c>
      <c r="C1268" s="2" t="s">
        <v>1995</v>
      </c>
    </row>
    <row r="1269" spans="2:3">
      <c r="B1269" s="6">
        <v>43271</v>
      </c>
      <c r="C1269" s="2" t="s">
        <v>1996</v>
      </c>
    </row>
    <row r="1270" spans="2:3">
      <c r="B1270" s="6">
        <v>43272</v>
      </c>
      <c r="C1270" s="2" t="s">
        <v>1997</v>
      </c>
    </row>
    <row r="1271" spans="2:3">
      <c r="B1271" s="6">
        <v>43273</v>
      </c>
      <c r="C1271" s="2" t="s">
        <v>1998</v>
      </c>
    </row>
    <row r="1272" spans="2:3">
      <c r="B1272" s="6">
        <v>43274</v>
      </c>
      <c r="C1272" s="2" t="s">
        <v>1999</v>
      </c>
    </row>
    <row r="1273" spans="2:3">
      <c r="B1273" s="6">
        <v>43275</v>
      </c>
      <c r="C1273" s="2" t="s">
        <v>2000</v>
      </c>
    </row>
    <row r="1274" spans="2:3">
      <c r="B1274" s="6">
        <v>43276</v>
      </c>
      <c r="C1274" s="2" t="s">
        <v>2001</v>
      </c>
    </row>
    <row r="1275" spans="2:3">
      <c r="B1275" s="6">
        <v>43277</v>
      </c>
      <c r="C1275" s="2" t="s">
        <v>2002</v>
      </c>
    </row>
    <row r="1276" spans="2:3">
      <c r="B1276" s="6">
        <v>43278</v>
      </c>
      <c r="C1276" s="2" t="s">
        <v>2003</v>
      </c>
    </row>
    <row r="1277" spans="2:3">
      <c r="B1277" s="6">
        <v>43279</v>
      </c>
      <c r="C1277" s="2" t="s">
        <v>2004</v>
      </c>
    </row>
    <row r="1278" spans="2:3">
      <c r="B1278" s="6">
        <v>43280</v>
      </c>
      <c r="C1278" s="2" t="s">
        <v>2005</v>
      </c>
    </row>
    <row r="1279" spans="2:3">
      <c r="B1279" s="6">
        <v>43281</v>
      </c>
      <c r="C1279" s="2" t="s">
        <v>2006</v>
      </c>
    </row>
    <row r="1280" spans="2:3">
      <c r="B1280" s="6">
        <v>43282</v>
      </c>
      <c r="C1280" s="2" t="s">
        <v>2007</v>
      </c>
    </row>
    <row r="1281" spans="2:3">
      <c r="B1281" s="6">
        <v>43283</v>
      </c>
      <c r="C1281" s="2" t="s">
        <v>2008</v>
      </c>
    </row>
    <row r="1282" spans="2:3">
      <c r="B1282" s="6">
        <v>43284</v>
      </c>
      <c r="C1282" s="2" t="s">
        <v>2009</v>
      </c>
    </row>
    <row r="1283" spans="2:3">
      <c r="B1283" s="6">
        <v>43285</v>
      </c>
      <c r="C1283" s="2" t="s">
        <v>2010</v>
      </c>
    </row>
    <row r="1284" spans="2:3">
      <c r="B1284" s="6">
        <v>43286</v>
      </c>
      <c r="C1284" s="2" t="s">
        <v>2011</v>
      </c>
    </row>
    <row r="1285" spans="2:3">
      <c r="B1285" s="6">
        <v>43287</v>
      </c>
      <c r="C1285" s="2" t="s">
        <v>2012</v>
      </c>
    </row>
    <row r="1286" spans="2:3">
      <c r="B1286" s="6">
        <v>43288</v>
      </c>
      <c r="C1286" s="2" t="s">
        <v>705</v>
      </c>
    </row>
    <row r="1287" spans="2:3">
      <c r="B1287" s="6">
        <v>43289</v>
      </c>
      <c r="C1287" s="2" t="s">
        <v>706</v>
      </c>
    </row>
    <row r="1288" spans="2:3">
      <c r="B1288" s="6">
        <v>43290</v>
      </c>
      <c r="C1288" s="2" t="s">
        <v>2013</v>
      </c>
    </row>
    <row r="1289" spans="2:3">
      <c r="B1289" s="6">
        <v>43291</v>
      </c>
      <c r="C1289" s="2" t="s">
        <v>2014</v>
      </c>
    </row>
    <row r="1290" spans="2:3">
      <c r="B1290" s="6">
        <v>43292</v>
      </c>
      <c r="C1290" s="2" t="s">
        <v>707</v>
      </c>
    </row>
    <row r="1291" spans="2:3">
      <c r="B1291" s="6">
        <v>43293</v>
      </c>
      <c r="C1291" s="2" t="s">
        <v>2015</v>
      </c>
    </row>
    <row r="1292" spans="2:3">
      <c r="B1292" s="6">
        <v>43294</v>
      </c>
      <c r="C1292" s="2" t="s">
        <v>2016</v>
      </c>
    </row>
    <row r="1293" spans="2:3">
      <c r="B1293" s="6">
        <v>43295</v>
      </c>
      <c r="C1293" s="2" t="s">
        <v>708</v>
      </c>
    </row>
    <row r="1294" spans="2:3">
      <c r="B1294" s="6">
        <v>43296</v>
      </c>
      <c r="C1294" s="2" t="s">
        <v>2017</v>
      </c>
    </row>
    <row r="1295" spans="2:3">
      <c r="B1295" s="6">
        <v>43297</v>
      </c>
      <c r="C1295" s="2" t="s">
        <v>2018</v>
      </c>
    </row>
    <row r="1296" spans="2:3">
      <c r="B1296" s="6">
        <v>43298</v>
      </c>
      <c r="C1296" s="2" t="s">
        <v>2019</v>
      </c>
    </row>
    <row r="1297" spans="2:3">
      <c r="B1297" s="6">
        <v>43299</v>
      </c>
      <c r="C1297" s="2" t="s">
        <v>2020</v>
      </c>
    </row>
    <row r="1298" spans="2:3">
      <c r="B1298" s="6">
        <v>43300</v>
      </c>
      <c r="C1298" s="2" t="s">
        <v>2021</v>
      </c>
    </row>
    <row r="1299" spans="2:3">
      <c r="B1299" s="6">
        <v>43301</v>
      </c>
      <c r="C1299" s="2" t="s">
        <v>2022</v>
      </c>
    </row>
    <row r="1300" spans="2:3">
      <c r="B1300" s="6">
        <v>43302</v>
      </c>
      <c r="C1300" s="2" t="s">
        <v>2023</v>
      </c>
    </row>
    <row r="1301" spans="2:3">
      <c r="B1301" s="6">
        <v>43303</v>
      </c>
      <c r="C1301" s="2" t="s">
        <v>2024</v>
      </c>
    </row>
    <row r="1302" spans="2:3">
      <c r="B1302" s="6">
        <v>43304</v>
      </c>
      <c r="C1302" s="2" t="s">
        <v>2025</v>
      </c>
    </row>
    <row r="1303" spans="2:3">
      <c r="B1303" s="6">
        <v>43305</v>
      </c>
      <c r="C1303" s="2" t="s">
        <v>2026</v>
      </c>
    </row>
    <row r="1304" spans="2:3">
      <c r="B1304" s="6">
        <v>43306</v>
      </c>
      <c r="C1304" s="2" t="s">
        <v>2027</v>
      </c>
    </row>
    <row r="1305" spans="2:3">
      <c r="B1305" s="6">
        <v>43307</v>
      </c>
      <c r="C1305" s="2" t="s">
        <v>2028</v>
      </c>
    </row>
    <row r="1306" spans="2:3">
      <c r="B1306" s="6">
        <v>43308</v>
      </c>
      <c r="C1306" s="2" t="s">
        <v>2029</v>
      </c>
    </row>
    <row r="1307" spans="2:3">
      <c r="B1307" s="6">
        <v>43309</v>
      </c>
      <c r="C1307" s="2" t="s">
        <v>2030</v>
      </c>
    </row>
    <row r="1308" spans="2:3">
      <c r="B1308" s="6">
        <v>43310</v>
      </c>
      <c r="C1308" s="2" t="s">
        <v>2031</v>
      </c>
    </row>
    <row r="1309" spans="2:3">
      <c r="B1309" s="6">
        <v>43311</v>
      </c>
      <c r="C1309" s="2" t="s">
        <v>2032</v>
      </c>
    </row>
    <row r="1310" spans="2:3">
      <c r="B1310" s="6">
        <v>43312</v>
      </c>
      <c r="C1310" s="2" t="s">
        <v>2033</v>
      </c>
    </row>
    <row r="1311" spans="2:3">
      <c r="B1311" s="6">
        <v>43313</v>
      </c>
      <c r="C1311" s="2" t="s">
        <v>470</v>
      </c>
    </row>
    <row r="1312" spans="2:3">
      <c r="B1312" s="6">
        <v>43314</v>
      </c>
      <c r="C1312" s="2" t="s">
        <v>2034</v>
      </c>
    </row>
    <row r="1313" spans="2:3">
      <c r="B1313" s="6">
        <v>43315</v>
      </c>
      <c r="C1313" s="2" t="s">
        <v>2035</v>
      </c>
    </row>
    <row r="1314" spans="2:3">
      <c r="B1314" s="6">
        <v>43316</v>
      </c>
      <c r="C1314" s="2" t="s">
        <v>2036</v>
      </c>
    </row>
    <row r="1315" spans="2:3">
      <c r="B1315" s="6">
        <v>43317</v>
      </c>
      <c r="C1315" s="2" t="s">
        <v>471</v>
      </c>
    </row>
    <row r="1316" spans="2:3">
      <c r="B1316" s="6">
        <v>43318</v>
      </c>
      <c r="C1316" s="2" t="s">
        <v>472</v>
      </c>
    </row>
    <row r="1317" spans="2:3">
      <c r="B1317" s="6">
        <v>43319</v>
      </c>
      <c r="C1317" s="2" t="s">
        <v>2037</v>
      </c>
    </row>
    <row r="1318" spans="2:3">
      <c r="B1318" s="6">
        <v>43320</v>
      </c>
      <c r="C1318" s="2" t="s">
        <v>2038</v>
      </c>
    </row>
    <row r="1319" spans="2:3">
      <c r="B1319" s="6">
        <v>43321</v>
      </c>
      <c r="C1319" s="2" t="s">
        <v>2039</v>
      </c>
    </row>
    <row r="1320" spans="2:3">
      <c r="B1320" s="6">
        <v>43322</v>
      </c>
      <c r="C1320" s="2" t="s">
        <v>473</v>
      </c>
    </row>
    <row r="1321" spans="2:3">
      <c r="B1321" s="6">
        <v>43323</v>
      </c>
      <c r="C1321" s="2" t="s">
        <v>2040</v>
      </c>
    </row>
    <row r="1322" spans="2:3">
      <c r="B1322" s="6">
        <v>43324</v>
      </c>
      <c r="C1322" s="2" t="s">
        <v>2041</v>
      </c>
    </row>
    <row r="1323" spans="2:3">
      <c r="B1323" s="6">
        <v>43325</v>
      </c>
      <c r="C1323" s="2" t="s">
        <v>2042</v>
      </c>
    </row>
    <row r="1324" spans="2:3">
      <c r="B1324" s="6">
        <v>43326</v>
      </c>
      <c r="C1324" s="2" t="s">
        <v>2043</v>
      </c>
    </row>
    <row r="1325" spans="2:3">
      <c r="B1325" s="6">
        <v>43327</v>
      </c>
      <c r="C1325" s="2" t="s">
        <v>2044</v>
      </c>
    </row>
    <row r="1326" spans="2:3">
      <c r="B1326" s="6">
        <v>43328</v>
      </c>
      <c r="C1326" s="2" t="s">
        <v>2045</v>
      </c>
    </row>
    <row r="1327" spans="2:3">
      <c r="B1327" s="6">
        <v>43329</v>
      </c>
      <c r="C1327" s="2" t="s">
        <v>2046</v>
      </c>
    </row>
    <row r="1328" spans="2:3">
      <c r="B1328" s="6">
        <v>43330</v>
      </c>
      <c r="C1328" s="2" t="s">
        <v>2047</v>
      </c>
    </row>
    <row r="1329" spans="2:3">
      <c r="B1329" s="6">
        <v>43331</v>
      </c>
      <c r="C1329" s="2" t="s">
        <v>2048</v>
      </c>
    </row>
    <row r="1330" spans="2:3">
      <c r="B1330" s="6">
        <v>43332</v>
      </c>
      <c r="C1330" s="2" t="s">
        <v>2049</v>
      </c>
    </row>
    <row r="1331" spans="2:3">
      <c r="B1331" s="6">
        <v>43333</v>
      </c>
      <c r="C1331" s="2" t="s">
        <v>2050</v>
      </c>
    </row>
    <row r="1332" spans="2:3">
      <c r="B1332" s="6">
        <v>43334</v>
      </c>
      <c r="C1332" s="2" t="s">
        <v>2051</v>
      </c>
    </row>
    <row r="1333" spans="2:3">
      <c r="B1333" s="6">
        <v>43335</v>
      </c>
      <c r="C1333" s="2" t="s">
        <v>2052</v>
      </c>
    </row>
    <row r="1334" spans="2:3">
      <c r="B1334" s="6">
        <v>43336</v>
      </c>
      <c r="C1334" s="2" t="s">
        <v>2053</v>
      </c>
    </row>
    <row r="1335" spans="2:3">
      <c r="B1335" s="6">
        <v>43337</v>
      </c>
      <c r="C1335" s="2" t="s">
        <v>2054</v>
      </c>
    </row>
    <row r="1336" spans="2:3">
      <c r="B1336" s="6">
        <v>43338</v>
      </c>
      <c r="C1336" s="2" t="s">
        <v>2055</v>
      </c>
    </row>
    <row r="1337" spans="2:3">
      <c r="B1337" s="6">
        <v>43339</v>
      </c>
      <c r="C1337" s="2" t="s">
        <v>2056</v>
      </c>
    </row>
    <row r="1338" spans="2:3">
      <c r="B1338" s="6">
        <v>43340</v>
      </c>
      <c r="C1338" s="2" t="s">
        <v>2057</v>
      </c>
    </row>
    <row r="1339" spans="2:3">
      <c r="B1339" s="6">
        <v>43341</v>
      </c>
      <c r="C1339" s="2" t="s">
        <v>2058</v>
      </c>
    </row>
    <row r="1340" spans="2:3">
      <c r="B1340" s="6">
        <v>43342</v>
      </c>
      <c r="C1340" s="2" t="s">
        <v>2059</v>
      </c>
    </row>
    <row r="1341" spans="2:3">
      <c r="B1341" s="6">
        <v>43343</v>
      </c>
      <c r="C1341" s="2" t="s">
        <v>2060</v>
      </c>
    </row>
    <row r="1342" spans="2:3">
      <c r="B1342" s="6">
        <v>43344</v>
      </c>
      <c r="C1342" s="2" t="s">
        <v>2061</v>
      </c>
    </row>
    <row r="1343" spans="2:3">
      <c r="B1343" s="6">
        <v>43345</v>
      </c>
      <c r="C1343" s="2" t="s">
        <v>2062</v>
      </c>
    </row>
    <row r="1344" spans="2:3">
      <c r="B1344" s="6">
        <v>43346</v>
      </c>
      <c r="C1344" s="2" t="s">
        <v>2063</v>
      </c>
    </row>
    <row r="1345" spans="2:3">
      <c r="B1345" s="6">
        <v>43347</v>
      </c>
      <c r="C1345" s="2" t="s">
        <v>2064</v>
      </c>
    </row>
    <row r="1346" spans="2:3">
      <c r="B1346" s="6">
        <v>43348</v>
      </c>
      <c r="C1346" s="2" t="s">
        <v>2065</v>
      </c>
    </row>
    <row r="1347" spans="2:3">
      <c r="B1347" s="6">
        <v>43349</v>
      </c>
      <c r="C1347" s="2" t="s">
        <v>2066</v>
      </c>
    </row>
    <row r="1348" spans="2:3">
      <c r="B1348" s="6">
        <v>43350</v>
      </c>
      <c r="C1348" s="2" t="s">
        <v>2067</v>
      </c>
    </row>
    <row r="1349" spans="2:3">
      <c r="B1349" s="6">
        <v>43351</v>
      </c>
      <c r="C1349" s="2" t="s">
        <v>2068</v>
      </c>
    </row>
    <row r="1350" spans="2:3">
      <c r="B1350" s="6">
        <v>43352</v>
      </c>
      <c r="C1350" s="2" t="s">
        <v>2069</v>
      </c>
    </row>
    <row r="1351" spans="2:3">
      <c r="B1351" s="6">
        <v>43353</v>
      </c>
      <c r="C1351" s="2" t="s">
        <v>2070</v>
      </c>
    </row>
    <row r="1352" spans="2:3">
      <c r="B1352" s="6">
        <v>43354</v>
      </c>
      <c r="C1352" s="2" t="s">
        <v>2071</v>
      </c>
    </row>
    <row r="1353" spans="2:3">
      <c r="B1353" s="6">
        <v>43355</v>
      </c>
      <c r="C1353" s="2" t="s">
        <v>2072</v>
      </c>
    </row>
    <row r="1354" spans="2:3">
      <c r="B1354" s="6">
        <v>43356</v>
      </c>
      <c r="C1354" s="2" t="s">
        <v>2073</v>
      </c>
    </row>
    <row r="1355" spans="2:3">
      <c r="B1355" s="6">
        <v>43357</v>
      </c>
      <c r="C1355" s="2" t="s">
        <v>2074</v>
      </c>
    </row>
    <row r="1356" spans="2:3">
      <c r="B1356" s="6">
        <v>43358</v>
      </c>
      <c r="C1356" s="2" t="s">
        <v>2075</v>
      </c>
    </row>
    <row r="1357" spans="2:3">
      <c r="B1357" s="6">
        <v>43359</v>
      </c>
      <c r="C1357" s="2" t="s">
        <v>2076</v>
      </c>
    </row>
    <row r="1358" spans="2:3">
      <c r="B1358" s="6">
        <v>43360</v>
      </c>
      <c r="C1358" s="2" t="s">
        <v>2077</v>
      </c>
    </row>
    <row r="1359" spans="2:3">
      <c r="B1359" s="6">
        <v>43361</v>
      </c>
      <c r="C1359" s="2" t="s">
        <v>2078</v>
      </c>
    </row>
    <row r="1360" spans="2:3">
      <c r="B1360" s="6">
        <v>43362</v>
      </c>
      <c r="C1360" s="2" t="s">
        <v>2079</v>
      </c>
    </row>
    <row r="1361" spans="2:3">
      <c r="B1361" s="6">
        <v>43363</v>
      </c>
      <c r="C1361" s="2" t="s">
        <v>2080</v>
      </c>
    </row>
    <row r="1362" spans="2:3">
      <c r="B1362" s="6">
        <v>43364</v>
      </c>
      <c r="C1362" s="2" t="s">
        <v>2081</v>
      </c>
    </row>
    <row r="1363" spans="2:3">
      <c r="B1363" s="6">
        <v>43365</v>
      </c>
      <c r="C1363" s="2" t="s">
        <v>2082</v>
      </c>
    </row>
    <row r="1364" spans="2:3">
      <c r="B1364" s="6">
        <v>43366</v>
      </c>
      <c r="C1364" s="2" t="s">
        <v>2083</v>
      </c>
    </row>
    <row r="1365" spans="2:3">
      <c r="B1365" s="6">
        <v>43367</v>
      </c>
      <c r="C1365" s="2" t="s">
        <v>2084</v>
      </c>
    </row>
    <row r="1366" spans="2:3">
      <c r="B1366" s="6">
        <v>43368</v>
      </c>
      <c r="C1366" s="2" t="s">
        <v>2085</v>
      </c>
    </row>
    <row r="1367" spans="2:3">
      <c r="B1367" s="6">
        <v>43369</v>
      </c>
      <c r="C1367" s="2" t="s">
        <v>2086</v>
      </c>
    </row>
    <row r="1368" spans="2:3">
      <c r="B1368" s="6">
        <v>43370</v>
      </c>
      <c r="C1368" s="2" t="s">
        <v>2087</v>
      </c>
    </row>
    <row r="1369" spans="2:3">
      <c r="B1369" s="6">
        <v>43371</v>
      </c>
      <c r="C1369" s="2" t="s">
        <v>2088</v>
      </c>
    </row>
    <row r="1370" spans="2:3">
      <c r="B1370" s="6">
        <v>43372</v>
      </c>
      <c r="C1370" s="2" t="s">
        <v>2089</v>
      </c>
    </row>
    <row r="1371" spans="2:3">
      <c r="B1371" s="6">
        <v>43373</v>
      </c>
      <c r="C1371" s="2" t="s">
        <v>2090</v>
      </c>
    </row>
    <row r="1372" spans="2:3">
      <c r="B1372" s="6">
        <v>43374</v>
      </c>
      <c r="C1372" s="2" t="s">
        <v>2091</v>
      </c>
    </row>
    <row r="1373" spans="2:3">
      <c r="B1373" s="6">
        <v>43375</v>
      </c>
      <c r="C1373" s="2" t="s">
        <v>2092</v>
      </c>
    </row>
    <row r="1374" spans="2:3">
      <c r="B1374" s="6">
        <v>43376</v>
      </c>
      <c r="C1374" s="2" t="s">
        <v>2093</v>
      </c>
    </row>
    <row r="1375" spans="2:3">
      <c r="B1375" s="6">
        <v>43377</v>
      </c>
      <c r="C1375" s="2" t="s">
        <v>2094</v>
      </c>
    </row>
    <row r="1376" spans="2:3">
      <c r="B1376" s="6">
        <v>43378</v>
      </c>
      <c r="C1376" s="2" t="s">
        <v>2095</v>
      </c>
    </row>
    <row r="1377" spans="2:3">
      <c r="B1377" s="6">
        <v>43379</v>
      </c>
      <c r="C1377" s="2" t="s">
        <v>2096</v>
      </c>
    </row>
    <row r="1378" spans="2:3">
      <c r="B1378" s="6">
        <v>43380</v>
      </c>
      <c r="C1378" s="2" t="s">
        <v>2097</v>
      </c>
    </row>
    <row r="1379" spans="2:3">
      <c r="B1379" s="6">
        <v>43381</v>
      </c>
      <c r="C1379" s="2" t="s">
        <v>2098</v>
      </c>
    </row>
    <row r="1380" spans="2:3">
      <c r="B1380" s="6">
        <v>43382</v>
      </c>
      <c r="C1380" s="2" t="s">
        <v>2099</v>
      </c>
    </row>
    <row r="1381" spans="2:3">
      <c r="B1381" s="6">
        <v>43383</v>
      </c>
      <c r="C1381" s="2" t="s">
        <v>2100</v>
      </c>
    </row>
    <row r="1382" spans="2:3">
      <c r="B1382" s="6">
        <v>43384</v>
      </c>
      <c r="C1382" s="2" t="s">
        <v>2101</v>
      </c>
    </row>
    <row r="1383" spans="2:3">
      <c r="B1383" s="6">
        <v>43385</v>
      </c>
      <c r="C1383" s="2" t="s">
        <v>2102</v>
      </c>
    </row>
    <row r="1384" spans="2:3">
      <c r="B1384" s="6">
        <v>43386</v>
      </c>
      <c r="C1384" s="2" t="s">
        <v>2103</v>
      </c>
    </row>
    <row r="1385" spans="2:3">
      <c r="B1385" s="6">
        <v>43387</v>
      </c>
      <c r="C1385" s="2" t="s">
        <v>2104</v>
      </c>
    </row>
    <row r="1386" spans="2:3">
      <c r="B1386" s="6">
        <v>43388</v>
      </c>
      <c r="C1386" s="2" t="s">
        <v>2105</v>
      </c>
    </row>
    <row r="1387" spans="2:3">
      <c r="B1387" s="6">
        <v>43389</v>
      </c>
      <c r="C1387" s="2" t="s">
        <v>2106</v>
      </c>
    </row>
    <row r="1388" spans="2:3">
      <c r="B1388" s="6">
        <v>43390</v>
      </c>
      <c r="C1388" s="2" t="s">
        <v>2107</v>
      </c>
    </row>
    <row r="1389" spans="2:3">
      <c r="B1389" s="6">
        <v>43391</v>
      </c>
      <c r="C1389" s="2" t="s">
        <v>2108</v>
      </c>
    </row>
    <row r="1390" spans="2:3">
      <c r="B1390" s="6">
        <v>43392</v>
      </c>
      <c r="C1390" s="2" t="s">
        <v>2109</v>
      </c>
    </row>
    <row r="1391" spans="2:3">
      <c r="B1391" s="6">
        <v>43393</v>
      </c>
      <c r="C1391" s="2" t="s">
        <v>2110</v>
      </c>
    </row>
    <row r="1392" spans="2:3">
      <c r="B1392" s="6">
        <v>43394</v>
      </c>
      <c r="C1392" s="2" t="s">
        <v>2111</v>
      </c>
    </row>
    <row r="1393" spans="2:3">
      <c r="B1393" s="6">
        <v>43395</v>
      </c>
      <c r="C1393" s="2" t="s">
        <v>2112</v>
      </c>
    </row>
    <row r="1394" spans="2:3">
      <c r="B1394" s="6">
        <v>43396</v>
      </c>
      <c r="C1394" s="2" t="s">
        <v>2113</v>
      </c>
    </row>
    <row r="1395" spans="2:3">
      <c r="B1395" s="6">
        <v>43397</v>
      </c>
      <c r="C1395" s="2" t="s">
        <v>2114</v>
      </c>
    </row>
    <row r="1396" spans="2:3">
      <c r="B1396" s="6">
        <v>43398</v>
      </c>
      <c r="C1396" s="2" t="s">
        <v>2115</v>
      </c>
    </row>
    <row r="1397" spans="2:3">
      <c r="B1397" s="6">
        <v>43399</v>
      </c>
      <c r="C1397" s="2" t="s">
        <v>2116</v>
      </c>
    </row>
    <row r="1398" spans="2:3">
      <c r="B1398" s="6">
        <v>43400</v>
      </c>
      <c r="C1398" s="2" t="s">
        <v>2117</v>
      </c>
    </row>
    <row r="1399" spans="2:3">
      <c r="B1399" s="6">
        <v>43401</v>
      </c>
      <c r="C1399" s="2" t="s">
        <v>2118</v>
      </c>
    </row>
    <row r="1400" spans="2:3">
      <c r="B1400" s="6">
        <v>43402</v>
      </c>
      <c r="C1400" s="2" t="s">
        <v>2119</v>
      </c>
    </row>
    <row r="1401" spans="2:3">
      <c r="B1401" s="6">
        <v>43403</v>
      </c>
      <c r="C1401" s="2" t="s">
        <v>2120</v>
      </c>
    </row>
    <row r="1402" spans="2:3">
      <c r="B1402" s="6">
        <v>43404</v>
      </c>
      <c r="C1402" s="2" t="s">
        <v>2121</v>
      </c>
    </row>
    <row r="1403" spans="2:3">
      <c r="B1403" s="6">
        <v>43405</v>
      </c>
      <c r="C1403" s="2" t="s">
        <v>2122</v>
      </c>
    </row>
    <row r="1404" spans="2:3">
      <c r="B1404" s="6">
        <v>43406</v>
      </c>
      <c r="C1404" s="2" t="s">
        <v>2123</v>
      </c>
    </row>
    <row r="1405" spans="2:3">
      <c r="B1405" s="6">
        <v>43407</v>
      </c>
      <c r="C1405" s="2" t="s">
        <v>2124</v>
      </c>
    </row>
    <row r="1406" spans="2:3">
      <c r="B1406" s="6">
        <v>43408</v>
      </c>
      <c r="C1406" s="2" t="s">
        <v>2125</v>
      </c>
    </row>
    <row r="1407" spans="2:3">
      <c r="B1407" s="6">
        <v>43409</v>
      </c>
      <c r="C1407" s="2" t="s">
        <v>2126</v>
      </c>
    </row>
    <row r="1408" spans="2:3">
      <c r="B1408" s="6">
        <v>43410</v>
      </c>
      <c r="C1408" s="2" t="s">
        <v>2127</v>
      </c>
    </row>
    <row r="1409" spans="2:3">
      <c r="B1409" s="6">
        <v>43411</v>
      </c>
      <c r="C1409" s="2" t="s">
        <v>2128</v>
      </c>
    </row>
    <row r="1410" spans="2:3">
      <c r="B1410" s="6">
        <v>43412</v>
      </c>
      <c r="C1410" s="2" t="s">
        <v>2129</v>
      </c>
    </row>
    <row r="1411" spans="2:3">
      <c r="B1411" s="6">
        <v>43413</v>
      </c>
      <c r="C1411" s="2" t="s">
        <v>2130</v>
      </c>
    </row>
    <row r="1412" spans="2:3">
      <c r="B1412" s="6">
        <v>43414</v>
      </c>
      <c r="C1412" s="2" t="s">
        <v>2131</v>
      </c>
    </row>
    <row r="1413" spans="2:3">
      <c r="B1413" s="6">
        <v>43415</v>
      </c>
      <c r="C1413" s="2" t="s">
        <v>2132</v>
      </c>
    </row>
    <row r="1414" spans="2:3">
      <c r="B1414" s="6">
        <v>43416</v>
      </c>
      <c r="C1414" s="2" t="s">
        <v>2133</v>
      </c>
    </row>
    <row r="1415" spans="2:3">
      <c r="B1415" s="6">
        <v>43417</v>
      </c>
      <c r="C1415" s="2" t="s">
        <v>2134</v>
      </c>
    </row>
    <row r="1416" spans="2:3">
      <c r="B1416" s="6">
        <v>43418</v>
      </c>
      <c r="C1416" s="2" t="s">
        <v>2135</v>
      </c>
    </row>
    <row r="1417" spans="2:3">
      <c r="B1417" s="6">
        <v>43419</v>
      </c>
      <c r="C1417" s="2" t="s">
        <v>2136</v>
      </c>
    </row>
    <row r="1418" spans="2:3">
      <c r="B1418" s="6">
        <v>43420</v>
      </c>
      <c r="C1418" s="2" t="s">
        <v>2137</v>
      </c>
    </row>
    <row r="1419" spans="2:3">
      <c r="B1419" s="6">
        <v>43421</v>
      </c>
      <c r="C1419" s="2" t="s">
        <v>2138</v>
      </c>
    </row>
    <row r="1420" spans="2:3">
      <c r="B1420" s="6">
        <v>43422</v>
      </c>
      <c r="C1420" s="2" t="s">
        <v>2139</v>
      </c>
    </row>
    <row r="1421" spans="2:3">
      <c r="B1421" s="6">
        <v>43423</v>
      </c>
      <c r="C1421" s="2" t="s">
        <v>2140</v>
      </c>
    </row>
    <row r="1422" spans="2:3">
      <c r="B1422" s="6">
        <v>43424</v>
      </c>
      <c r="C1422" s="2" t="s">
        <v>2141</v>
      </c>
    </row>
    <row r="1423" spans="2:3">
      <c r="B1423" s="6">
        <v>43425</v>
      </c>
      <c r="C1423" s="2" t="s">
        <v>2142</v>
      </c>
    </row>
    <row r="1424" spans="2:3">
      <c r="B1424" s="6">
        <v>43426</v>
      </c>
      <c r="C1424" s="2" t="s">
        <v>2143</v>
      </c>
    </row>
    <row r="1425" spans="2:3">
      <c r="B1425" s="6">
        <v>43427</v>
      </c>
      <c r="C1425" s="2" t="s">
        <v>2144</v>
      </c>
    </row>
    <row r="1426" spans="2:3">
      <c r="B1426" s="6">
        <v>43428</v>
      </c>
      <c r="C1426" s="2" t="s">
        <v>2145</v>
      </c>
    </row>
    <row r="1427" spans="2:3">
      <c r="B1427" s="6">
        <v>43429</v>
      </c>
      <c r="C1427" s="2" t="s">
        <v>2146</v>
      </c>
    </row>
    <row r="1428" spans="2:3">
      <c r="B1428" s="6">
        <v>43430</v>
      </c>
      <c r="C1428" s="2" t="s">
        <v>2147</v>
      </c>
    </row>
    <row r="1429" spans="2:3">
      <c r="B1429" s="6">
        <v>43431</v>
      </c>
      <c r="C1429" s="2" t="s">
        <v>2148</v>
      </c>
    </row>
    <row r="1430" spans="2:3">
      <c r="B1430" s="6">
        <v>43432</v>
      </c>
      <c r="C1430" s="2" t="s">
        <v>2149</v>
      </c>
    </row>
    <row r="1431" spans="2:3">
      <c r="B1431" s="6">
        <v>43433</v>
      </c>
      <c r="C1431" s="2" t="s">
        <v>2150</v>
      </c>
    </row>
    <row r="1432" spans="2:3">
      <c r="B1432" s="6">
        <v>43434</v>
      </c>
      <c r="C1432" s="2" t="s">
        <v>2151</v>
      </c>
    </row>
    <row r="1433" spans="2:3">
      <c r="B1433" s="6">
        <v>43435</v>
      </c>
      <c r="C1433" s="2" t="s">
        <v>2152</v>
      </c>
    </row>
    <row r="1434" spans="2:3">
      <c r="B1434" s="6">
        <v>43436</v>
      </c>
      <c r="C1434" s="2" t="s">
        <v>2153</v>
      </c>
    </row>
    <row r="1435" spans="2:3">
      <c r="B1435" s="6">
        <v>43437</v>
      </c>
      <c r="C1435" s="2" t="s">
        <v>2154</v>
      </c>
    </row>
    <row r="1436" spans="2:3">
      <c r="B1436" s="6">
        <v>43438</v>
      </c>
      <c r="C1436" s="2" t="s">
        <v>2155</v>
      </c>
    </row>
    <row r="1437" spans="2:3">
      <c r="B1437" s="6">
        <v>43439</v>
      </c>
      <c r="C1437" s="2" t="s">
        <v>2156</v>
      </c>
    </row>
    <row r="1438" spans="2:3">
      <c r="B1438" s="6">
        <v>43440</v>
      </c>
      <c r="C1438" s="2" t="s">
        <v>2157</v>
      </c>
    </row>
    <row r="1439" spans="2:3">
      <c r="B1439" s="6">
        <v>43441</v>
      </c>
      <c r="C1439" s="2" t="s">
        <v>2158</v>
      </c>
    </row>
    <row r="1440" spans="2:3">
      <c r="B1440" s="6">
        <v>43442</v>
      </c>
      <c r="C1440" s="2" t="s">
        <v>2159</v>
      </c>
    </row>
    <row r="1441" spans="2:3">
      <c r="B1441" s="6">
        <v>43443</v>
      </c>
      <c r="C1441" s="2" t="s">
        <v>2160</v>
      </c>
    </row>
    <row r="1442" spans="2:3">
      <c r="B1442" s="6">
        <v>43444</v>
      </c>
      <c r="C1442" s="2" t="s">
        <v>2161</v>
      </c>
    </row>
    <row r="1443" spans="2:3">
      <c r="B1443" s="6">
        <v>43445</v>
      </c>
      <c r="C1443" s="2" t="s">
        <v>2162</v>
      </c>
    </row>
    <row r="1444" spans="2:3">
      <c r="B1444" s="6">
        <v>43446</v>
      </c>
      <c r="C1444" s="2" t="s">
        <v>2163</v>
      </c>
    </row>
    <row r="1445" spans="2:3">
      <c r="B1445" s="6">
        <v>43447</v>
      </c>
      <c r="C1445" s="2" t="s">
        <v>2164</v>
      </c>
    </row>
    <row r="1446" spans="2:3">
      <c r="B1446" s="6">
        <v>43448</v>
      </c>
      <c r="C1446" s="2" t="s">
        <v>2165</v>
      </c>
    </row>
    <row r="1447" spans="2:3">
      <c r="B1447" s="6">
        <v>43449</v>
      </c>
      <c r="C1447" s="2" t="s">
        <v>2166</v>
      </c>
    </row>
    <row r="1448" spans="2:3">
      <c r="B1448" s="6">
        <v>43450</v>
      </c>
      <c r="C1448" s="2" t="s">
        <v>2167</v>
      </c>
    </row>
    <row r="1449" spans="2:3">
      <c r="B1449" s="6">
        <v>43451</v>
      </c>
      <c r="C1449" s="2" t="s">
        <v>2168</v>
      </c>
    </row>
    <row r="1450" spans="2:3">
      <c r="B1450" s="6">
        <v>43452</v>
      </c>
      <c r="C1450" s="2" t="s">
        <v>2169</v>
      </c>
    </row>
    <row r="1451" spans="2:3">
      <c r="B1451" s="6">
        <v>43453</v>
      </c>
      <c r="C1451" s="2" t="s">
        <v>2170</v>
      </c>
    </row>
    <row r="1452" spans="2:3">
      <c r="B1452" s="6">
        <v>43454</v>
      </c>
      <c r="C1452" s="2" t="s">
        <v>2171</v>
      </c>
    </row>
    <row r="1453" spans="2:3">
      <c r="B1453" s="6">
        <v>43455</v>
      </c>
      <c r="C1453" s="2" t="s">
        <v>2172</v>
      </c>
    </row>
    <row r="1454" spans="2:3">
      <c r="B1454" s="6">
        <v>43456</v>
      </c>
      <c r="C1454" s="2" t="s">
        <v>2173</v>
      </c>
    </row>
    <row r="1455" spans="2:3">
      <c r="B1455" s="6">
        <v>43457</v>
      </c>
      <c r="C1455" s="2" t="s">
        <v>2174</v>
      </c>
    </row>
    <row r="1456" spans="2:3">
      <c r="B1456" s="6">
        <v>43458</v>
      </c>
      <c r="C1456" s="2" t="s">
        <v>2175</v>
      </c>
    </row>
    <row r="1457" spans="2:3">
      <c r="B1457" s="6">
        <v>43459</v>
      </c>
      <c r="C1457" s="2" t="s">
        <v>425</v>
      </c>
    </row>
    <row r="1458" spans="2:3">
      <c r="B1458" s="6">
        <v>43460</v>
      </c>
      <c r="C1458" s="2" t="s">
        <v>2176</v>
      </c>
    </row>
    <row r="1459" spans="2:3">
      <c r="B1459" s="6">
        <v>43461</v>
      </c>
      <c r="C1459" s="2" t="s">
        <v>426</v>
      </c>
    </row>
    <row r="1460" spans="2:3">
      <c r="B1460" s="6">
        <v>43462</v>
      </c>
      <c r="C1460" s="2" t="s">
        <v>2177</v>
      </c>
    </row>
    <row r="1461" spans="2:3">
      <c r="B1461" s="6">
        <v>43463</v>
      </c>
      <c r="C1461" s="2" t="s">
        <v>2178</v>
      </c>
    </row>
    <row r="1462" spans="2:3">
      <c r="B1462" s="6">
        <v>43464</v>
      </c>
      <c r="C1462" s="2" t="s">
        <v>427</v>
      </c>
    </row>
    <row r="1463" spans="2:3">
      <c r="B1463" s="6">
        <v>43465</v>
      </c>
      <c r="C1463" s="2" t="s">
        <v>2179</v>
      </c>
    </row>
    <row r="1464" spans="2:3">
      <c r="B1464" s="6">
        <v>43466</v>
      </c>
      <c r="C1464" s="2" t="s">
        <v>2180</v>
      </c>
    </row>
    <row r="1465" spans="2:3">
      <c r="B1465" s="6">
        <v>43467</v>
      </c>
      <c r="C1465" s="2" t="s">
        <v>2181</v>
      </c>
    </row>
    <row r="1466" spans="2:3">
      <c r="B1466" s="6">
        <v>43468</v>
      </c>
      <c r="C1466" s="2" t="s">
        <v>428</v>
      </c>
    </row>
    <row r="1467" spans="2:3">
      <c r="B1467" s="6">
        <v>43469</v>
      </c>
      <c r="C1467" s="2" t="s">
        <v>2182</v>
      </c>
    </row>
    <row r="1468" spans="2:3">
      <c r="B1468" s="6">
        <v>43470</v>
      </c>
      <c r="C1468" s="2" t="s">
        <v>2183</v>
      </c>
    </row>
    <row r="1469" spans="2:3">
      <c r="B1469" s="6">
        <v>43471</v>
      </c>
      <c r="C1469" s="2" t="s">
        <v>2184</v>
      </c>
    </row>
    <row r="1470" spans="2:3">
      <c r="B1470" s="6">
        <v>43472</v>
      </c>
      <c r="C1470" s="2" t="s">
        <v>2185</v>
      </c>
    </row>
    <row r="1471" spans="2:3">
      <c r="B1471" s="6">
        <v>43473</v>
      </c>
      <c r="C1471" s="2" t="s">
        <v>2186</v>
      </c>
    </row>
    <row r="1472" spans="2:3">
      <c r="B1472" s="6">
        <v>43474</v>
      </c>
      <c r="C1472" s="2" t="s">
        <v>2187</v>
      </c>
    </row>
    <row r="1473" spans="2:3">
      <c r="B1473" s="6">
        <v>43475</v>
      </c>
      <c r="C1473" s="2" t="s">
        <v>2188</v>
      </c>
    </row>
    <row r="1474" spans="2:3">
      <c r="B1474" s="6">
        <v>43476</v>
      </c>
      <c r="C1474" s="2" t="s">
        <v>2189</v>
      </c>
    </row>
    <row r="1475" spans="2:3">
      <c r="B1475" s="6">
        <v>43477</v>
      </c>
      <c r="C1475" s="2" t="s">
        <v>2190</v>
      </c>
    </row>
    <row r="1476" spans="2:3">
      <c r="B1476" s="6">
        <v>43478</v>
      </c>
      <c r="C1476" s="2" t="s">
        <v>2191</v>
      </c>
    </row>
    <row r="1477" spans="2:3">
      <c r="B1477" s="6">
        <v>43479</v>
      </c>
      <c r="C1477" s="2" t="s">
        <v>2192</v>
      </c>
    </row>
    <row r="1478" spans="2:3">
      <c r="B1478" s="6">
        <v>43480</v>
      </c>
      <c r="C1478" s="2" t="s">
        <v>2193</v>
      </c>
    </row>
    <row r="1479" spans="2:3">
      <c r="B1479" s="6">
        <v>43481</v>
      </c>
      <c r="C1479" s="2" t="s">
        <v>2194</v>
      </c>
    </row>
    <row r="1480" spans="2:3">
      <c r="B1480" s="6">
        <v>43482</v>
      </c>
      <c r="C1480" s="2" t="s">
        <v>2195</v>
      </c>
    </row>
    <row r="1481" spans="2:3">
      <c r="B1481" s="6">
        <v>43483</v>
      </c>
      <c r="C1481" s="2" t="s">
        <v>2196</v>
      </c>
    </row>
    <row r="1482" spans="2:3">
      <c r="B1482" s="6">
        <v>43484</v>
      </c>
      <c r="C1482" s="2" t="s">
        <v>2197</v>
      </c>
    </row>
    <row r="1483" spans="2:3">
      <c r="B1483" s="6">
        <v>43485</v>
      </c>
      <c r="C1483" s="2" t="s">
        <v>2198</v>
      </c>
    </row>
    <row r="1484" spans="2:3">
      <c r="B1484" s="6">
        <v>43486</v>
      </c>
      <c r="C1484" s="2" t="s">
        <v>2199</v>
      </c>
    </row>
    <row r="1485" spans="2:3">
      <c r="B1485" s="6">
        <v>43487</v>
      </c>
      <c r="C1485" s="2" t="s">
        <v>2200</v>
      </c>
    </row>
    <row r="1486" spans="2:3">
      <c r="B1486" s="6">
        <v>43488</v>
      </c>
      <c r="C1486" s="2" t="s">
        <v>2201</v>
      </c>
    </row>
    <row r="1487" spans="2:3">
      <c r="B1487" s="6">
        <v>43489</v>
      </c>
      <c r="C1487" s="2" t="s">
        <v>2202</v>
      </c>
    </row>
    <row r="1488" spans="2:3">
      <c r="B1488" s="6">
        <v>43490</v>
      </c>
      <c r="C1488" s="2" t="s">
        <v>2203</v>
      </c>
    </row>
    <row r="1489" spans="2:3">
      <c r="B1489" s="6">
        <v>43491</v>
      </c>
      <c r="C1489" s="2" t="s">
        <v>2204</v>
      </c>
    </row>
    <row r="1490" spans="2:3">
      <c r="B1490" s="6">
        <v>43492</v>
      </c>
      <c r="C1490" s="2" t="s">
        <v>2205</v>
      </c>
    </row>
    <row r="1491" spans="2:3">
      <c r="B1491" s="6">
        <v>43493</v>
      </c>
      <c r="C1491" s="2" t="s">
        <v>2206</v>
      </c>
    </row>
    <row r="1492" spans="2:3">
      <c r="B1492" s="6">
        <v>43494</v>
      </c>
      <c r="C1492" s="2" t="s">
        <v>2207</v>
      </c>
    </row>
    <row r="1493" spans="2:3">
      <c r="B1493" s="6">
        <v>43495</v>
      </c>
      <c r="C1493" s="2" t="s">
        <v>2208</v>
      </c>
    </row>
    <row r="1494" spans="2:3">
      <c r="B1494" s="6">
        <v>43496</v>
      </c>
      <c r="C1494" s="2" t="s">
        <v>2209</v>
      </c>
    </row>
    <row r="1495" spans="2:3">
      <c r="B1495" s="6">
        <v>43497</v>
      </c>
      <c r="C1495" s="2" t="s">
        <v>2210</v>
      </c>
    </row>
    <row r="1496" spans="2:3">
      <c r="B1496" s="6">
        <v>43498</v>
      </c>
      <c r="C1496" s="2" t="s">
        <v>2211</v>
      </c>
    </row>
    <row r="1497" spans="2:3">
      <c r="B1497" s="6">
        <v>43499</v>
      </c>
      <c r="C1497" s="2" t="s">
        <v>2212</v>
      </c>
    </row>
    <row r="1498" spans="2:3">
      <c r="B1498" s="6">
        <v>43500</v>
      </c>
      <c r="C1498" s="2" t="s">
        <v>2213</v>
      </c>
    </row>
    <row r="1499" spans="2:3">
      <c r="B1499" s="6">
        <v>43501</v>
      </c>
      <c r="C1499" s="2" t="s">
        <v>2214</v>
      </c>
    </row>
    <row r="1500" spans="2:3">
      <c r="B1500" s="6">
        <v>43502</v>
      </c>
      <c r="C1500" s="2" t="s">
        <v>807</v>
      </c>
    </row>
    <row r="1501" spans="2:3">
      <c r="B1501" s="6">
        <v>43503</v>
      </c>
      <c r="C1501" s="2" t="s">
        <v>2215</v>
      </c>
    </row>
    <row r="1502" spans="2:3">
      <c r="B1502" s="6">
        <v>43504</v>
      </c>
      <c r="C1502" s="2" t="s">
        <v>808</v>
      </c>
    </row>
    <row r="1503" spans="2:3">
      <c r="B1503" s="6">
        <v>43505</v>
      </c>
      <c r="C1503" s="2" t="s">
        <v>2216</v>
      </c>
    </row>
    <row r="1504" spans="2:3">
      <c r="B1504" s="6">
        <v>43506</v>
      </c>
      <c r="C1504" s="2" t="s">
        <v>2217</v>
      </c>
    </row>
    <row r="1505" spans="2:3">
      <c r="B1505" s="6">
        <v>43507</v>
      </c>
      <c r="C1505" s="2" t="s">
        <v>809</v>
      </c>
    </row>
    <row r="1506" spans="2:3">
      <c r="B1506" s="6">
        <v>43508</v>
      </c>
      <c r="C1506" s="2" t="s">
        <v>2218</v>
      </c>
    </row>
    <row r="1507" spans="2:3">
      <c r="B1507" s="6">
        <v>43509</v>
      </c>
      <c r="C1507" s="2" t="s">
        <v>810</v>
      </c>
    </row>
    <row r="1508" spans="2:3">
      <c r="B1508" s="6">
        <v>43510</v>
      </c>
      <c r="C1508" s="2" t="s">
        <v>2219</v>
      </c>
    </row>
    <row r="1509" spans="2:3">
      <c r="B1509" s="6">
        <v>43511</v>
      </c>
      <c r="C1509" s="2" t="s">
        <v>2220</v>
      </c>
    </row>
    <row r="1510" spans="2:3">
      <c r="B1510" s="6">
        <v>43512</v>
      </c>
      <c r="C1510" s="2" t="s">
        <v>2221</v>
      </c>
    </row>
    <row r="1511" spans="2:3">
      <c r="B1511" s="6">
        <v>43513</v>
      </c>
      <c r="C1511" s="2" t="s">
        <v>2222</v>
      </c>
    </row>
    <row r="1512" spans="2:3">
      <c r="B1512" s="6">
        <v>43514</v>
      </c>
      <c r="C1512" s="2" t="s">
        <v>2223</v>
      </c>
    </row>
    <row r="1513" spans="2:3">
      <c r="B1513" s="6">
        <v>43515</v>
      </c>
      <c r="C1513" s="2" t="s">
        <v>2224</v>
      </c>
    </row>
    <row r="1514" spans="2:3">
      <c r="B1514" s="6">
        <v>43516</v>
      </c>
      <c r="C1514" s="2" t="s">
        <v>2225</v>
      </c>
    </row>
    <row r="1515" spans="2:3">
      <c r="B1515" s="6">
        <v>43517</v>
      </c>
      <c r="C1515" s="2" t="s">
        <v>2226</v>
      </c>
    </row>
    <row r="1516" spans="2:3">
      <c r="B1516" s="6">
        <v>43518</v>
      </c>
      <c r="C1516" s="2" t="s">
        <v>2227</v>
      </c>
    </row>
    <row r="1517" spans="2:3">
      <c r="B1517" s="6">
        <v>43519</v>
      </c>
      <c r="C1517" s="2" t="s">
        <v>2228</v>
      </c>
    </row>
    <row r="1518" spans="2:3">
      <c r="B1518" s="6">
        <v>43520</v>
      </c>
      <c r="C1518" s="2" t="s">
        <v>2229</v>
      </c>
    </row>
    <row r="1519" spans="2:3">
      <c r="B1519" s="6">
        <v>43521</v>
      </c>
      <c r="C1519" s="2" t="s">
        <v>2230</v>
      </c>
    </row>
    <row r="1520" spans="2:3">
      <c r="B1520" s="6">
        <v>43522</v>
      </c>
      <c r="C1520" s="2" t="s">
        <v>2231</v>
      </c>
    </row>
    <row r="1521" spans="2:3">
      <c r="B1521" s="6">
        <v>43523</v>
      </c>
      <c r="C1521" s="2" t="s">
        <v>780</v>
      </c>
    </row>
    <row r="1522" spans="2:3">
      <c r="B1522" s="6">
        <v>43524</v>
      </c>
      <c r="C1522" s="2" t="s">
        <v>781</v>
      </c>
    </row>
    <row r="1523" spans="2:3">
      <c r="B1523" s="6">
        <v>43525</v>
      </c>
      <c r="C1523" s="2" t="s">
        <v>782</v>
      </c>
    </row>
    <row r="1524" spans="2:3">
      <c r="B1524" s="6">
        <v>43526</v>
      </c>
      <c r="C1524" s="2" t="s">
        <v>783</v>
      </c>
    </row>
    <row r="1525" spans="2:3">
      <c r="B1525" s="6">
        <v>43527</v>
      </c>
      <c r="C1525" s="2" t="s">
        <v>2232</v>
      </c>
    </row>
    <row r="1526" spans="2:3">
      <c r="B1526" s="6">
        <v>43528</v>
      </c>
      <c r="C1526" s="2" t="s">
        <v>2233</v>
      </c>
    </row>
    <row r="1527" spans="2:3">
      <c r="B1527" s="6">
        <v>43529</v>
      </c>
      <c r="C1527" s="2" t="s">
        <v>2234</v>
      </c>
    </row>
    <row r="1528" spans="2:3">
      <c r="B1528" s="6">
        <v>43530</v>
      </c>
      <c r="C1528" s="2" t="s">
        <v>2235</v>
      </c>
    </row>
    <row r="1529" spans="2:3">
      <c r="B1529" s="6">
        <v>43531</v>
      </c>
      <c r="C1529" s="2" t="s">
        <v>2236</v>
      </c>
    </row>
    <row r="1530" spans="2:3">
      <c r="B1530" s="6">
        <v>43532</v>
      </c>
      <c r="C1530" s="2" t="s">
        <v>2237</v>
      </c>
    </row>
    <row r="1531" spans="2:3">
      <c r="B1531" s="6">
        <v>43533</v>
      </c>
      <c r="C1531" s="2" t="s">
        <v>2238</v>
      </c>
    </row>
    <row r="1532" spans="2:3">
      <c r="B1532" s="6">
        <v>43534</v>
      </c>
      <c r="C1532" s="2" t="s">
        <v>2239</v>
      </c>
    </row>
    <row r="1533" spans="2:3">
      <c r="B1533" s="6">
        <v>43535</v>
      </c>
      <c r="C1533" s="2" t="s">
        <v>2240</v>
      </c>
    </row>
    <row r="1534" spans="2:3">
      <c r="B1534" s="6">
        <v>43536</v>
      </c>
      <c r="C1534" s="2" t="s">
        <v>2241</v>
      </c>
    </row>
    <row r="1535" spans="2:3">
      <c r="B1535" s="6">
        <v>43537</v>
      </c>
      <c r="C1535" s="2" t="s">
        <v>2242</v>
      </c>
    </row>
    <row r="1536" spans="2:3">
      <c r="B1536" s="6">
        <v>43538</v>
      </c>
      <c r="C1536" s="2" t="s">
        <v>2243</v>
      </c>
    </row>
    <row r="1537" spans="2:3">
      <c r="B1537" s="6">
        <v>43539</v>
      </c>
      <c r="C1537" s="2" t="s">
        <v>2244</v>
      </c>
    </row>
    <row r="1538" spans="2:3">
      <c r="B1538" s="6">
        <v>43540</v>
      </c>
      <c r="C1538" s="2" t="s">
        <v>2245</v>
      </c>
    </row>
    <row r="1539" spans="2:3">
      <c r="B1539" s="6">
        <v>43541</v>
      </c>
      <c r="C1539" s="2" t="s">
        <v>2246</v>
      </c>
    </row>
    <row r="1540" spans="2:3">
      <c r="B1540" s="6">
        <v>43542</v>
      </c>
      <c r="C1540" s="2" t="s">
        <v>2247</v>
      </c>
    </row>
    <row r="1541" spans="2:3">
      <c r="B1541" s="6">
        <v>43543</v>
      </c>
      <c r="C1541" s="2" t="s">
        <v>2248</v>
      </c>
    </row>
    <row r="1542" spans="2:3">
      <c r="B1542" s="6">
        <v>43544</v>
      </c>
      <c r="C1542" s="2" t="s">
        <v>2249</v>
      </c>
    </row>
    <row r="1543" spans="2:3">
      <c r="B1543" s="6">
        <v>43545</v>
      </c>
      <c r="C1543" s="2" t="s">
        <v>2250</v>
      </c>
    </row>
    <row r="1544" spans="2:3">
      <c r="B1544" s="6">
        <v>43546</v>
      </c>
      <c r="C1544" s="2" t="s">
        <v>2251</v>
      </c>
    </row>
    <row r="1545" spans="2:3">
      <c r="B1545" s="6">
        <v>43547</v>
      </c>
      <c r="C1545" s="2" t="s">
        <v>2252</v>
      </c>
    </row>
    <row r="1546" spans="2:3">
      <c r="B1546" s="6">
        <v>43548</v>
      </c>
      <c r="C1546" s="2" t="s">
        <v>2253</v>
      </c>
    </row>
    <row r="1547" spans="2:3">
      <c r="B1547" s="6">
        <v>43549</v>
      </c>
      <c r="C1547" s="2" t="s">
        <v>2254</v>
      </c>
    </row>
    <row r="1548" spans="2:3">
      <c r="B1548" s="6">
        <v>43550</v>
      </c>
      <c r="C1548" s="2" t="s">
        <v>2255</v>
      </c>
    </row>
    <row r="1549" spans="2:3">
      <c r="B1549" s="6">
        <v>43551</v>
      </c>
      <c r="C1549" s="2" t="s">
        <v>2256</v>
      </c>
    </row>
    <row r="1550" spans="2:3">
      <c r="B1550" s="6">
        <v>43552</v>
      </c>
      <c r="C1550" s="2" t="s">
        <v>2257</v>
      </c>
    </row>
    <row r="1551" spans="2:3">
      <c r="B1551" s="6">
        <v>43553</v>
      </c>
      <c r="C1551" s="2" t="s">
        <v>2258</v>
      </c>
    </row>
    <row r="1552" spans="2:3">
      <c r="B1552" s="6">
        <v>43554</v>
      </c>
      <c r="C1552" s="2" t="s">
        <v>2259</v>
      </c>
    </row>
    <row r="1553" spans="2:3">
      <c r="B1553" s="6">
        <v>43555</v>
      </c>
      <c r="C1553" s="2" t="s">
        <v>2260</v>
      </c>
    </row>
    <row r="1554" spans="2:3">
      <c r="B1554" s="6">
        <v>43556</v>
      </c>
      <c r="C1554" s="2" t="s">
        <v>2261</v>
      </c>
    </row>
    <row r="1555" spans="2:3">
      <c r="B1555" s="6">
        <v>43557</v>
      </c>
      <c r="C1555" s="2" t="s">
        <v>2262</v>
      </c>
    </row>
    <row r="1556" spans="2:3">
      <c r="B1556" s="6">
        <v>43558</v>
      </c>
      <c r="C1556" s="2" t="s">
        <v>2263</v>
      </c>
    </row>
    <row r="1557" spans="2:3">
      <c r="B1557" s="6">
        <v>43559</v>
      </c>
      <c r="C1557" s="2" t="s">
        <v>2264</v>
      </c>
    </row>
    <row r="1558" spans="2:3">
      <c r="B1558" s="6">
        <v>43560</v>
      </c>
      <c r="C1558" s="2" t="s">
        <v>2265</v>
      </c>
    </row>
    <row r="1559" spans="2:3">
      <c r="B1559" s="6">
        <v>43561</v>
      </c>
      <c r="C1559" s="2" t="s">
        <v>2266</v>
      </c>
    </row>
    <row r="1560" spans="2:3">
      <c r="B1560" s="6">
        <v>43562</v>
      </c>
      <c r="C1560" s="2" t="s">
        <v>2267</v>
      </c>
    </row>
    <row r="1561" spans="2:3">
      <c r="B1561" s="6">
        <v>43563</v>
      </c>
      <c r="C1561" s="2" t="s">
        <v>2268</v>
      </c>
    </row>
    <row r="1562" spans="2:3">
      <c r="B1562" s="6">
        <v>43564</v>
      </c>
      <c r="C1562" s="2" t="s">
        <v>2269</v>
      </c>
    </row>
    <row r="1563" spans="2:3">
      <c r="B1563" s="6">
        <v>43565</v>
      </c>
      <c r="C1563" s="2" t="s">
        <v>2270</v>
      </c>
    </row>
    <row r="1564" spans="2:3">
      <c r="B1564" s="6">
        <v>43566</v>
      </c>
      <c r="C1564" s="2" t="s">
        <v>2271</v>
      </c>
    </row>
    <row r="1565" spans="2:3">
      <c r="B1565" s="6">
        <v>43567</v>
      </c>
      <c r="C1565" s="2" t="s">
        <v>2272</v>
      </c>
    </row>
    <row r="1566" spans="2:3">
      <c r="B1566" s="6">
        <v>43568</v>
      </c>
      <c r="C1566" s="2" t="s">
        <v>2273</v>
      </c>
    </row>
    <row r="1567" spans="2:3">
      <c r="B1567" s="6">
        <v>43569</v>
      </c>
      <c r="C1567" s="2" t="s">
        <v>2274</v>
      </c>
    </row>
    <row r="1568" spans="2:3">
      <c r="B1568" s="6">
        <v>43570</v>
      </c>
      <c r="C1568" s="2" t="s">
        <v>792</v>
      </c>
    </row>
    <row r="1569" spans="2:3">
      <c r="B1569" s="6">
        <v>43571</v>
      </c>
      <c r="C1569" s="2" t="s">
        <v>2275</v>
      </c>
    </row>
    <row r="1570" spans="2:3">
      <c r="B1570" s="6">
        <v>43572</v>
      </c>
      <c r="C1570" s="2" t="s">
        <v>2276</v>
      </c>
    </row>
    <row r="1571" spans="2:3">
      <c r="B1571" s="6">
        <v>43573</v>
      </c>
      <c r="C1571" s="2" t="s">
        <v>793</v>
      </c>
    </row>
    <row r="1572" spans="2:3">
      <c r="B1572" s="6">
        <v>43574</v>
      </c>
      <c r="C1572" s="2" t="s">
        <v>2277</v>
      </c>
    </row>
    <row r="1573" spans="2:3">
      <c r="B1573" s="6">
        <v>43575</v>
      </c>
      <c r="C1573" s="2" t="s">
        <v>2278</v>
      </c>
    </row>
    <row r="1574" spans="2:3">
      <c r="B1574" s="6">
        <v>43576</v>
      </c>
      <c r="C1574" s="2" t="s">
        <v>2279</v>
      </c>
    </row>
    <row r="1575" spans="2:3">
      <c r="B1575" s="6">
        <v>43577</v>
      </c>
      <c r="C1575" s="2" t="s">
        <v>794</v>
      </c>
    </row>
    <row r="1576" spans="2:3">
      <c r="B1576" s="6">
        <v>43578</v>
      </c>
      <c r="C1576" s="2" t="s">
        <v>2280</v>
      </c>
    </row>
    <row r="1577" spans="2:3">
      <c r="B1577" s="6">
        <v>43579</v>
      </c>
      <c r="C1577" s="2" t="s">
        <v>795</v>
      </c>
    </row>
    <row r="1578" spans="2:3">
      <c r="B1578" s="6">
        <v>43580</v>
      </c>
      <c r="C1578" s="2" t="s">
        <v>2281</v>
      </c>
    </row>
    <row r="1579" spans="2:3">
      <c r="B1579" s="6">
        <v>43581</v>
      </c>
      <c r="C1579" s="2" t="s">
        <v>2282</v>
      </c>
    </row>
    <row r="1580" spans="2:3">
      <c r="B1580" s="6">
        <v>43582</v>
      </c>
      <c r="C1580" s="2" t="s">
        <v>2283</v>
      </c>
    </row>
    <row r="1581" spans="2:3">
      <c r="B1581" s="6">
        <v>43583</v>
      </c>
      <c r="C1581" s="2" t="s">
        <v>2284</v>
      </c>
    </row>
    <row r="1582" spans="2:3">
      <c r="B1582" s="6">
        <v>43584</v>
      </c>
      <c r="C1582" s="2" t="s">
        <v>2285</v>
      </c>
    </row>
    <row r="1583" spans="2:3">
      <c r="B1583" s="6">
        <v>43585</v>
      </c>
      <c r="C1583" s="2" t="s">
        <v>2286</v>
      </c>
    </row>
    <row r="1584" spans="2:3">
      <c r="B1584" s="6">
        <v>43586</v>
      </c>
      <c r="C1584" s="2" t="s">
        <v>2287</v>
      </c>
    </row>
    <row r="1585" spans="2:3">
      <c r="B1585" s="6">
        <v>43587</v>
      </c>
      <c r="C1585" s="2" t="s">
        <v>2288</v>
      </c>
    </row>
    <row r="1586" spans="2:3">
      <c r="B1586" s="6">
        <v>43588</v>
      </c>
      <c r="C1586" s="2" t="s">
        <v>2289</v>
      </c>
    </row>
    <row r="1587" spans="2:3">
      <c r="B1587" s="6">
        <v>43589</v>
      </c>
      <c r="C1587" s="2" t="s">
        <v>2290</v>
      </c>
    </row>
    <row r="1588" spans="2:3">
      <c r="B1588" s="6">
        <v>43590</v>
      </c>
      <c r="C1588" s="2" t="s">
        <v>2291</v>
      </c>
    </row>
    <row r="1589" spans="2:3">
      <c r="B1589" s="6">
        <v>43591</v>
      </c>
      <c r="C1589" s="2" t="s">
        <v>2292</v>
      </c>
    </row>
    <row r="1590" spans="2:3">
      <c r="B1590" s="6">
        <v>43592</v>
      </c>
      <c r="C1590" s="2" t="s">
        <v>2293</v>
      </c>
    </row>
    <row r="1591" spans="2:3">
      <c r="B1591" s="6">
        <v>43593</v>
      </c>
      <c r="C1591" s="2" t="s">
        <v>2294</v>
      </c>
    </row>
    <row r="1592" spans="2:3">
      <c r="B1592" s="6">
        <v>43594</v>
      </c>
      <c r="C1592" s="2" t="s">
        <v>2295</v>
      </c>
    </row>
    <row r="1593" spans="2:3">
      <c r="B1593" s="6">
        <v>43595</v>
      </c>
      <c r="C1593" s="2" t="s">
        <v>2296</v>
      </c>
    </row>
    <row r="1594" spans="2:3">
      <c r="B1594" s="6">
        <v>43596</v>
      </c>
      <c r="C1594" s="2" t="s">
        <v>507</v>
      </c>
    </row>
    <row r="1595" spans="2:3">
      <c r="B1595" s="6">
        <v>43597</v>
      </c>
      <c r="C1595" s="2" t="s">
        <v>508</v>
      </c>
    </row>
    <row r="1596" spans="2:3">
      <c r="B1596" s="6">
        <v>43598</v>
      </c>
      <c r="C1596" s="2" t="s">
        <v>2297</v>
      </c>
    </row>
    <row r="1597" spans="2:3">
      <c r="B1597" s="6">
        <v>43599</v>
      </c>
      <c r="C1597" s="2" t="s">
        <v>2298</v>
      </c>
    </row>
    <row r="1598" spans="2:3">
      <c r="B1598" s="6">
        <v>43600</v>
      </c>
      <c r="C1598" s="2" t="s">
        <v>2299</v>
      </c>
    </row>
    <row r="1599" spans="2:3">
      <c r="B1599" s="6">
        <v>43601</v>
      </c>
      <c r="C1599" s="2" t="s">
        <v>509</v>
      </c>
    </row>
    <row r="1600" spans="2:3">
      <c r="B1600" s="6">
        <v>43602</v>
      </c>
      <c r="C1600" s="2" t="s">
        <v>349</v>
      </c>
    </row>
    <row r="1601" spans="2:3">
      <c r="B1601" s="6">
        <v>43603</v>
      </c>
      <c r="C1601" s="2" t="s">
        <v>2300</v>
      </c>
    </row>
    <row r="1602" spans="2:3">
      <c r="B1602" s="6">
        <v>43604</v>
      </c>
      <c r="C1602" s="2" t="s">
        <v>510</v>
      </c>
    </row>
    <row r="1603" spans="2:3">
      <c r="B1603" s="6">
        <v>43605</v>
      </c>
      <c r="C1603" s="2" t="s">
        <v>2301</v>
      </c>
    </row>
    <row r="1604" spans="2:3">
      <c r="B1604" s="6">
        <v>43606</v>
      </c>
      <c r="C1604" s="2" t="s">
        <v>350</v>
      </c>
    </row>
    <row r="1605" spans="2:3">
      <c r="B1605" s="6">
        <v>43607</v>
      </c>
      <c r="C1605" s="2" t="s">
        <v>2302</v>
      </c>
    </row>
    <row r="1606" spans="2:3">
      <c r="B1606" s="6">
        <v>43608</v>
      </c>
      <c r="C1606" s="2" t="s">
        <v>2303</v>
      </c>
    </row>
    <row r="1607" spans="2:3">
      <c r="B1607" s="6">
        <v>43609</v>
      </c>
      <c r="C1607" s="2" t="s">
        <v>351</v>
      </c>
    </row>
    <row r="1608" spans="2:3">
      <c r="B1608" s="6">
        <v>43610</v>
      </c>
      <c r="C1608" s="2" t="s">
        <v>2304</v>
      </c>
    </row>
    <row r="1609" spans="2:3">
      <c r="B1609" s="6">
        <v>43611</v>
      </c>
      <c r="C1609" s="2" t="s">
        <v>2305</v>
      </c>
    </row>
    <row r="1610" spans="2:3">
      <c r="B1610" s="6">
        <v>43612</v>
      </c>
      <c r="C1610" s="2" t="s">
        <v>352</v>
      </c>
    </row>
    <row r="1611" spans="2:3">
      <c r="B1611" s="6">
        <v>43613</v>
      </c>
      <c r="C1611" s="2" t="s">
        <v>2306</v>
      </c>
    </row>
    <row r="1612" spans="2:3">
      <c r="B1612" s="6">
        <v>43614</v>
      </c>
      <c r="C1612" s="2" t="s">
        <v>2307</v>
      </c>
    </row>
    <row r="1613" spans="2:3">
      <c r="B1613" s="6">
        <v>43615</v>
      </c>
      <c r="C1613" s="2" t="s">
        <v>2308</v>
      </c>
    </row>
    <row r="1614" spans="2:3">
      <c r="B1614" s="6">
        <v>43616</v>
      </c>
      <c r="C1614" s="2" t="s">
        <v>2309</v>
      </c>
    </row>
    <row r="1615" spans="2:3">
      <c r="B1615" s="6">
        <v>43617</v>
      </c>
      <c r="C1615" s="2" t="s">
        <v>2310</v>
      </c>
    </row>
    <row r="1616" spans="2:3">
      <c r="B1616" s="6">
        <v>43618</v>
      </c>
      <c r="C1616" s="2" t="s">
        <v>2311</v>
      </c>
    </row>
    <row r="1617" spans="2:3">
      <c r="B1617" s="6">
        <v>43619</v>
      </c>
      <c r="C1617" s="2" t="s">
        <v>2312</v>
      </c>
    </row>
    <row r="1618" spans="2:3">
      <c r="B1618" s="6">
        <v>43620</v>
      </c>
      <c r="C1618" s="2" t="s">
        <v>2313</v>
      </c>
    </row>
    <row r="1619" spans="2:3">
      <c r="B1619" s="6">
        <v>43621</v>
      </c>
      <c r="C1619" s="2" t="s">
        <v>2314</v>
      </c>
    </row>
    <row r="1620" spans="2:3">
      <c r="B1620" s="6">
        <v>43622</v>
      </c>
      <c r="C1620" s="2" t="s">
        <v>417</v>
      </c>
    </row>
    <row r="1621" spans="2:3">
      <c r="B1621" s="6">
        <v>43623</v>
      </c>
      <c r="C1621" s="2" t="s">
        <v>2315</v>
      </c>
    </row>
    <row r="1622" spans="2:3">
      <c r="B1622" s="6">
        <v>43624</v>
      </c>
      <c r="C1622" s="2" t="s">
        <v>2316</v>
      </c>
    </row>
    <row r="1623" spans="2:3">
      <c r="B1623" s="6">
        <v>43625</v>
      </c>
      <c r="C1623" s="2" t="s">
        <v>2317</v>
      </c>
    </row>
    <row r="1624" spans="2:3">
      <c r="B1624" s="6">
        <v>43626</v>
      </c>
      <c r="C1624" s="2" t="s">
        <v>418</v>
      </c>
    </row>
    <row r="1625" spans="2:3">
      <c r="B1625" s="6">
        <v>43627</v>
      </c>
      <c r="C1625" s="2" t="s">
        <v>2318</v>
      </c>
    </row>
    <row r="1626" spans="2:3">
      <c r="B1626" s="6">
        <v>43628</v>
      </c>
      <c r="C1626" s="2" t="s">
        <v>2319</v>
      </c>
    </row>
    <row r="1627" spans="2:3">
      <c r="B1627" s="6">
        <v>43629</v>
      </c>
      <c r="C1627" s="2" t="s">
        <v>419</v>
      </c>
    </row>
    <row r="1628" spans="2:3">
      <c r="B1628" s="6">
        <v>43630</v>
      </c>
      <c r="C1628" s="2" t="s">
        <v>420</v>
      </c>
    </row>
    <row r="1629" spans="2:3">
      <c r="B1629" s="6">
        <v>43631</v>
      </c>
      <c r="C1629" s="2" t="s">
        <v>2320</v>
      </c>
    </row>
    <row r="1630" spans="2:3">
      <c r="B1630" s="6">
        <v>43632</v>
      </c>
      <c r="C1630" s="2" t="s">
        <v>2321</v>
      </c>
    </row>
    <row r="1631" spans="2:3">
      <c r="B1631" s="6">
        <v>43633</v>
      </c>
      <c r="C1631" s="2" t="s">
        <v>2322</v>
      </c>
    </row>
    <row r="1632" spans="2:3">
      <c r="B1632" s="6">
        <v>43634</v>
      </c>
      <c r="C1632" s="2" t="s">
        <v>2323</v>
      </c>
    </row>
    <row r="1633" spans="2:3">
      <c r="B1633" s="6">
        <v>43635</v>
      </c>
      <c r="C1633" s="2" t="s">
        <v>2324</v>
      </c>
    </row>
    <row r="1634" spans="2:3">
      <c r="B1634" s="6">
        <v>43636</v>
      </c>
      <c r="C1634" s="2" t="s">
        <v>2325</v>
      </c>
    </row>
    <row r="1635" spans="2:3">
      <c r="B1635" s="6">
        <v>43637</v>
      </c>
      <c r="C1635" s="2" t="s">
        <v>2326</v>
      </c>
    </row>
    <row r="1636" spans="2:3">
      <c r="B1636" s="6">
        <v>43638</v>
      </c>
      <c r="C1636" s="2" t="s">
        <v>2327</v>
      </c>
    </row>
    <row r="1637" spans="2:3">
      <c r="B1637" s="6">
        <v>43639</v>
      </c>
      <c r="C1637" s="2" t="s">
        <v>2328</v>
      </c>
    </row>
    <row r="1638" spans="2:3">
      <c r="B1638" s="6">
        <v>43640</v>
      </c>
      <c r="C1638" s="2" t="s">
        <v>2329</v>
      </c>
    </row>
    <row r="1639" spans="2:3">
      <c r="B1639" s="6">
        <v>43641</v>
      </c>
      <c r="C1639" s="2" t="s">
        <v>2330</v>
      </c>
    </row>
    <row r="1640" spans="2:3">
      <c r="B1640" s="6">
        <v>43642</v>
      </c>
      <c r="C1640" s="2" t="s">
        <v>2331</v>
      </c>
    </row>
    <row r="1641" spans="2:3">
      <c r="B1641" s="6">
        <v>43643</v>
      </c>
      <c r="C1641" s="2" t="s">
        <v>2332</v>
      </c>
    </row>
    <row r="1642" spans="2:3">
      <c r="B1642" s="6">
        <v>43644</v>
      </c>
      <c r="C1642" s="2" t="s">
        <v>2333</v>
      </c>
    </row>
    <row r="1643" spans="2:3">
      <c r="B1643" s="6">
        <v>43645</v>
      </c>
      <c r="C1643" s="2" t="s">
        <v>2334</v>
      </c>
    </row>
    <row r="1644" spans="2:3">
      <c r="B1644" s="6">
        <v>43646</v>
      </c>
      <c r="C1644" s="2" t="s">
        <v>2335</v>
      </c>
    </row>
    <row r="1645" spans="2:3">
      <c r="B1645" s="6">
        <v>43647</v>
      </c>
      <c r="C1645" s="2" t="s">
        <v>2336</v>
      </c>
    </row>
    <row r="1646" spans="2:3">
      <c r="B1646" s="6">
        <v>43648</v>
      </c>
      <c r="C1646" s="2" t="s">
        <v>615</v>
      </c>
    </row>
    <row r="1647" spans="2:3">
      <c r="B1647" s="6">
        <v>43649</v>
      </c>
      <c r="C1647" s="2" t="s">
        <v>616</v>
      </c>
    </row>
    <row r="1648" spans="2:3">
      <c r="B1648" s="6">
        <v>43650</v>
      </c>
      <c r="C1648" s="2" t="s">
        <v>405</v>
      </c>
    </row>
    <row r="1649" spans="2:3">
      <c r="B1649" s="6">
        <v>43651</v>
      </c>
      <c r="C1649" s="2" t="s">
        <v>406</v>
      </c>
    </row>
    <row r="1650" spans="2:3">
      <c r="B1650" s="6">
        <v>43652</v>
      </c>
      <c r="C1650" s="2" t="s">
        <v>2337</v>
      </c>
    </row>
    <row r="1651" spans="2:3">
      <c r="B1651" s="6">
        <v>43653</v>
      </c>
      <c r="C1651" s="2" t="s">
        <v>407</v>
      </c>
    </row>
    <row r="1652" spans="2:3">
      <c r="B1652" s="6">
        <v>43654</v>
      </c>
      <c r="C1652" s="2" t="s">
        <v>2338</v>
      </c>
    </row>
    <row r="1653" spans="2:3">
      <c r="B1653" s="6">
        <v>43655</v>
      </c>
      <c r="C1653" s="2" t="s">
        <v>408</v>
      </c>
    </row>
    <row r="1654" spans="2:3">
      <c r="B1654" s="6">
        <v>43656</v>
      </c>
      <c r="C1654" s="2" t="s">
        <v>2339</v>
      </c>
    </row>
    <row r="1655" spans="2:3">
      <c r="B1655" s="6">
        <v>43657</v>
      </c>
      <c r="C1655" s="2" t="s">
        <v>2340</v>
      </c>
    </row>
    <row r="1656" spans="2:3">
      <c r="B1656" s="6">
        <v>43658</v>
      </c>
      <c r="C1656" s="2" t="s">
        <v>2341</v>
      </c>
    </row>
    <row r="1657" spans="2:3">
      <c r="B1657" s="6">
        <v>43659</v>
      </c>
      <c r="C1657" s="2" t="s">
        <v>2342</v>
      </c>
    </row>
    <row r="1658" spans="2:3">
      <c r="B1658" s="6">
        <v>43660</v>
      </c>
      <c r="C1658" s="2" t="s">
        <v>2343</v>
      </c>
    </row>
    <row r="1659" spans="2:3">
      <c r="B1659" s="6">
        <v>43661</v>
      </c>
      <c r="C1659" s="2" t="s">
        <v>2344</v>
      </c>
    </row>
    <row r="1660" spans="2:3">
      <c r="B1660" s="6">
        <v>43662</v>
      </c>
      <c r="C1660" s="2" t="s">
        <v>2345</v>
      </c>
    </row>
    <row r="1661" spans="2:3">
      <c r="B1661" s="6">
        <v>43663</v>
      </c>
      <c r="C1661" s="2" t="s">
        <v>2346</v>
      </c>
    </row>
    <row r="1662" spans="2:3">
      <c r="B1662" s="6">
        <v>43664</v>
      </c>
      <c r="C1662" s="2" t="s">
        <v>2347</v>
      </c>
    </row>
    <row r="1663" spans="2:3">
      <c r="B1663" s="6">
        <v>43665</v>
      </c>
      <c r="C1663" s="2" t="s">
        <v>2348</v>
      </c>
    </row>
    <row r="1664" spans="2:3">
      <c r="B1664" s="6">
        <v>43666</v>
      </c>
      <c r="C1664" s="2" t="s">
        <v>2349</v>
      </c>
    </row>
    <row r="1665" spans="2:3">
      <c r="B1665" s="6">
        <v>43667</v>
      </c>
      <c r="C1665" s="2" t="s">
        <v>2350</v>
      </c>
    </row>
    <row r="1666" spans="2:3">
      <c r="B1666" s="6">
        <v>43668</v>
      </c>
      <c r="C1666" s="2" t="s">
        <v>2351</v>
      </c>
    </row>
    <row r="1667" spans="2:3">
      <c r="B1667" s="6">
        <v>43669</v>
      </c>
      <c r="C1667" s="2" t="s">
        <v>2352</v>
      </c>
    </row>
    <row r="1668" spans="2:3">
      <c r="B1668" s="6">
        <v>43670</v>
      </c>
      <c r="C1668" s="2" t="s">
        <v>2353</v>
      </c>
    </row>
    <row r="1669" spans="2:3">
      <c r="B1669" s="6">
        <v>43671</v>
      </c>
      <c r="C1669" s="2" t="s">
        <v>2354</v>
      </c>
    </row>
    <row r="1670" spans="2:3">
      <c r="B1670" s="6">
        <v>43672</v>
      </c>
      <c r="C1670" s="2" t="s">
        <v>2355</v>
      </c>
    </row>
    <row r="1671" spans="2:3">
      <c r="B1671" s="6">
        <v>43673</v>
      </c>
      <c r="C1671" s="2" t="s">
        <v>2356</v>
      </c>
    </row>
    <row r="1672" spans="2:3">
      <c r="B1672" s="6">
        <v>43674</v>
      </c>
      <c r="C1672" s="2" t="s">
        <v>2357</v>
      </c>
    </row>
    <row r="1673" spans="2:3">
      <c r="B1673" s="6">
        <v>43675</v>
      </c>
      <c r="C1673" s="2" t="s">
        <v>2358</v>
      </c>
    </row>
    <row r="1674" spans="2:3">
      <c r="B1674" s="6">
        <v>43676</v>
      </c>
      <c r="C1674" s="2" t="s">
        <v>2359</v>
      </c>
    </row>
    <row r="1675" spans="2:3">
      <c r="B1675" s="6">
        <v>43677</v>
      </c>
      <c r="C1675" s="2" t="s">
        <v>2360</v>
      </c>
    </row>
    <row r="1676" spans="2:3">
      <c r="B1676" s="6">
        <v>43678</v>
      </c>
      <c r="C1676" s="2" t="s">
        <v>2361</v>
      </c>
    </row>
    <row r="1677" spans="2:3">
      <c r="B1677" s="6">
        <v>43679</v>
      </c>
      <c r="C1677" s="2" t="s">
        <v>2362</v>
      </c>
    </row>
    <row r="1678" spans="2:3">
      <c r="B1678" s="6">
        <v>43680</v>
      </c>
      <c r="C1678" s="2" t="s">
        <v>2363</v>
      </c>
    </row>
    <row r="1679" spans="2:3">
      <c r="B1679" s="6">
        <v>43681</v>
      </c>
      <c r="C1679" s="2" t="s">
        <v>2364</v>
      </c>
    </row>
    <row r="1680" spans="2:3">
      <c r="B1680" s="6">
        <v>43682</v>
      </c>
      <c r="C1680" s="2" t="s">
        <v>2365</v>
      </c>
    </row>
    <row r="1681" spans="2:3">
      <c r="B1681" s="6">
        <v>43683</v>
      </c>
      <c r="C1681" s="2" t="s">
        <v>2366</v>
      </c>
    </row>
    <row r="1682" spans="2:3">
      <c r="B1682" s="6">
        <v>43684</v>
      </c>
      <c r="C1682" s="2" t="s">
        <v>2367</v>
      </c>
    </row>
    <row r="1683" spans="2:3">
      <c r="B1683" s="6">
        <v>43685</v>
      </c>
      <c r="C1683" s="2" t="s">
        <v>2368</v>
      </c>
    </row>
    <row r="1684" spans="2:3">
      <c r="B1684" s="6">
        <v>43686</v>
      </c>
      <c r="C1684" s="2" t="s">
        <v>2369</v>
      </c>
    </row>
    <row r="1685" spans="2:3">
      <c r="B1685" s="6">
        <v>43687</v>
      </c>
      <c r="C1685" s="2" t="s">
        <v>2370</v>
      </c>
    </row>
    <row r="1686" spans="2:3">
      <c r="B1686" s="6">
        <v>43688</v>
      </c>
      <c r="C1686" s="2" t="s">
        <v>2371</v>
      </c>
    </row>
    <row r="1687" spans="2:3">
      <c r="B1687" s="6">
        <v>43689</v>
      </c>
      <c r="C1687" s="2" t="s">
        <v>2372</v>
      </c>
    </row>
    <row r="1688" spans="2:3">
      <c r="B1688" s="6">
        <v>43690</v>
      </c>
      <c r="C1688" s="2" t="s">
        <v>2373</v>
      </c>
    </row>
    <row r="1689" spans="2:3">
      <c r="B1689" s="6">
        <v>43691</v>
      </c>
      <c r="C1689" s="2" t="s">
        <v>2374</v>
      </c>
    </row>
    <row r="1690" spans="2:3">
      <c r="B1690" s="6">
        <v>43692</v>
      </c>
      <c r="C1690" s="2" t="s">
        <v>2375</v>
      </c>
    </row>
    <row r="1691" spans="2:3">
      <c r="B1691" s="6">
        <v>43693</v>
      </c>
      <c r="C1691" s="2" t="s">
        <v>2376</v>
      </c>
    </row>
    <row r="1692" spans="2:3">
      <c r="B1692" s="6">
        <v>43694</v>
      </c>
      <c r="C1692" s="2" t="s">
        <v>2377</v>
      </c>
    </row>
    <row r="1693" spans="2:3">
      <c r="B1693" s="6">
        <v>43695</v>
      </c>
      <c r="C1693" s="2" t="s">
        <v>2378</v>
      </c>
    </row>
    <row r="1694" spans="2:3">
      <c r="B1694" s="6">
        <v>43696</v>
      </c>
      <c r="C1694" s="2" t="s">
        <v>2379</v>
      </c>
    </row>
    <row r="1695" spans="2:3">
      <c r="B1695" s="6">
        <v>43697</v>
      </c>
      <c r="C1695" s="2" t="s">
        <v>763</v>
      </c>
    </row>
    <row r="1696" spans="2:3">
      <c r="B1696" s="6">
        <v>43698</v>
      </c>
      <c r="C1696" s="2" t="s">
        <v>2380</v>
      </c>
    </row>
    <row r="1697" spans="2:3">
      <c r="B1697" s="6">
        <v>43699</v>
      </c>
      <c r="C1697" s="2" t="s">
        <v>764</v>
      </c>
    </row>
    <row r="1698" spans="2:3">
      <c r="B1698" s="6">
        <v>43700</v>
      </c>
      <c r="C1698" s="2" t="s">
        <v>486</v>
      </c>
    </row>
    <row r="1699" spans="2:3">
      <c r="B1699" s="6">
        <v>43701</v>
      </c>
      <c r="C1699" s="2" t="s">
        <v>765</v>
      </c>
    </row>
    <row r="1700" spans="2:3">
      <c r="B1700" s="6">
        <v>43702</v>
      </c>
      <c r="C1700" s="2" t="s">
        <v>2381</v>
      </c>
    </row>
    <row r="1701" spans="2:3">
      <c r="B1701" s="6">
        <v>43703</v>
      </c>
      <c r="C1701" s="2" t="s">
        <v>487</v>
      </c>
    </row>
    <row r="1702" spans="2:3">
      <c r="B1702" s="6">
        <v>43704</v>
      </c>
      <c r="C1702" s="2" t="s">
        <v>766</v>
      </c>
    </row>
    <row r="1703" spans="2:3">
      <c r="B1703" s="6">
        <v>43705</v>
      </c>
      <c r="C1703" s="2" t="s">
        <v>2382</v>
      </c>
    </row>
    <row r="1704" spans="2:3">
      <c r="B1704" s="6">
        <v>43706</v>
      </c>
      <c r="C1704" s="2" t="s">
        <v>306</v>
      </c>
    </row>
    <row r="1705" spans="2:3">
      <c r="B1705" s="6">
        <v>43707</v>
      </c>
      <c r="C1705" s="2" t="s">
        <v>307</v>
      </c>
    </row>
    <row r="1706" spans="2:3">
      <c r="B1706" s="6">
        <v>43708</v>
      </c>
      <c r="C1706" s="2" t="s">
        <v>2383</v>
      </c>
    </row>
    <row r="1707" spans="2:3">
      <c r="B1707" s="6">
        <v>43709</v>
      </c>
      <c r="C1707" s="2" t="s">
        <v>488</v>
      </c>
    </row>
    <row r="1708" spans="2:3">
      <c r="B1708" s="6">
        <v>43710</v>
      </c>
      <c r="C1708" s="2" t="s">
        <v>2384</v>
      </c>
    </row>
    <row r="1709" spans="2:3">
      <c r="B1709" s="6">
        <v>43711</v>
      </c>
      <c r="C1709" s="2" t="s">
        <v>308</v>
      </c>
    </row>
    <row r="1710" spans="2:3">
      <c r="B1710" s="6">
        <v>43712</v>
      </c>
      <c r="C1710" s="2" t="s">
        <v>2385</v>
      </c>
    </row>
    <row r="1711" spans="2:3">
      <c r="B1711" s="6">
        <v>43713</v>
      </c>
      <c r="C1711" s="2" t="s">
        <v>309</v>
      </c>
    </row>
    <row r="1712" spans="2:3">
      <c r="B1712" s="6">
        <v>43714</v>
      </c>
      <c r="C1712" s="2" t="s">
        <v>2386</v>
      </c>
    </row>
    <row r="1713" spans="2:3">
      <c r="B1713" s="6">
        <v>43715</v>
      </c>
      <c r="C1713" s="2" t="s">
        <v>2387</v>
      </c>
    </row>
    <row r="1714" spans="2:3">
      <c r="B1714" s="6">
        <v>43716</v>
      </c>
      <c r="C1714" s="2" t="s">
        <v>2388</v>
      </c>
    </row>
    <row r="1715" spans="2:3">
      <c r="B1715" s="6">
        <v>43717</v>
      </c>
      <c r="C1715" s="2" t="s">
        <v>2389</v>
      </c>
    </row>
    <row r="1716" spans="2:3">
      <c r="B1716" s="6">
        <v>43718</v>
      </c>
      <c r="C1716" s="2" t="s">
        <v>2390</v>
      </c>
    </row>
    <row r="1717" spans="2:3">
      <c r="B1717" s="6">
        <v>43719</v>
      </c>
      <c r="C1717" s="2" t="s">
        <v>250</v>
      </c>
    </row>
    <row r="1718" spans="2:3">
      <c r="B1718" s="6">
        <v>43720</v>
      </c>
      <c r="C1718" s="2" t="s">
        <v>393</v>
      </c>
    </row>
    <row r="1719" spans="2:3">
      <c r="B1719" s="6">
        <v>43721</v>
      </c>
      <c r="C1719" s="2" t="s">
        <v>394</v>
      </c>
    </row>
    <row r="1720" spans="2:3">
      <c r="B1720" s="6">
        <v>43722</v>
      </c>
      <c r="C1720" s="2" t="s">
        <v>395</v>
      </c>
    </row>
    <row r="1721" spans="2:3">
      <c r="B1721" s="6">
        <v>43723</v>
      </c>
      <c r="C1721" s="2" t="s">
        <v>251</v>
      </c>
    </row>
    <row r="1722" spans="2:3">
      <c r="B1722" s="6">
        <v>43724</v>
      </c>
      <c r="C1722" s="2" t="s">
        <v>252</v>
      </c>
    </row>
    <row r="1723" spans="2:3">
      <c r="B1723" s="6">
        <v>43725</v>
      </c>
      <c r="C1723" s="2" t="s">
        <v>2391</v>
      </c>
    </row>
    <row r="1724" spans="2:3">
      <c r="B1724" s="6">
        <v>43726</v>
      </c>
      <c r="C1724" s="2" t="s">
        <v>396</v>
      </c>
    </row>
    <row r="1725" spans="2:3">
      <c r="B1725" s="6">
        <v>43727</v>
      </c>
      <c r="C1725" s="2" t="s">
        <v>744</v>
      </c>
    </row>
    <row r="1726" spans="2:3">
      <c r="B1726" s="6">
        <v>43728</v>
      </c>
      <c r="C1726" s="2" t="s">
        <v>253</v>
      </c>
    </row>
    <row r="1727" spans="2:3">
      <c r="B1727" s="6">
        <v>43729</v>
      </c>
      <c r="C1727" s="2" t="s">
        <v>503</v>
      </c>
    </row>
    <row r="1728" spans="2:3">
      <c r="B1728" s="6">
        <v>43730</v>
      </c>
      <c r="C1728" s="2" t="s">
        <v>2392</v>
      </c>
    </row>
    <row r="1729" spans="2:3">
      <c r="B1729" s="6">
        <v>43731</v>
      </c>
      <c r="C1729" s="2" t="s">
        <v>745</v>
      </c>
    </row>
    <row r="1730" spans="2:3">
      <c r="B1730" s="6">
        <v>43732</v>
      </c>
      <c r="C1730" s="2" t="s">
        <v>2393</v>
      </c>
    </row>
    <row r="1731" spans="2:3">
      <c r="B1731" s="6">
        <v>43733</v>
      </c>
      <c r="C1731" s="2" t="s">
        <v>504</v>
      </c>
    </row>
    <row r="1732" spans="2:3">
      <c r="B1732" s="6">
        <v>43734</v>
      </c>
      <c r="C1732" s="2" t="s">
        <v>2394</v>
      </c>
    </row>
    <row r="1733" spans="2:3">
      <c r="B1733" s="6">
        <v>43735</v>
      </c>
      <c r="C1733" s="2" t="s">
        <v>2395</v>
      </c>
    </row>
    <row r="1734" spans="2:3">
      <c r="B1734" s="6">
        <v>43736</v>
      </c>
      <c r="C1734" s="2" t="s">
        <v>505</v>
      </c>
    </row>
    <row r="1735" spans="2:3">
      <c r="B1735" s="6">
        <v>43737</v>
      </c>
      <c r="C1735" s="2" t="s">
        <v>2396</v>
      </c>
    </row>
    <row r="1736" spans="2:3">
      <c r="B1736" s="6">
        <v>43738</v>
      </c>
      <c r="C1736" s="2" t="s">
        <v>2397</v>
      </c>
    </row>
    <row r="1737" spans="2:3">
      <c r="B1737" s="6">
        <v>43739</v>
      </c>
      <c r="C1737" s="2" t="s">
        <v>2398</v>
      </c>
    </row>
    <row r="1738" spans="2:3">
      <c r="B1738" s="6">
        <v>43740</v>
      </c>
      <c r="C1738" s="2" t="s">
        <v>506</v>
      </c>
    </row>
    <row r="1739" spans="2:3">
      <c r="B1739" s="6">
        <v>43741</v>
      </c>
      <c r="C1739" s="2" t="s">
        <v>2399</v>
      </c>
    </row>
    <row r="1740" spans="2:3">
      <c r="B1740" s="6">
        <v>43742</v>
      </c>
      <c r="C1740" s="2" t="s">
        <v>2400</v>
      </c>
    </row>
    <row r="1741" spans="2:3">
      <c r="B1741" s="6">
        <v>43743</v>
      </c>
      <c r="C1741" s="2" t="s">
        <v>2401</v>
      </c>
    </row>
    <row r="1742" spans="2:3">
      <c r="B1742" s="6">
        <v>43744</v>
      </c>
      <c r="C1742" s="2" t="s">
        <v>2402</v>
      </c>
    </row>
    <row r="1743" spans="2:3">
      <c r="B1743" s="6">
        <v>43745</v>
      </c>
      <c r="C1743" s="2" t="s">
        <v>2403</v>
      </c>
    </row>
    <row r="1744" spans="2:3">
      <c r="B1744" s="6">
        <v>43746</v>
      </c>
      <c r="C1744" s="2" t="s">
        <v>2404</v>
      </c>
    </row>
    <row r="1745" spans="2:3">
      <c r="B1745" s="6">
        <v>43747</v>
      </c>
      <c r="C1745" s="2" t="s">
        <v>2405</v>
      </c>
    </row>
    <row r="1746" spans="2:3">
      <c r="B1746" s="6">
        <v>43748</v>
      </c>
      <c r="C1746" s="2" t="s">
        <v>2406</v>
      </c>
    </row>
    <row r="1747" spans="2:3">
      <c r="B1747" s="6">
        <v>43749</v>
      </c>
      <c r="C1747" s="2" t="s">
        <v>2407</v>
      </c>
    </row>
    <row r="1748" spans="2:3">
      <c r="B1748" s="6">
        <v>43750</v>
      </c>
      <c r="C1748" s="2" t="s">
        <v>2408</v>
      </c>
    </row>
    <row r="1749" spans="2:3">
      <c r="B1749" s="6">
        <v>43751</v>
      </c>
      <c r="C1749" s="2" t="s">
        <v>2409</v>
      </c>
    </row>
    <row r="1750" spans="2:3">
      <c r="B1750" s="6">
        <v>43752</v>
      </c>
      <c r="C1750" s="2" t="s">
        <v>2410</v>
      </c>
    </row>
    <row r="1751" spans="2:3">
      <c r="B1751" s="6">
        <v>43753</v>
      </c>
      <c r="C1751" s="2" t="s">
        <v>2411</v>
      </c>
    </row>
    <row r="1752" spans="2:3">
      <c r="B1752" s="6">
        <v>43754</v>
      </c>
      <c r="C1752" s="2" t="s">
        <v>2412</v>
      </c>
    </row>
    <row r="1753" spans="2:3">
      <c r="B1753" s="6">
        <v>43755</v>
      </c>
      <c r="C1753" s="2" t="s">
        <v>2413</v>
      </c>
    </row>
    <row r="1754" spans="2:3">
      <c r="B1754" s="6">
        <v>43756</v>
      </c>
      <c r="C1754" s="2" t="s">
        <v>2414</v>
      </c>
    </row>
    <row r="1755" spans="2:3">
      <c r="B1755" s="6">
        <v>43757</v>
      </c>
      <c r="C1755" s="2" t="s">
        <v>2415</v>
      </c>
    </row>
    <row r="1756" spans="2:3">
      <c r="B1756" s="6">
        <v>43758</v>
      </c>
      <c r="C1756" s="2" t="s">
        <v>2416</v>
      </c>
    </row>
    <row r="1757" spans="2:3">
      <c r="B1757" s="6">
        <v>43759</v>
      </c>
      <c r="C1757" s="2" t="s">
        <v>2417</v>
      </c>
    </row>
    <row r="1758" spans="2:3">
      <c r="B1758" s="6">
        <v>43760</v>
      </c>
      <c r="C1758" s="2" t="s">
        <v>2418</v>
      </c>
    </row>
    <row r="1759" spans="2:3">
      <c r="B1759" s="6">
        <v>43761</v>
      </c>
      <c r="C1759" s="2" t="s">
        <v>2419</v>
      </c>
    </row>
    <row r="1760" spans="2:3">
      <c r="B1760" s="6">
        <v>43762</v>
      </c>
      <c r="C1760" s="2" t="s">
        <v>2420</v>
      </c>
    </row>
    <row r="1761" spans="2:3">
      <c r="B1761" s="6">
        <v>43763</v>
      </c>
      <c r="C1761" s="2" t="s">
        <v>2421</v>
      </c>
    </row>
    <row r="1762" spans="2:3">
      <c r="B1762" s="6">
        <v>43764</v>
      </c>
      <c r="C1762" s="2" t="s">
        <v>2422</v>
      </c>
    </row>
    <row r="1763" spans="2:3">
      <c r="B1763" s="6">
        <v>43765</v>
      </c>
      <c r="C1763" s="2" t="s">
        <v>2423</v>
      </c>
    </row>
    <row r="1764" spans="2:3">
      <c r="B1764" s="6">
        <v>43766</v>
      </c>
      <c r="C1764" s="2" t="s">
        <v>2424</v>
      </c>
    </row>
    <row r="1765" spans="2:3">
      <c r="B1765" s="6">
        <v>43767</v>
      </c>
      <c r="C1765" s="2" t="s">
        <v>2425</v>
      </c>
    </row>
    <row r="1766" spans="2:3">
      <c r="B1766" s="6">
        <v>43768</v>
      </c>
      <c r="C1766" s="2" t="s">
        <v>2426</v>
      </c>
    </row>
    <row r="1767" spans="2:3">
      <c r="B1767" s="6">
        <v>43769</v>
      </c>
      <c r="C1767" s="2" t="s">
        <v>2427</v>
      </c>
    </row>
    <row r="1768" spans="2:3">
      <c r="B1768" s="6">
        <v>43770</v>
      </c>
      <c r="C1768" s="2" t="s">
        <v>2428</v>
      </c>
    </row>
    <row r="1769" spans="2:3">
      <c r="B1769" s="6">
        <v>43771</v>
      </c>
      <c r="C1769" s="2" t="s">
        <v>2429</v>
      </c>
    </row>
    <row r="1770" spans="2:3">
      <c r="B1770" s="6">
        <v>43772</v>
      </c>
      <c r="C1770" s="2" t="s">
        <v>2430</v>
      </c>
    </row>
    <row r="1771" spans="2:3">
      <c r="B1771" s="6">
        <v>43773</v>
      </c>
      <c r="C1771" s="2" t="s">
        <v>2431</v>
      </c>
    </row>
    <row r="1772" spans="2:3">
      <c r="B1772" s="6">
        <v>43774</v>
      </c>
      <c r="C1772" s="2" t="s">
        <v>2432</v>
      </c>
    </row>
    <row r="1773" spans="2:3">
      <c r="B1773" s="6">
        <v>43775</v>
      </c>
      <c r="C1773" s="2" t="s">
        <v>2433</v>
      </c>
    </row>
    <row r="1774" spans="2:3">
      <c r="B1774" s="6">
        <v>43776</v>
      </c>
      <c r="C1774" s="2" t="s">
        <v>2434</v>
      </c>
    </row>
    <row r="1775" spans="2:3">
      <c r="B1775" s="6">
        <v>43777</v>
      </c>
      <c r="C1775" s="2" t="s">
        <v>2435</v>
      </c>
    </row>
    <row r="1776" spans="2:3">
      <c r="B1776" s="6">
        <v>43778</v>
      </c>
      <c r="C1776" s="2" t="s">
        <v>2436</v>
      </c>
    </row>
    <row r="1777" spans="2:3">
      <c r="B1777" s="6">
        <v>43779</v>
      </c>
      <c r="C1777" s="2" t="s">
        <v>2437</v>
      </c>
    </row>
    <row r="1778" spans="2:3">
      <c r="B1778" s="6">
        <v>43780</v>
      </c>
      <c r="C1778" s="2" t="s">
        <v>2438</v>
      </c>
    </row>
    <row r="1779" spans="2:3">
      <c r="B1779" s="6">
        <v>43781</v>
      </c>
      <c r="C1779" s="2" t="s">
        <v>2439</v>
      </c>
    </row>
    <row r="1780" spans="2:3">
      <c r="B1780" s="6">
        <v>43782</v>
      </c>
      <c r="C1780" s="2" t="s">
        <v>2440</v>
      </c>
    </row>
    <row r="1781" spans="2:3">
      <c r="B1781" s="6">
        <v>43783</v>
      </c>
      <c r="C1781" s="2" t="s">
        <v>2441</v>
      </c>
    </row>
    <row r="1782" spans="2:3">
      <c r="B1782" s="6">
        <v>43784</v>
      </c>
      <c r="C1782" s="2" t="s">
        <v>2442</v>
      </c>
    </row>
    <row r="1783" spans="2:3">
      <c r="B1783" s="6">
        <v>43785</v>
      </c>
      <c r="C1783" s="2" t="s">
        <v>2443</v>
      </c>
    </row>
    <row r="1784" spans="2:3">
      <c r="B1784" s="6">
        <v>43786</v>
      </c>
      <c r="C1784" s="2" t="s">
        <v>2444</v>
      </c>
    </row>
    <row r="1785" spans="2:3">
      <c r="B1785" s="6">
        <v>43787</v>
      </c>
      <c r="C1785" s="2" t="s">
        <v>2445</v>
      </c>
    </row>
    <row r="1786" spans="2:3">
      <c r="B1786" s="6">
        <v>43788</v>
      </c>
      <c r="C1786" s="2" t="s">
        <v>2446</v>
      </c>
    </row>
    <row r="1787" spans="2:3">
      <c r="B1787" s="6">
        <v>43789</v>
      </c>
      <c r="C1787" s="2" t="s">
        <v>2447</v>
      </c>
    </row>
    <row r="1788" spans="2:3">
      <c r="B1788" s="6">
        <v>43790</v>
      </c>
      <c r="C1788" s="2" t="s">
        <v>474</v>
      </c>
    </row>
    <row r="1789" spans="2:3">
      <c r="B1789" s="6">
        <v>43791</v>
      </c>
      <c r="C1789" s="2" t="s">
        <v>2448</v>
      </c>
    </row>
    <row r="1790" spans="2:3">
      <c r="B1790" s="6">
        <v>43792</v>
      </c>
      <c r="C1790" s="2" t="s">
        <v>2449</v>
      </c>
    </row>
    <row r="1791" spans="2:3">
      <c r="B1791" s="6">
        <v>43793</v>
      </c>
      <c r="C1791" s="2" t="s">
        <v>475</v>
      </c>
    </row>
    <row r="1792" spans="2:3">
      <c r="B1792" s="6">
        <v>43794</v>
      </c>
      <c r="C1792" s="2" t="s">
        <v>476</v>
      </c>
    </row>
    <row r="1793" spans="2:3">
      <c r="B1793" s="6">
        <v>43795</v>
      </c>
      <c r="C1793" s="2" t="s">
        <v>2450</v>
      </c>
    </row>
    <row r="1794" spans="2:3">
      <c r="B1794" s="6">
        <v>43796</v>
      </c>
      <c r="C1794" s="2" t="s">
        <v>2451</v>
      </c>
    </row>
    <row r="1795" spans="2:3">
      <c r="B1795" s="6">
        <v>43797</v>
      </c>
      <c r="C1795" s="2" t="s">
        <v>2452</v>
      </c>
    </row>
    <row r="1796" spans="2:3">
      <c r="B1796" s="6">
        <v>43798</v>
      </c>
      <c r="C1796" s="2" t="s">
        <v>477</v>
      </c>
    </row>
    <row r="1797" spans="2:3">
      <c r="B1797" s="6">
        <v>43799</v>
      </c>
      <c r="C1797" s="2" t="s">
        <v>698</v>
      </c>
    </row>
    <row r="1798" spans="2:3">
      <c r="B1798" s="6">
        <v>43800</v>
      </c>
      <c r="C1798" s="2" t="s">
        <v>699</v>
      </c>
    </row>
    <row r="1799" spans="2:3">
      <c r="B1799" s="6">
        <v>43801</v>
      </c>
      <c r="C1799" s="2" t="s">
        <v>700</v>
      </c>
    </row>
    <row r="1800" spans="2:3">
      <c r="B1800" s="6">
        <v>43802</v>
      </c>
      <c r="C1800" s="2" t="s">
        <v>2453</v>
      </c>
    </row>
    <row r="1801" spans="2:3">
      <c r="B1801" s="6">
        <v>43803</v>
      </c>
      <c r="C1801" s="2" t="s">
        <v>2454</v>
      </c>
    </row>
    <row r="1802" spans="2:3">
      <c r="B1802" s="6">
        <v>43804</v>
      </c>
      <c r="C1802" s="2" t="s">
        <v>2455</v>
      </c>
    </row>
    <row r="1803" spans="2:3">
      <c r="B1803" s="6">
        <v>43805</v>
      </c>
      <c r="C1803" s="2" t="s">
        <v>270</v>
      </c>
    </row>
    <row r="1804" spans="2:3">
      <c r="B1804" s="6">
        <v>43806</v>
      </c>
      <c r="C1804" s="2" t="s">
        <v>2456</v>
      </c>
    </row>
    <row r="1805" spans="2:3">
      <c r="B1805" s="6">
        <v>43807</v>
      </c>
      <c r="C1805" s="2" t="s">
        <v>2457</v>
      </c>
    </row>
    <row r="1806" spans="2:3">
      <c r="B1806" s="6">
        <v>43808</v>
      </c>
      <c r="C1806" s="2" t="s">
        <v>271</v>
      </c>
    </row>
    <row r="1807" spans="2:3">
      <c r="B1807" s="6">
        <v>43809</v>
      </c>
      <c r="C1807" s="2" t="s">
        <v>353</v>
      </c>
    </row>
    <row r="1808" spans="2:3">
      <c r="B1808" s="6">
        <v>43810</v>
      </c>
      <c r="C1808" s="2" t="s">
        <v>272</v>
      </c>
    </row>
    <row r="1809" spans="2:3">
      <c r="B1809" s="6">
        <v>43811</v>
      </c>
      <c r="C1809" s="2" t="s">
        <v>2458</v>
      </c>
    </row>
    <row r="1810" spans="2:3">
      <c r="B1810" s="6">
        <v>43812</v>
      </c>
      <c r="C1810" s="2" t="s">
        <v>2459</v>
      </c>
    </row>
    <row r="1811" spans="2:3">
      <c r="B1811" s="6">
        <v>43813</v>
      </c>
      <c r="C1811" s="2" t="s">
        <v>354</v>
      </c>
    </row>
    <row r="1812" spans="2:3">
      <c r="B1812" s="6">
        <v>43814</v>
      </c>
      <c r="C1812" s="2" t="s">
        <v>273</v>
      </c>
    </row>
    <row r="1813" spans="2:3">
      <c r="B1813" s="6">
        <v>43815</v>
      </c>
      <c r="C1813" s="2" t="s">
        <v>355</v>
      </c>
    </row>
    <row r="1814" spans="2:3">
      <c r="B1814" s="6">
        <v>43816</v>
      </c>
      <c r="C1814" s="2" t="s">
        <v>356</v>
      </c>
    </row>
    <row r="1815" spans="2:3">
      <c r="B1815" s="6">
        <v>43817</v>
      </c>
      <c r="C1815" s="2" t="s">
        <v>2460</v>
      </c>
    </row>
    <row r="1816" spans="2:3">
      <c r="B1816" s="6">
        <v>43818</v>
      </c>
      <c r="C1816" s="2" t="s">
        <v>2461</v>
      </c>
    </row>
    <row r="1817" spans="2:3">
      <c r="B1817" s="6">
        <v>43819</v>
      </c>
      <c r="C1817" s="2" t="s">
        <v>2462</v>
      </c>
    </row>
    <row r="1818" spans="2:3">
      <c r="B1818" s="6">
        <v>43820</v>
      </c>
      <c r="C1818" s="2" t="s">
        <v>2463</v>
      </c>
    </row>
    <row r="1819" spans="2:3">
      <c r="B1819" s="6">
        <v>43821</v>
      </c>
      <c r="C1819" s="2" t="s">
        <v>2464</v>
      </c>
    </row>
    <row r="1820" spans="2:3">
      <c r="B1820" s="6">
        <v>43822</v>
      </c>
      <c r="C1820" s="2" t="s">
        <v>2465</v>
      </c>
    </row>
    <row r="1821" spans="2:3">
      <c r="B1821" s="6">
        <v>43823</v>
      </c>
      <c r="C1821" s="2" t="s">
        <v>2466</v>
      </c>
    </row>
    <row r="1822" spans="2:3">
      <c r="B1822" s="6">
        <v>43824</v>
      </c>
      <c r="C1822" s="2" t="s">
        <v>2467</v>
      </c>
    </row>
    <row r="1823" spans="2:3">
      <c r="B1823" s="6">
        <v>43825</v>
      </c>
      <c r="C1823" s="2" t="s">
        <v>2468</v>
      </c>
    </row>
    <row r="1824" spans="2:3">
      <c r="B1824" s="6">
        <v>43826</v>
      </c>
      <c r="C1824" s="2" t="s">
        <v>2469</v>
      </c>
    </row>
    <row r="1825" spans="2:3">
      <c r="B1825" s="6">
        <v>43827</v>
      </c>
      <c r="C1825" s="2" t="s">
        <v>2470</v>
      </c>
    </row>
    <row r="1826" spans="2:3">
      <c r="B1826" s="6">
        <v>43828</v>
      </c>
      <c r="C1826" s="2" t="s">
        <v>2471</v>
      </c>
    </row>
    <row r="1827" spans="2:3">
      <c r="B1827" s="6">
        <v>43829</v>
      </c>
      <c r="C1827" s="2" t="s">
        <v>2472</v>
      </c>
    </row>
    <row r="1828" spans="2:3">
      <c r="B1828" s="6">
        <v>43830</v>
      </c>
      <c r="C1828" s="2" t="s">
        <v>2473</v>
      </c>
    </row>
    <row r="1829" spans="2:3">
      <c r="B1829" s="6">
        <v>43831</v>
      </c>
      <c r="C1829" s="2" t="s">
        <v>2474</v>
      </c>
    </row>
    <row r="1830" spans="2:3">
      <c r="B1830" s="6">
        <v>43832</v>
      </c>
      <c r="C1830" s="2" t="s">
        <v>2475</v>
      </c>
    </row>
    <row r="1831" spans="2:3">
      <c r="B1831" s="6">
        <v>43833</v>
      </c>
      <c r="C1831" s="2" t="s">
        <v>2476</v>
      </c>
    </row>
    <row r="1832" spans="2:3">
      <c r="B1832" s="6">
        <v>43834</v>
      </c>
      <c r="C1832" s="2" t="s">
        <v>2477</v>
      </c>
    </row>
    <row r="1833" spans="2:3">
      <c r="B1833" s="6">
        <v>43835</v>
      </c>
      <c r="C1833" s="2" t="s">
        <v>2478</v>
      </c>
    </row>
    <row r="1834" spans="2:3">
      <c r="B1834" s="6">
        <v>43836</v>
      </c>
      <c r="C1834" s="2" t="s">
        <v>2479</v>
      </c>
    </row>
    <row r="1835" spans="2:3">
      <c r="B1835" s="6">
        <v>43837</v>
      </c>
      <c r="C1835" s="2" t="s">
        <v>2480</v>
      </c>
    </row>
    <row r="1836" spans="2:3">
      <c r="B1836" s="6">
        <v>43838</v>
      </c>
      <c r="C1836" s="2" t="s">
        <v>2481</v>
      </c>
    </row>
    <row r="1837" spans="2:3">
      <c r="B1837" s="6">
        <v>43839</v>
      </c>
      <c r="C1837" s="2" t="s">
        <v>2482</v>
      </c>
    </row>
    <row r="1838" spans="2:3">
      <c r="B1838" s="6">
        <v>43840</v>
      </c>
      <c r="C1838" s="2" t="s">
        <v>2483</v>
      </c>
    </row>
    <row r="1839" spans="2:3">
      <c r="B1839" s="6">
        <v>43841</v>
      </c>
      <c r="C1839" s="2" t="s">
        <v>2484</v>
      </c>
    </row>
    <row r="1840" spans="2:3">
      <c r="B1840" s="6">
        <v>43842</v>
      </c>
      <c r="C1840" s="2" t="s">
        <v>2485</v>
      </c>
    </row>
    <row r="1841" spans="2:3">
      <c r="B1841" s="6">
        <v>43843</v>
      </c>
      <c r="C1841" s="2" t="s">
        <v>2486</v>
      </c>
    </row>
    <row r="1842" spans="2:3">
      <c r="B1842" s="6">
        <v>43844</v>
      </c>
      <c r="C1842" s="2" t="s">
        <v>2487</v>
      </c>
    </row>
    <row r="1843" spans="2:3">
      <c r="B1843" s="6">
        <v>43845</v>
      </c>
      <c r="C1843" s="2" t="s">
        <v>2488</v>
      </c>
    </row>
    <row r="1844" spans="2:3">
      <c r="B1844" s="6">
        <v>43846</v>
      </c>
      <c r="C1844" s="2" t="s">
        <v>2489</v>
      </c>
    </row>
    <row r="1845" spans="2:3">
      <c r="B1845" s="6">
        <v>43847</v>
      </c>
      <c r="C1845" s="2" t="s">
        <v>544</v>
      </c>
    </row>
    <row r="1846" spans="2:3">
      <c r="B1846" s="6">
        <v>43848</v>
      </c>
      <c r="C1846" s="2" t="s">
        <v>2490</v>
      </c>
    </row>
    <row r="1847" spans="2:3">
      <c r="B1847" s="6">
        <v>43849</v>
      </c>
      <c r="C1847" s="2" t="s">
        <v>2491</v>
      </c>
    </row>
    <row r="1848" spans="2:3">
      <c r="B1848" s="6">
        <v>43850</v>
      </c>
      <c r="C1848" s="2" t="s">
        <v>2492</v>
      </c>
    </row>
    <row r="1849" spans="2:3">
      <c r="B1849" s="6">
        <v>43851</v>
      </c>
      <c r="C1849" s="2" t="s">
        <v>545</v>
      </c>
    </row>
    <row r="1850" spans="2:3">
      <c r="B1850" s="6">
        <v>43852</v>
      </c>
      <c r="C1850" s="2" t="s">
        <v>2493</v>
      </c>
    </row>
    <row r="1851" spans="2:3">
      <c r="B1851" s="6">
        <v>43853</v>
      </c>
      <c r="C1851" s="2" t="s">
        <v>546</v>
      </c>
    </row>
    <row r="1852" spans="2:3">
      <c r="B1852" s="6">
        <v>43854</v>
      </c>
      <c r="C1852" s="2" t="s">
        <v>547</v>
      </c>
    </row>
    <row r="1853" spans="2:3">
      <c r="B1853" s="6">
        <v>43855</v>
      </c>
      <c r="C1853" s="2" t="s">
        <v>2494</v>
      </c>
    </row>
    <row r="1854" spans="2:3">
      <c r="B1854" s="6">
        <v>43856</v>
      </c>
      <c r="C1854" s="2" t="s">
        <v>2495</v>
      </c>
    </row>
    <row r="1855" spans="2:3">
      <c r="B1855" s="6">
        <v>43857</v>
      </c>
      <c r="C1855" s="2" t="s">
        <v>2496</v>
      </c>
    </row>
    <row r="1856" spans="2:3">
      <c r="B1856" s="6">
        <v>43858</v>
      </c>
      <c r="C1856" s="2" t="s">
        <v>2497</v>
      </c>
    </row>
    <row r="1857" spans="2:3">
      <c r="B1857" s="6">
        <v>43859</v>
      </c>
      <c r="C1857" s="2" t="s">
        <v>2498</v>
      </c>
    </row>
    <row r="1858" spans="2:3">
      <c r="B1858" s="6">
        <v>43860</v>
      </c>
      <c r="C1858" s="2" t="s">
        <v>2499</v>
      </c>
    </row>
    <row r="1859" spans="2:3">
      <c r="B1859" s="6">
        <v>43861</v>
      </c>
      <c r="C1859" s="2" t="s">
        <v>2500</v>
      </c>
    </row>
    <row r="1860" spans="2:3">
      <c r="B1860" s="6">
        <v>43862</v>
      </c>
      <c r="C1860" s="2" t="s">
        <v>2501</v>
      </c>
    </row>
    <row r="1861" spans="2:3">
      <c r="B1861" s="6">
        <v>43863</v>
      </c>
      <c r="C1861" s="2" t="s">
        <v>2502</v>
      </c>
    </row>
    <row r="1862" spans="2:3">
      <c r="B1862" s="6">
        <v>43864</v>
      </c>
      <c r="C1862" s="2" t="s">
        <v>2503</v>
      </c>
    </row>
    <row r="1863" spans="2:3">
      <c r="B1863" s="6">
        <v>43865</v>
      </c>
      <c r="C1863" s="2" t="s">
        <v>2504</v>
      </c>
    </row>
    <row r="1864" spans="2:3">
      <c r="B1864" s="6">
        <v>43866</v>
      </c>
      <c r="C1864" s="2" t="s">
        <v>2505</v>
      </c>
    </row>
    <row r="1865" spans="2:3">
      <c r="B1865" s="6">
        <v>43867</v>
      </c>
      <c r="C1865" s="2" t="s">
        <v>2506</v>
      </c>
    </row>
    <row r="1866" spans="2:3">
      <c r="B1866" s="6">
        <v>43868</v>
      </c>
      <c r="C1866" s="2" t="s">
        <v>2507</v>
      </c>
    </row>
    <row r="1867" spans="2:3">
      <c r="B1867" s="6">
        <v>43869</v>
      </c>
      <c r="C1867" s="2" t="s">
        <v>2508</v>
      </c>
    </row>
    <row r="1868" spans="2:3">
      <c r="B1868" s="6">
        <v>43870</v>
      </c>
      <c r="C1868" s="2" t="s">
        <v>2509</v>
      </c>
    </row>
    <row r="1869" spans="2:3">
      <c r="B1869" s="6">
        <v>43871</v>
      </c>
      <c r="C1869" s="2" t="s">
        <v>2510</v>
      </c>
    </row>
    <row r="1870" spans="2:3">
      <c r="B1870" s="6">
        <v>43872</v>
      </c>
      <c r="C1870" s="2" t="s">
        <v>2511</v>
      </c>
    </row>
    <row r="1871" spans="2:3">
      <c r="B1871" s="6">
        <v>43873</v>
      </c>
      <c r="C1871" s="2" t="s">
        <v>749</v>
      </c>
    </row>
    <row r="1872" spans="2:3">
      <c r="B1872" s="6">
        <v>43874</v>
      </c>
      <c r="C1872" s="2" t="s">
        <v>750</v>
      </c>
    </row>
    <row r="1873" spans="2:3">
      <c r="B1873" s="6">
        <v>43875</v>
      </c>
      <c r="C1873" s="2" t="s">
        <v>2512</v>
      </c>
    </row>
    <row r="1874" spans="2:3">
      <c r="B1874" s="6">
        <v>43876</v>
      </c>
      <c r="C1874" s="2" t="s">
        <v>751</v>
      </c>
    </row>
    <row r="1875" spans="2:3">
      <c r="B1875" s="6">
        <v>43877</v>
      </c>
      <c r="C1875" s="2" t="s">
        <v>2513</v>
      </c>
    </row>
    <row r="1876" spans="2:3">
      <c r="B1876" s="6">
        <v>43878</v>
      </c>
      <c r="C1876" s="2" t="s">
        <v>2514</v>
      </c>
    </row>
    <row r="1877" spans="2:3">
      <c r="B1877" s="6">
        <v>43879</v>
      </c>
      <c r="C1877" s="2" t="s">
        <v>2515</v>
      </c>
    </row>
    <row r="1878" spans="2:3">
      <c r="B1878" s="6">
        <v>43880</v>
      </c>
      <c r="C1878" s="2" t="s">
        <v>495</v>
      </c>
    </row>
    <row r="1879" spans="2:3">
      <c r="B1879" s="6">
        <v>43881</v>
      </c>
      <c r="C1879" s="2" t="s">
        <v>496</v>
      </c>
    </row>
    <row r="1880" spans="2:3">
      <c r="B1880" s="6">
        <v>43882</v>
      </c>
      <c r="C1880" s="2" t="s">
        <v>2516</v>
      </c>
    </row>
    <row r="1881" spans="2:3">
      <c r="B1881" s="6">
        <v>43883</v>
      </c>
      <c r="C1881" s="2" t="s">
        <v>497</v>
      </c>
    </row>
    <row r="1882" spans="2:3">
      <c r="B1882" s="6">
        <v>43884</v>
      </c>
      <c r="C1882" s="2" t="s">
        <v>2517</v>
      </c>
    </row>
    <row r="1883" spans="2:3">
      <c r="B1883" s="6">
        <v>43885</v>
      </c>
      <c r="C1883" s="2" t="s">
        <v>2518</v>
      </c>
    </row>
    <row r="1884" spans="2:3">
      <c r="B1884" s="6">
        <v>43886</v>
      </c>
      <c r="C1884" s="2" t="s">
        <v>498</v>
      </c>
    </row>
    <row r="1885" spans="2:3">
      <c r="B1885" s="6">
        <v>43887</v>
      </c>
      <c r="C1885" s="2" t="s">
        <v>2519</v>
      </c>
    </row>
    <row r="1886" spans="2:3">
      <c r="B1886" s="6">
        <v>43888</v>
      </c>
      <c r="C1886" s="2" t="s">
        <v>2520</v>
      </c>
    </row>
    <row r="1887" spans="2:3">
      <c r="B1887" s="6">
        <v>43889</v>
      </c>
      <c r="C1887" s="2" t="s">
        <v>2521</v>
      </c>
    </row>
    <row r="1888" spans="2:3">
      <c r="B1888" s="6">
        <v>43890</v>
      </c>
      <c r="C1888" s="2" t="s">
        <v>2522</v>
      </c>
    </row>
    <row r="1889" spans="2:3">
      <c r="B1889" s="6">
        <v>43891</v>
      </c>
      <c r="C1889" s="2" t="s">
        <v>2523</v>
      </c>
    </row>
    <row r="1890" spans="2:3">
      <c r="B1890" s="6">
        <v>43892</v>
      </c>
      <c r="C1890" s="2" t="s">
        <v>2524</v>
      </c>
    </row>
    <row r="1891" spans="2:3">
      <c r="B1891" s="6">
        <v>43893</v>
      </c>
      <c r="C1891" s="2" t="s">
        <v>2525</v>
      </c>
    </row>
    <row r="1892" spans="2:3">
      <c r="B1892" s="6">
        <v>43894</v>
      </c>
      <c r="C1892" s="2" t="s">
        <v>2526</v>
      </c>
    </row>
    <row r="1893" spans="2:3">
      <c r="B1893" s="6">
        <v>43895</v>
      </c>
      <c r="C1893" s="2" t="s">
        <v>2527</v>
      </c>
    </row>
    <row r="1894" spans="2:3">
      <c r="B1894" s="6">
        <v>43896</v>
      </c>
      <c r="C1894" s="2" t="s">
        <v>2528</v>
      </c>
    </row>
    <row r="1895" spans="2:3">
      <c r="B1895" s="6">
        <v>43897</v>
      </c>
      <c r="C1895" s="2" t="s">
        <v>2529</v>
      </c>
    </row>
    <row r="1896" spans="2:3">
      <c r="B1896" s="6">
        <v>43898</v>
      </c>
      <c r="C1896" s="2" t="s">
        <v>2530</v>
      </c>
    </row>
    <row r="1897" spans="2:3">
      <c r="B1897" s="6">
        <v>43899</v>
      </c>
      <c r="C1897" s="2" t="s">
        <v>2531</v>
      </c>
    </row>
    <row r="1898" spans="2:3">
      <c r="B1898" s="6">
        <v>43900</v>
      </c>
      <c r="C1898" s="2" t="s">
        <v>2532</v>
      </c>
    </row>
    <row r="1899" spans="2:3">
      <c r="B1899" s="6">
        <v>43901</v>
      </c>
      <c r="C1899" s="2" t="s">
        <v>2533</v>
      </c>
    </row>
    <row r="1900" spans="2:3">
      <c r="B1900" s="6">
        <v>43902</v>
      </c>
      <c r="C1900" s="2" t="s">
        <v>2534</v>
      </c>
    </row>
    <row r="1901" spans="2:3">
      <c r="B1901" s="6">
        <v>43903</v>
      </c>
      <c r="C1901" s="2" t="s">
        <v>2535</v>
      </c>
    </row>
    <row r="1902" spans="2:3">
      <c r="B1902" s="6">
        <v>43904</v>
      </c>
      <c r="C1902" s="2" t="s">
        <v>2536</v>
      </c>
    </row>
    <row r="1903" spans="2:3">
      <c r="B1903" s="6">
        <v>43905</v>
      </c>
      <c r="C1903" s="2" t="s">
        <v>2537</v>
      </c>
    </row>
    <row r="1904" spans="2:3">
      <c r="B1904" s="6">
        <v>43906</v>
      </c>
      <c r="C1904" s="2" t="s">
        <v>2538</v>
      </c>
    </row>
    <row r="1905" spans="2:3">
      <c r="B1905" s="6">
        <v>43907</v>
      </c>
      <c r="C1905" s="2" t="s">
        <v>2539</v>
      </c>
    </row>
    <row r="1906" spans="2:3">
      <c r="B1906" s="6">
        <v>43908</v>
      </c>
      <c r="C1906" s="2" t="s">
        <v>2540</v>
      </c>
    </row>
    <row r="1907" spans="2:3">
      <c r="B1907" s="6">
        <v>43909</v>
      </c>
      <c r="C1907" s="2" t="s">
        <v>2541</v>
      </c>
    </row>
    <row r="1908" spans="2:3">
      <c r="B1908" s="6">
        <v>43910</v>
      </c>
      <c r="C1908" s="2" t="s">
        <v>2542</v>
      </c>
    </row>
    <row r="1909" spans="2:3">
      <c r="B1909" s="6">
        <v>43911</v>
      </c>
      <c r="C1909" s="2" t="s">
        <v>2543</v>
      </c>
    </row>
    <row r="1910" spans="2:3">
      <c r="B1910" s="6">
        <v>43912</v>
      </c>
      <c r="C1910" s="2" t="s">
        <v>2544</v>
      </c>
    </row>
    <row r="1911" spans="2:3">
      <c r="B1911" s="6">
        <v>43913</v>
      </c>
      <c r="C1911" s="2" t="s">
        <v>2545</v>
      </c>
    </row>
    <row r="1912" spans="2:3">
      <c r="B1912" s="6">
        <v>43914</v>
      </c>
      <c r="C1912" s="2" t="s">
        <v>2546</v>
      </c>
    </row>
    <row r="1913" spans="2:3">
      <c r="B1913" s="6">
        <v>43915</v>
      </c>
      <c r="C1913" s="2" t="s">
        <v>2547</v>
      </c>
    </row>
    <row r="1914" spans="2:3">
      <c r="B1914" s="6">
        <v>43916</v>
      </c>
      <c r="C1914" s="2" t="s">
        <v>2548</v>
      </c>
    </row>
    <row r="1915" spans="2:3">
      <c r="B1915" s="6">
        <v>43917</v>
      </c>
      <c r="C1915" s="2" t="s">
        <v>2549</v>
      </c>
    </row>
    <row r="1916" spans="2:3">
      <c r="B1916" s="6">
        <v>43918</v>
      </c>
      <c r="C1916" s="2" t="s">
        <v>435</v>
      </c>
    </row>
    <row r="1917" spans="2:3">
      <c r="B1917" s="6">
        <v>43919</v>
      </c>
      <c r="C1917" s="2" t="s">
        <v>2550</v>
      </c>
    </row>
    <row r="1918" spans="2:3">
      <c r="B1918" s="6">
        <v>43920</v>
      </c>
      <c r="C1918" s="2" t="s">
        <v>436</v>
      </c>
    </row>
    <row r="1919" spans="2:3">
      <c r="B1919" s="6">
        <v>43921</v>
      </c>
      <c r="C1919" s="2" t="s">
        <v>2551</v>
      </c>
    </row>
    <row r="1920" spans="2:3">
      <c r="B1920" s="6">
        <v>43922</v>
      </c>
      <c r="C1920" s="2" t="s">
        <v>2552</v>
      </c>
    </row>
    <row r="1921" spans="2:3">
      <c r="B1921" s="6">
        <v>43923</v>
      </c>
      <c r="C1921" s="2" t="s">
        <v>2553</v>
      </c>
    </row>
    <row r="1922" spans="2:3">
      <c r="B1922" s="6">
        <v>43924</v>
      </c>
      <c r="C1922" s="2" t="s">
        <v>437</v>
      </c>
    </row>
    <row r="1923" spans="2:3">
      <c r="B1923" s="6">
        <v>43925</v>
      </c>
      <c r="C1923" s="2" t="s">
        <v>2554</v>
      </c>
    </row>
    <row r="1924" spans="2:3">
      <c r="B1924" s="6">
        <v>43926</v>
      </c>
      <c r="C1924" s="2" t="s">
        <v>2555</v>
      </c>
    </row>
    <row r="1925" spans="2:3">
      <c r="B1925" s="6">
        <v>43927</v>
      </c>
      <c r="C1925" s="2" t="s">
        <v>438</v>
      </c>
    </row>
    <row r="1926" spans="2:3">
      <c r="B1926" s="6">
        <v>43928</v>
      </c>
      <c r="C1926" s="2" t="s">
        <v>719</v>
      </c>
    </row>
    <row r="1927" spans="2:3">
      <c r="B1927" s="6">
        <v>43929</v>
      </c>
      <c r="C1927" s="2" t="s">
        <v>2556</v>
      </c>
    </row>
    <row r="1928" spans="2:3">
      <c r="B1928" s="6">
        <v>43930</v>
      </c>
      <c r="C1928" s="2" t="s">
        <v>720</v>
      </c>
    </row>
    <row r="1929" spans="2:3">
      <c r="B1929" s="6">
        <v>43931</v>
      </c>
      <c r="C1929" s="2" t="s">
        <v>2557</v>
      </c>
    </row>
    <row r="1930" spans="2:3">
      <c r="B1930" s="6">
        <v>43932</v>
      </c>
      <c r="C1930" s="2" t="s">
        <v>2558</v>
      </c>
    </row>
    <row r="1931" spans="2:3">
      <c r="B1931" s="6">
        <v>43933</v>
      </c>
      <c r="C1931" s="2" t="s">
        <v>721</v>
      </c>
    </row>
    <row r="1932" spans="2:3">
      <c r="B1932" s="6">
        <v>43934</v>
      </c>
      <c r="C1932" s="2" t="s">
        <v>2559</v>
      </c>
    </row>
    <row r="1933" spans="2:3">
      <c r="B1933" s="6">
        <v>43935</v>
      </c>
      <c r="C1933" s="2" t="s">
        <v>2560</v>
      </c>
    </row>
    <row r="1934" spans="2:3">
      <c r="B1934" s="6">
        <v>43936</v>
      </c>
      <c r="C1934" s="2" t="s">
        <v>2561</v>
      </c>
    </row>
    <row r="1935" spans="2:3">
      <c r="B1935" s="6">
        <v>43937</v>
      </c>
      <c r="C1935" s="2" t="s">
        <v>722</v>
      </c>
    </row>
    <row r="1936" spans="2:3">
      <c r="B1936" s="6">
        <v>43938</v>
      </c>
      <c r="C1936" s="2" t="s">
        <v>2562</v>
      </c>
    </row>
    <row r="1937" spans="2:3">
      <c r="B1937" s="6">
        <v>43939</v>
      </c>
      <c r="C1937" s="2" t="s">
        <v>2563</v>
      </c>
    </row>
    <row r="1938" spans="2:3">
      <c r="B1938" s="6">
        <v>43940</v>
      </c>
      <c r="C1938" s="2" t="s">
        <v>2564</v>
      </c>
    </row>
    <row r="1939" spans="2:3">
      <c r="B1939" s="6">
        <v>43941</v>
      </c>
      <c r="C1939" s="2" t="s">
        <v>2565</v>
      </c>
    </row>
    <row r="1940" spans="2:3">
      <c r="B1940" s="6">
        <v>43942</v>
      </c>
      <c r="C1940" s="2" t="s">
        <v>2566</v>
      </c>
    </row>
    <row r="1941" spans="2:3">
      <c r="B1941" s="6">
        <v>43943</v>
      </c>
      <c r="C1941" s="2" t="s">
        <v>2567</v>
      </c>
    </row>
    <row r="1942" spans="2:3">
      <c r="B1942" s="6">
        <v>43944</v>
      </c>
      <c r="C1942" s="2" t="s">
        <v>2568</v>
      </c>
    </row>
    <row r="1943" spans="2:3">
      <c r="B1943" s="6">
        <v>43945</v>
      </c>
      <c r="C1943" s="2" t="s">
        <v>2569</v>
      </c>
    </row>
    <row r="1944" spans="2:3">
      <c r="B1944" s="6">
        <v>43946</v>
      </c>
      <c r="C1944" s="2" t="s">
        <v>2570</v>
      </c>
    </row>
    <row r="1945" spans="2:3">
      <c r="B1945" s="6">
        <v>43947</v>
      </c>
      <c r="C1945" s="2" t="s">
        <v>2571</v>
      </c>
    </row>
    <row r="1946" spans="2:3">
      <c r="B1946" s="6">
        <v>43948</v>
      </c>
      <c r="C1946" s="2" t="s">
        <v>2572</v>
      </c>
    </row>
    <row r="1947" spans="2:3">
      <c r="B1947" s="6">
        <v>43949</v>
      </c>
      <c r="C1947" s="2" t="s">
        <v>2573</v>
      </c>
    </row>
    <row r="1948" spans="2:3">
      <c r="B1948" s="6">
        <v>43950</v>
      </c>
      <c r="C1948" s="2" t="s">
        <v>2574</v>
      </c>
    </row>
    <row r="1949" spans="2:3">
      <c r="B1949" s="6">
        <v>43951</v>
      </c>
      <c r="C1949" s="2" t="s">
        <v>266</v>
      </c>
    </row>
    <row r="1950" spans="2:3">
      <c r="B1950" s="6">
        <v>43952</v>
      </c>
      <c r="C1950" s="2" t="s">
        <v>2575</v>
      </c>
    </row>
    <row r="1951" spans="2:3">
      <c r="B1951" s="6">
        <v>43953</v>
      </c>
      <c r="C1951" s="2" t="s">
        <v>2576</v>
      </c>
    </row>
    <row r="1952" spans="2:3">
      <c r="B1952" s="6">
        <v>43954</v>
      </c>
      <c r="C1952" s="2" t="s">
        <v>2577</v>
      </c>
    </row>
    <row r="1953" spans="2:3">
      <c r="B1953" s="6">
        <v>43955</v>
      </c>
      <c r="C1953" s="2" t="s">
        <v>267</v>
      </c>
    </row>
    <row r="1954" spans="2:3">
      <c r="B1954" s="6">
        <v>43956</v>
      </c>
      <c r="C1954" s="2" t="s">
        <v>2578</v>
      </c>
    </row>
    <row r="1955" spans="2:3">
      <c r="B1955" s="6">
        <v>43957</v>
      </c>
      <c r="C1955" s="2" t="s">
        <v>268</v>
      </c>
    </row>
    <row r="1956" spans="2:3">
      <c r="B1956" s="6">
        <v>43958</v>
      </c>
      <c r="C1956" s="2" t="s">
        <v>2579</v>
      </c>
    </row>
    <row r="1957" spans="2:3">
      <c r="B1957" s="6">
        <v>43959</v>
      </c>
      <c r="C1957" s="2" t="s">
        <v>2580</v>
      </c>
    </row>
    <row r="1958" spans="2:3">
      <c r="B1958" s="6">
        <v>43960</v>
      </c>
      <c r="C1958" s="2" t="s">
        <v>269</v>
      </c>
    </row>
    <row r="1959" spans="2:3">
      <c r="B1959" s="6">
        <v>43961</v>
      </c>
      <c r="C1959" s="2" t="s">
        <v>334</v>
      </c>
    </row>
    <row r="1960" spans="2:3">
      <c r="B1960" s="6">
        <v>43962</v>
      </c>
      <c r="C1960" s="2" t="s">
        <v>2581</v>
      </c>
    </row>
    <row r="1961" spans="2:3">
      <c r="B1961" s="6">
        <v>43963</v>
      </c>
      <c r="C1961" s="2" t="s">
        <v>2582</v>
      </c>
    </row>
    <row r="1962" spans="2:3">
      <c r="B1962" s="6">
        <v>43964</v>
      </c>
      <c r="C1962" s="2" t="s">
        <v>294</v>
      </c>
    </row>
    <row r="1963" spans="2:3">
      <c r="B1963" s="6">
        <v>43965</v>
      </c>
      <c r="C1963" s="2" t="s">
        <v>489</v>
      </c>
    </row>
    <row r="1964" spans="2:3">
      <c r="B1964" s="6">
        <v>43966</v>
      </c>
      <c r="C1964" s="2" t="s">
        <v>2583</v>
      </c>
    </row>
    <row r="1965" spans="2:3">
      <c r="B1965" s="6">
        <v>43967</v>
      </c>
      <c r="C1965" s="2" t="s">
        <v>295</v>
      </c>
    </row>
    <row r="1966" spans="2:3">
      <c r="B1966" s="6">
        <v>43968</v>
      </c>
      <c r="C1966" s="2" t="s">
        <v>335</v>
      </c>
    </row>
    <row r="1967" spans="2:3">
      <c r="B1967" s="6">
        <v>43969</v>
      </c>
      <c r="C1967" s="2" t="s">
        <v>296</v>
      </c>
    </row>
    <row r="1968" spans="2:3">
      <c r="B1968" s="6">
        <v>43970</v>
      </c>
      <c r="C1968" s="2" t="s">
        <v>297</v>
      </c>
    </row>
    <row r="1969" spans="2:3">
      <c r="B1969" s="6">
        <v>43971</v>
      </c>
      <c r="C1969" s="2" t="s">
        <v>2584</v>
      </c>
    </row>
    <row r="1970" spans="2:3">
      <c r="B1970" s="6">
        <v>43972</v>
      </c>
      <c r="C1970" s="2" t="s">
        <v>336</v>
      </c>
    </row>
    <row r="1971" spans="2:3">
      <c r="B1971" s="6">
        <v>43973</v>
      </c>
      <c r="C1971" s="2" t="s">
        <v>490</v>
      </c>
    </row>
    <row r="1972" spans="2:3">
      <c r="B1972" s="6">
        <v>43974</v>
      </c>
      <c r="C1972" s="2" t="s">
        <v>2585</v>
      </c>
    </row>
    <row r="1973" spans="2:3">
      <c r="B1973" s="6">
        <v>43975</v>
      </c>
      <c r="C1973" s="2" t="s">
        <v>2586</v>
      </c>
    </row>
    <row r="1974" spans="2:3">
      <c r="B1974" s="6">
        <v>43976</v>
      </c>
      <c r="C1974" s="2" t="s">
        <v>2587</v>
      </c>
    </row>
    <row r="1975" spans="2:3">
      <c r="B1975" s="6">
        <v>43977</v>
      </c>
      <c r="C1975" s="2" t="s">
        <v>2588</v>
      </c>
    </row>
    <row r="1976" spans="2:3">
      <c r="B1976" s="6">
        <v>43978</v>
      </c>
      <c r="C1976" s="2" t="s">
        <v>2589</v>
      </c>
    </row>
    <row r="1977" spans="2:3">
      <c r="B1977" s="6">
        <v>43979</v>
      </c>
      <c r="C1977" s="2" t="s">
        <v>2590</v>
      </c>
    </row>
    <row r="1978" spans="2:3">
      <c r="B1978" s="6">
        <v>43980</v>
      </c>
      <c r="C1978" s="2" t="s">
        <v>2591</v>
      </c>
    </row>
    <row r="1979" spans="2:3">
      <c r="B1979" s="6">
        <v>43981</v>
      </c>
      <c r="C1979" s="2" t="s">
        <v>2592</v>
      </c>
    </row>
    <row r="1980" spans="2:3">
      <c r="B1980" s="6">
        <v>43982</v>
      </c>
      <c r="C1980" s="2" t="s">
        <v>2593</v>
      </c>
    </row>
    <row r="1981" spans="2:3">
      <c r="B1981" s="6">
        <v>43983</v>
      </c>
      <c r="C1981" s="2" t="s">
        <v>322</v>
      </c>
    </row>
    <row r="1982" spans="2:3">
      <c r="B1982" s="6">
        <v>43984</v>
      </c>
      <c r="C1982" s="2" t="s">
        <v>2594</v>
      </c>
    </row>
    <row r="1983" spans="2:3">
      <c r="B1983" s="6">
        <v>43985</v>
      </c>
      <c r="C1983" s="2" t="s">
        <v>2595</v>
      </c>
    </row>
    <row r="1984" spans="2:3">
      <c r="B1984" s="6">
        <v>43986</v>
      </c>
      <c r="C1984" s="2" t="s">
        <v>323</v>
      </c>
    </row>
    <row r="1985" spans="2:3">
      <c r="B1985" s="6">
        <v>43987</v>
      </c>
      <c r="C1985" s="2" t="s">
        <v>2596</v>
      </c>
    </row>
    <row r="1986" spans="2:3">
      <c r="B1986" s="6">
        <v>43988</v>
      </c>
      <c r="C1986" s="2" t="s">
        <v>2597</v>
      </c>
    </row>
    <row r="1987" spans="2:3">
      <c r="B1987" s="6">
        <v>43989</v>
      </c>
      <c r="C1987" s="2" t="s">
        <v>324</v>
      </c>
    </row>
    <row r="1988" spans="2:3">
      <c r="B1988" s="6">
        <v>43990</v>
      </c>
      <c r="C1988" s="2" t="s">
        <v>2598</v>
      </c>
    </row>
    <row r="1989" spans="2:3">
      <c r="B1989" s="6">
        <v>43991</v>
      </c>
      <c r="C1989" s="2" t="s">
        <v>325</v>
      </c>
    </row>
    <row r="1990" spans="2:3">
      <c r="B1990" s="6">
        <v>43992</v>
      </c>
      <c r="C1990" s="2" t="s">
        <v>788</v>
      </c>
    </row>
    <row r="1991" spans="2:3">
      <c r="B1991" s="6">
        <v>43993</v>
      </c>
      <c r="C1991" s="2" t="s">
        <v>2599</v>
      </c>
    </row>
    <row r="1992" spans="2:3">
      <c r="B1992" s="6">
        <v>43994</v>
      </c>
      <c r="C1992" s="2" t="s">
        <v>2600</v>
      </c>
    </row>
    <row r="1993" spans="2:3">
      <c r="B1993" s="6">
        <v>43995</v>
      </c>
      <c r="C1993" s="2" t="s">
        <v>2601</v>
      </c>
    </row>
    <row r="1994" spans="2:3">
      <c r="B1994" s="6">
        <v>43996</v>
      </c>
      <c r="C1994" s="2" t="s">
        <v>789</v>
      </c>
    </row>
    <row r="1995" spans="2:3">
      <c r="B1995" s="6">
        <v>43997</v>
      </c>
      <c r="C1995" s="2" t="s">
        <v>2602</v>
      </c>
    </row>
    <row r="1996" spans="2:3">
      <c r="B1996" s="6">
        <v>43998</v>
      </c>
      <c r="C1996" s="2" t="s">
        <v>2603</v>
      </c>
    </row>
    <row r="1997" spans="2:3">
      <c r="B1997" s="6">
        <v>43999</v>
      </c>
      <c r="C1997" s="2" t="s">
        <v>2604</v>
      </c>
    </row>
    <row r="1998" spans="2:3">
      <c r="B1998" s="6">
        <v>44000</v>
      </c>
      <c r="C1998" s="2" t="s">
        <v>790</v>
      </c>
    </row>
    <row r="1999" spans="2:3">
      <c r="B1999" s="6">
        <v>44001</v>
      </c>
      <c r="C1999" s="2" t="s">
        <v>2605</v>
      </c>
    </row>
    <row r="2000" spans="2:3">
      <c r="B2000" s="6">
        <v>44002</v>
      </c>
      <c r="C2000" s="2" t="s">
        <v>2606</v>
      </c>
    </row>
    <row r="2001" spans="2:3">
      <c r="B2001" s="6">
        <v>44003</v>
      </c>
      <c r="C2001" s="2" t="s">
        <v>2607</v>
      </c>
    </row>
    <row r="2002" spans="2:3">
      <c r="B2002" s="6">
        <v>44004</v>
      </c>
      <c r="C2002" s="2" t="s">
        <v>791</v>
      </c>
    </row>
    <row r="2003" spans="2:3">
      <c r="B2003" s="6">
        <v>44005</v>
      </c>
      <c r="C2003" s="2" t="s">
        <v>2608</v>
      </c>
    </row>
    <row r="2004" spans="2:3">
      <c r="B2004" s="6">
        <v>44006</v>
      </c>
      <c r="C2004" s="2" t="s">
        <v>2609</v>
      </c>
    </row>
    <row r="2005" spans="2:3">
      <c r="B2005" s="6">
        <v>44007</v>
      </c>
      <c r="C2005" s="2" t="s">
        <v>2610</v>
      </c>
    </row>
    <row r="2006" spans="2:3">
      <c r="B2006" s="6">
        <v>44008</v>
      </c>
      <c r="C2006" s="2" t="s">
        <v>2611</v>
      </c>
    </row>
    <row r="2007" spans="2:3">
      <c r="B2007" s="6">
        <v>44009</v>
      </c>
      <c r="C2007" s="2" t="s">
        <v>2612</v>
      </c>
    </row>
    <row r="2008" spans="2:3">
      <c r="B2008" s="6">
        <v>44010</v>
      </c>
      <c r="C2008" s="2" t="s">
        <v>2613</v>
      </c>
    </row>
    <row r="2009" spans="2:3">
      <c r="B2009" s="6">
        <v>44011</v>
      </c>
      <c r="C2009" s="2" t="s">
        <v>2614</v>
      </c>
    </row>
    <row r="2010" spans="2:3">
      <c r="B2010" s="6">
        <v>44012</v>
      </c>
      <c r="C2010" s="2" t="s">
        <v>2615</v>
      </c>
    </row>
    <row r="2011" spans="2:3">
      <c r="B2011" s="6">
        <v>44013</v>
      </c>
      <c r="C2011" s="2" t="s">
        <v>2616</v>
      </c>
    </row>
    <row r="2012" spans="2:3">
      <c r="B2012" s="6">
        <v>44014</v>
      </c>
      <c r="C2012" s="2" t="s">
        <v>2617</v>
      </c>
    </row>
    <row r="2013" spans="2:3">
      <c r="B2013" s="6">
        <v>44015</v>
      </c>
      <c r="C2013" s="2" t="s">
        <v>2618</v>
      </c>
    </row>
    <row r="2014" spans="2:3">
      <c r="B2014" s="6">
        <v>44016</v>
      </c>
      <c r="C2014" s="2" t="s">
        <v>2619</v>
      </c>
    </row>
    <row r="2015" spans="2:3">
      <c r="B2015" s="6">
        <v>44017</v>
      </c>
      <c r="C2015" s="2" t="s">
        <v>2620</v>
      </c>
    </row>
    <row r="2016" spans="2:3">
      <c r="B2016" s="6">
        <v>44018</v>
      </c>
      <c r="C2016" s="2" t="s">
        <v>2621</v>
      </c>
    </row>
    <row r="2017" spans="2:3">
      <c r="B2017" s="6">
        <v>44019</v>
      </c>
      <c r="C2017" s="2" t="s">
        <v>2622</v>
      </c>
    </row>
    <row r="2018" spans="2:3">
      <c r="B2018" s="6">
        <v>44020</v>
      </c>
      <c r="C2018" s="2" t="s">
        <v>278</v>
      </c>
    </row>
    <row r="2019" spans="2:3">
      <c r="B2019" s="6">
        <v>44021</v>
      </c>
      <c r="C2019" s="2" t="s">
        <v>2623</v>
      </c>
    </row>
    <row r="2020" spans="2:3">
      <c r="B2020" s="6">
        <v>44022</v>
      </c>
      <c r="C2020" s="2" t="s">
        <v>2624</v>
      </c>
    </row>
    <row r="2021" spans="2:3">
      <c r="B2021" s="6">
        <v>44023</v>
      </c>
      <c r="C2021" s="2" t="s">
        <v>279</v>
      </c>
    </row>
    <row r="2022" spans="2:3">
      <c r="B2022" s="6">
        <v>44024</v>
      </c>
      <c r="C2022" s="2" t="s">
        <v>280</v>
      </c>
    </row>
    <row r="2023" spans="2:3">
      <c r="B2023" s="6">
        <v>44025</v>
      </c>
      <c r="C2023" s="2" t="s">
        <v>2625</v>
      </c>
    </row>
    <row r="2024" spans="2:3">
      <c r="B2024" s="6">
        <v>44026</v>
      </c>
      <c r="C2024" s="2" t="s">
        <v>2626</v>
      </c>
    </row>
    <row r="2025" spans="2:3">
      <c r="B2025" s="6">
        <v>44027</v>
      </c>
      <c r="C2025" s="2" t="s">
        <v>281</v>
      </c>
    </row>
    <row r="2026" spans="2:3">
      <c r="B2026" s="6">
        <v>44028</v>
      </c>
      <c r="C2026" s="2" t="s">
        <v>2627</v>
      </c>
    </row>
    <row r="2027" spans="2:3">
      <c r="B2027" s="6">
        <v>44029</v>
      </c>
      <c r="C2027" s="2" t="s">
        <v>2628</v>
      </c>
    </row>
    <row r="2028" spans="2:3">
      <c r="B2028" s="6">
        <v>44030</v>
      </c>
      <c r="C2028" s="2" t="s">
        <v>2629</v>
      </c>
    </row>
    <row r="2029" spans="2:3">
      <c r="B2029" s="6">
        <v>44031</v>
      </c>
      <c r="C2029" s="2" t="s">
        <v>2630</v>
      </c>
    </row>
    <row r="2030" spans="2:3">
      <c r="B2030" s="6">
        <v>44032</v>
      </c>
      <c r="C2030" s="2" t="s">
        <v>2631</v>
      </c>
    </row>
    <row r="2031" spans="2:3">
      <c r="B2031" s="6">
        <v>44033</v>
      </c>
      <c r="C2031" s="2" t="s">
        <v>2632</v>
      </c>
    </row>
    <row r="2032" spans="2:3">
      <c r="B2032" s="6">
        <v>44034</v>
      </c>
      <c r="C2032" s="2" t="s">
        <v>2633</v>
      </c>
    </row>
    <row r="2033" spans="2:3">
      <c r="B2033" s="6">
        <v>44035</v>
      </c>
      <c r="C2033" s="2" t="s">
        <v>2634</v>
      </c>
    </row>
    <row r="2034" spans="2:3">
      <c r="B2034" s="6">
        <v>44036</v>
      </c>
      <c r="C2034" s="2" t="s">
        <v>2635</v>
      </c>
    </row>
    <row r="2035" spans="2:3">
      <c r="B2035" s="6">
        <v>44037</v>
      </c>
      <c r="C2035" s="2" t="s">
        <v>2636</v>
      </c>
    </row>
    <row r="2036" spans="2:3">
      <c r="B2036" s="6">
        <v>44038</v>
      </c>
      <c r="C2036" s="2" t="s">
        <v>2637</v>
      </c>
    </row>
    <row r="2037" spans="2:3">
      <c r="B2037" s="6">
        <v>44039</v>
      </c>
      <c r="C2037" s="2" t="s">
        <v>298</v>
      </c>
    </row>
    <row r="2038" spans="2:3">
      <c r="B2038" s="6">
        <v>44040</v>
      </c>
      <c r="C2038" s="2" t="s">
        <v>2638</v>
      </c>
    </row>
    <row r="2039" spans="2:3">
      <c r="B2039" s="6">
        <v>44041</v>
      </c>
      <c r="C2039" s="2" t="s">
        <v>299</v>
      </c>
    </row>
    <row r="2040" spans="2:3">
      <c r="B2040" s="6">
        <v>44042</v>
      </c>
      <c r="C2040" s="2" t="s">
        <v>2639</v>
      </c>
    </row>
    <row r="2041" spans="2:3">
      <c r="B2041" s="6">
        <v>44043</v>
      </c>
      <c r="C2041" s="2" t="s">
        <v>300</v>
      </c>
    </row>
    <row r="2042" spans="2:3">
      <c r="B2042" s="6">
        <v>44044</v>
      </c>
      <c r="C2042" s="2" t="s">
        <v>301</v>
      </c>
    </row>
    <row r="2043" spans="2:3">
      <c r="B2043" s="6">
        <v>44045</v>
      </c>
      <c r="C2043" s="2" t="s">
        <v>2640</v>
      </c>
    </row>
    <row r="2044" spans="2:3">
      <c r="B2044" s="6">
        <v>44046</v>
      </c>
      <c r="C2044" s="2" t="s">
        <v>2641</v>
      </c>
    </row>
    <row r="2045" spans="2:3">
      <c r="B2045" s="6">
        <v>44047</v>
      </c>
      <c r="C2045" s="2" t="s">
        <v>530</v>
      </c>
    </row>
    <row r="2046" spans="2:3">
      <c r="B2046" s="6">
        <v>44048</v>
      </c>
      <c r="C2046" s="2" t="s">
        <v>531</v>
      </c>
    </row>
    <row r="2047" spans="2:3">
      <c r="B2047" s="6">
        <v>44049</v>
      </c>
      <c r="C2047" s="2" t="s">
        <v>2642</v>
      </c>
    </row>
    <row r="2048" spans="2:3">
      <c r="B2048" s="6">
        <v>44050</v>
      </c>
      <c r="C2048" s="2" t="s">
        <v>2643</v>
      </c>
    </row>
    <row r="2049" spans="2:3">
      <c r="B2049" s="6">
        <v>44051</v>
      </c>
      <c r="C2049" s="2" t="s">
        <v>401</v>
      </c>
    </row>
    <row r="2050" spans="2:3">
      <c r="B2050" s="6">
        <v>44052</v>
      </c>
      <c r="C2050" s="2" t="s">
        <v>2644</v>
      </c>
    </row>
    <row r="2051" spans="2:3">
      <c r="B2051" s="6">
        <v>44053</v>
      </c>
      <c r="C2051" s="2" t="s">
        <v>2645</v>
      </c>
    </row>
    <row r="2052" spans="2:3">
      <c r="B2052" s="6">
        <v>44054</v>
      </c>
      <c r="C2052" s="2" t="s">
        <v>402</v>
      </c>
    </row>
    <row r="2053" spans="2:3">
      <c r="B2053" s="6">
        <v>44055</v>
      </c>
      <c r="C2053" s="2" t="s">
        <v>2646</v>
      </c>
    </row>
    <row r="2054" spans="2:3">
      <c r="B2054" s="6">
        <v>44056</v>
      </c>
      <c r="C2054" s="2" t="s">
        <v>2647</v>
      </c>
    </row>
    <row r="2055" spans="2:3">
      <c r="B2055" s="6">
        <v>44057</v>
      </c>
      <c r="C2055" s="2" t="s">
        <v>403</v>
      </c>
    </row>
    <row r="2056" spans="2:3">
      <c r="B2056" s="6">
        <v>44058</v>
      </c>
      <c r="C2056" s="2" t="s">
        <v>404</v>
      </c>
    </row>
    <row r="2057" spans="2:3">
      <c r="B2057" s="6">
        <v>44059</v>
      </c>
      <c r="C2057" s="2" t="s">
        <v>2648</v>
      </c>
    </row>
    <row r="2058" spans="2:3">
      <c r="B2058" s="6">
        <v>44060</v>
      </c>
      <c r="C2058" s="2" t="s">
        <v>2649</v>
      </c>
    </row>
    <row r="2059" spans="2:3">
      <c r="B2059" s="6">
        <v>44061</v>
      </c>
      <c r="C2059" s="2" t="s">
        <v>2650</v>
      </c>
    </row>
    <row r="2060" spans="2:3">
      <c r="B2060" s="6">
        <v>44062</v>
      </c>
      <c r="C2060" s="2" t="s">
        <v>2651</v>
      </c>
    </row>
    <row r="2061" spans="2:3">
      <c r="B2061" s="6">
        <v>44063</v>
      </c>
      <c r="C2061" s="2" t="s">
        <v>2652</v>
      </c>
    </row>
    <row r="2062" spans="2:3">
      <c r="B2062" s="6">
        <v>44064</v>
      </c>
      <c r="C2062" s="2" t="s">
        <v>2653</v>
      </c>
    </row>
    <row r="2063" spans="2:3">
      <c r="B2063" s="6">
        <v>44065</v>
      </c>
      <c r="C2063" s="2" t="s">
        <v>2654</v>
      </c>
    </row>
    <row r="2064" spans="2:3">
      <c r="B2064" s="6">
        <v>44066</v>
      </c>
      <c r="C2064" s="2" t="s">
        <v>2655</v>
      </c>
    </row>
    <row r="2065" spans="2:3">
      <c r="B2065" s="6">
        <v>44067</v>
      </c>
      <c r="C2065" s="2" t="s">
        <v>2656</v>
      </c>
    </row>
    <row r="2066" spans="2:3">
      <c r="B2066" s="6">
        <v>44068</v>
      </c>
      <c r="C2066" s="2" t="s">
        <v>2657</v>
      </c>
    </row>
    <row r="2067" spans="2:3">
      <c r="B2067" s="6">
        <v>44069</v>
      </c>
      <c r="C2067" s="2" t="s">
        <v>2658</v>
      </c>
    </row>
    <row r="2068" spans="2:3">
      <c r="B2068" s="6">
        <v>44070</v>
      </c>
      <c r="C2068" s="2" t="s">
        <v>2659</v>
      </c>
    </row>
    <row r="2069" spans="2:3">
      <c r="B2069" s="6">
        <v>44071</v>
      </c>
      <c r="C2069" s="2" t="s">
        <v>2660</v>
      </c>
    </row>
    <row r="2070" spans="2:3">
      <c r="B2070" s="6">
        <v>44072</v>
      </c>
      <c r="C2070" s="2" t="s">
        <v>2661</v>
      </c>
    </row>
    <row r="2071" spans="2:3">
      <c r="B2071" s="6">
        <v>44073</v>
      </c>
      <c r="C2071" s="2" t="s">
        <v>2662</v>
      </c>
    </row>
    <row r="2072" spans="2:3">
      <c r="B2072" s="6">
        <v>44074</v>
      </c>
      <c r="C2072" s="2" t="s">
        <v>2663</v>
      </c>
    </row>
    <row r="2073" spans="2:3">
      <c r="B2073" s="6">
        <v>44075</v>
      </c>
      <c r="C2073" s="2" t="s">
        <v>2664</v>
      </c>
    </row>
    <row r="2074" spans="2:3">
      <c r="B2074" s="6">
        <v>44076</v>
      </c>
      <c r="C2074" s="2" t="s">
        <v>2665</v>
      </c>
    </row>
    <row r="2075" spans="2:3">
      <c r="B2075" s="6">
        <v>44077</v>
      </c>
      <c r="C2075" s="2" t="s">
        <v>2666</v>
      </c>
    </row>
    <row r="2076" spans="2:3">
      <c r="B2076" s="6">
        <v>44078</v>
      </c>
      <c r="C2076" s="2" t="s">
        <v>2667</v>
      </c>
    </row>
    <row r="2077" spans="2:3">
      <c r="B2077" s="6">
        <v>44079</v>
      </c>
      <c r="C2077" s="2" t="s">
        <v>2668</v>
      </c>
    </row>
    <row r="2078" spans="2:3">
      <c r="B2078" s="6">
        <v>44080</v>
      </c>
      <c r="C2078" s="2" t="s">
        <v>647</v>
      </c>
    </row>
    <row r="2079" spans="2:3">
      <c r="B2079" s="6">
        <v>44081</v>
      </c>
      <c r="C2079" s="2" t="s">
        <v>2669</v>
      </c>
    </row>
    <row r="2080" spans="2:3">
      <c r="B2080" s="6">
        <v>44082</v>
      </c>
      <c r="C2080" s="2" t="s">
        <v>552</v>
      </c>
    </row>
    <row r="2081" spans="2:3">
      <c r="B2081" s="6">
        <v>44083</v>
      </c>
      <c r="C2081" s="2" t="s">
        <v>2670</v>
      </c>
    </row>
    <row r="2082" spans="2:3">
      <c r="B2082" s="6">
        <v>44084</v>
      </c>
      <c r="C2082" s="2" t="s">
        <v>2671</v>
      </c>
    </row>
    <row r="2083" spans="2:3">
      <c r="B2083" s="6">
        <v>44085</v>
      </c>
      <c r="C2083" s="2" t="s">
        <v>553</v>
      </c>
    </row>
    <row r="2084" spans="2:3">
      <c r="B2084" s="6">
        <v>44086</v>
      </c>
      <c r="C2084" s="2" t="s">
        <v>554</v>
      </c>
    </row>
    <row r="2085" spans="2:3">
      <c r="B2085" s="6">
        <v>44087</v>
      </c>
      <c r="C2085" s="2" t="s">
        <v>2672</v>
      </c>
    </row>
    <row r="2086" spans="2:3">
      <c r="B2086" s="6">
        <v>44088</v>
      </c>
      <c r="C2086" s="2" t="s">
        <v>2673</v>
      </c>
    </row>
    <row r="2087" spans="2:3">
      <c r="B2087" s="6">
        <v>44089</v>
      </c>
      <c r="C2087" s="2" t="s">
        <v>2674</v>
      </c>
    </row>
    <row r="2088" spans="2:3">
      <c r="B2088" s="6">
        <v>44090</v>
      </c>
      <c r="C2088" s="2" t="s">
        <v>555</v>
      </c>
    </row>
    <row r="2089" spans="2:3">
      <c r="B2089" s="6">
        <v>44091</v>
      </c>
      <c r="C2089" s="2" t="s">
        <v>2675</v>
      </c>
    </row>
    <row r="2090" spans="2:3">
      <c r="B2090" s="6">
        <v>44092</v>
      </c>
      <c r="C2090" s="2" t="s">
        <v>2676</v>
      </c>
    </row>
    <row r="2091" spans="2:3">
      <c r="B2091" s="6">
        <v>44093</v>
      </c>
      <c r="C2091" s="2" t="s">
        <v>2677</v>
      </c>
    </row>
    <row r="2092" spans="2:3">
      <c r="B2092" s="6">
        <v>44094</v>
      </c>
      <c r="C2092" s="2" t="s">
        <v>2678</v>
      </c>
    </row>
    <row r="2093" spans="2:3">
      <c r="B2093" s="6">
        <v>44095</v>
      </c>
      <c r="C2093" s="2" t="s">
        <v>2679</v>
      </c>
    </row>
    <row r="2094" spans="2:3">
      <c r="B2094" s="6">
        <v>44096</v>
      </c>
      <c r="C2094" s="2" t="s">
        <v>2680</v>
      </c>
    </row>
    <row r="2095" spans="2:3">
      <c r="B2095" s="6">
        <v>44097</v>
      </c>
      <c r="C2095" s="2" t="s">
        <v>2681</v>
      </c>
    </row>
    <row r="2096" spans="2:3">
      <c r="B2096" s="6">
        <v>44098</v>
      </c>
      <c r="C2096" s="2" t="s">
        <v>2682</v>
      </c>
    </row>
    <row r="2097" spans="2:3">
      <c r="B2097" s="6">
        <v>44099</v>
      </c>
      <c r="C2097" s="2" t="s">
        <v>2683</v>
      </c>
    </row>
    <row r="2098" spans="2:3">
      <c r="B2098" s="6">
        <v>44100</v>
      </c>
      <c r="C2098" s="2" t="s">
        <v>2684</v>
      </c>
    </row>
    <row r="2099" spans="2:3">
      <c r="B2099" s="6">
        <v>44101</v>
      </c>
      <c r="C2099" s="2" t="s">
        <v>2685</v>
      </c>
    </row>
    <row r="2100" spans="2:3">
      <c r="B2100" s="6">
        <v>44102</v>
      </c>
      <c r="C2100" s="2" t="s">
        <v>2686</v>
      </c>
    </row>
    <row r="2101" spans="2:3">
      <c r="B2101" s="6">
        <v>44103</v>
      </c>
      <c r="C2101" s="2" t="s">
        <v>2687</v>
      </c>
    </row>
    <row r="2102" spans="2:3">
      <c r="B2102" s="6">
        <v>44104</v>
      </c>
      <c r="C2102" s="2" t="s">
        <v>2688</v>
      </c>
    </row>
    <row r="2103" spans="2:3">
      <c r="B2103" s="6">
        <v>44105</v>
      </c>
      <c r="C2103" s="2" t="s">
        <v>2689</v>
      </c>
    </row>
    <row r="2104" spans="2:3">
      <c r="B2104" s="6">
        <v>44106</v>
      </c>
      <c r="C2104" s="2" t="s">
        <v>397</v>
      </c>
    </row>
    <row r="2105" spans="2:3">
      <c r="B2105" s="6">
        <v>44107</v>
      </c>
      <c r="C2105" s="2" t="s">
        <v>2690</v>
      </c>
    </row>
    <row r="2106" spans="2:3">
      <c r="B2106" s="6">
        <v>44108</v>
      </c>
      <c r="C2106" s="2" t="s">
        <v>2691</v>
      </c>
    </row>
    <row r="2107" spans="2:3">
      <c r="B2107" s="6">
        <v>44109</v>
      </c>
      <c r="C2107" s="2" t="s">
        <v>2692</v>
      </c>
    </row>
    <row r="2108" spans="2:3">
      <c r="B2108" s="6">
        <v>44110</v>
      </c>
      <c r="C2108" s="2" t="s">
        <v>398</v>
      </c>
    </row>
    <row r="2109" spans="2:3">
      <c r="B2109" s="6">
        <v>44111</v>
      </c>
      <c r="C2109" s="2" t="s">
        <v>2693</v>
      </c>
    </row>
    <row r="2110" spans="2:3">
      <c r="B2110" s="6">
        <v>44112</v>
      </c>
      <c r="C2110" s="2" t="s">
        <v>399</v>
      </c>
    </row>
    <row r="2111" spans="2:3">
      <c r="B2111" s="6">
        <v>44113</v>
      </c>
      <c r="C2111" s="2" t="s">
        <v>2694</v>
      </c>
    </row>
    <row r="2112" spans="2:3">
      <c r="B2112" s="6">
        <v>44114</v>
      </c>
      <c r="C2112" s="2" t="s">
        <v>2695</v>
      </c>
    </row>
    <row r="2113" spans="2:3">
      <c r="B2113" s="6">
        <v>44115</v>
      </c>
      <c r="C2113" s="2" t="s">
        <v>400</v>
      </c>
    </row>
    <row r="2114" spans="2:3">
      <c r="B2114" s="6">
        <v>44116</v>
      </c>
      <c r="C2114" s="2" t="s">
        <v>2696</v>
      </c>
    </row>
    <row r="2115" spans="2:3">
      <c r="B2115" s="6">
        <v>44117</v>
      </c>
      <c r="C2115" s="2" t="s">
        <v>2697</v>
      </c>
    </row>
    <row r="2116" spans="2:3">
      <c r="B2116" s="6">
        <v>44118</v>
      </c>
      <c r="C2116" s="2" t="s">
        <v>2698</v>
      </c>
    </row>
    <row r="2117" spans="2:3">
      <c r="B2117" s="6">
        <v>44119</v>
      </c>
      <c r="C2117" s="2" t="s">
        <v>2699</v>
      </c>
    </row>
    <row r="2118" spans="2:3">
      <c r="B2118" s="6">
        <v>44120</v>
      </c>
      <c r="C2118" s="2" t="s">
        <v>2700</v>
      </c>
    </row>
    <row r="2119" spans="2:3">
      <c r="B2119" s="6">
        <v>44121</v>
      </c>
      <c r="C2119" s="2" t="s">
        <v>2701</v>
      </c>
    </row>
    <row r="2120" spans="2:3">
      <c r="B2120" s="6">
        <v>44122</v>
      </c>
      <c r="C2120" s="2" t="s">
        <v>2702</v>
      </c>
    </row>
    <row r="2121" spans="2:3">
      <c r="B2121" s="6">
        <v>44123</v>
      </c>
      <c r="C2121" s="2" t="s">
        <v>2703</v>
      </c>
    </row>
    <row r="2122" spans="2:3">
      <c r="B2122" s="6">
        <v>44124</v>
      </c>
      <c r="C2122" s="2" t="s">
        <v>2704</v>
      </c>
    </row>
    <row r="2123" spans="2:3">
      <c r="B2123" s="6">
        <v>44125</v>
      </c>
      <c r="C2123" s="2" t="s">
        <v>2705</v>
      </c>
    </row>
    <row r="2124" spans="2:3">
      <c r="B2124" s="6">
        <v>44126</v>
      </c>
      <c r="C2124" s="2" t="s">
        <v>2706</v>
      </c>
    </row>
    <row r="2125" spans="2:3">
      <c r="B2125" s="6">
        <v>44127</v>
      </c>
      <c r="C2125" s="2" t="s">
        <v>2707</v>
      </c>
    </row>
    <row r="2126" spans="2:3">
      <c r="B2126" s="6">
        <v>44128</v>
      </c>
      <c r="C2126" s="2" t="s">
        <v>2708</v>
      </c>
    </row>
    <row r="2127" spans="2:3">
      <c r="B2127" s="6">
        <v>44129</v>
      </c>
      <c r="C2127" s="2" t="s">
        <v>2709</v>
      </c>
    </row>
    <row r="2128" spans="2:3">
      <c r="B2128" s="6">
        <v>44130</v>
      </c>
      <c r="C2128" s="2" t="s">
        <v>2710</v>
      </c>
    </row>
    <row r="2129" spans="2:3">
      <c r="B2129" s="6">
        <v>44131</v>
      </c>
      <c r="C2129" s="2" t="s">
        <v>2711</v>
      </c>
    </row>
    <row r="2130" spans="2:3">
      <c r="B2130" s="6">
        <v>44132</v>
      </c>
      <c r="C2130" s="2" t="s">
        <v>2712</v>
      </c>
    </row>
    <row r="2131" spans="2:3">
      <c r="B2131" s="6">
        <v>44133</v>
      </c>
      <c r="C2131" s="2" t="s">
        <v>2713</v>
      </c>
    </row>
    <row r="2132" spans="2:3">
      <c r="B2132" s="6">
        <v>44134</v>
      </c>
      <c r="C2132" s="2" t="s">
        <v>2714</v>
      </c>
    </row>
    <row r="2133" spans="2:3">
      <c r="B2133" s="6">
        <v>44135</v>
      </c>
      <c r="C2133" s="2" t="s">
        <v>2715</v>
      </c>
    </row>
    <row r="2134" spans="2:3">
      <c r="B2134" s="6">
        <v>44136</v>
      </c>
      <c r="C2134" s="2" t="s">
        <v>2716</v>
      </c>
    </row>
    <row r="2135" spans="2:3">
      <c r="B2135" s="6">
        <v>44137</v>
      </c>
      <c r="C2135" s="2" t="s">
        <v>2717</v>
      </c>
    </row>
    <row r="2136" spans="2:3">
      <c r="B2136" s="6">
        <v>44138</v>
      </c>
      <c r="C2136" s="2" t="s">
        <v>2718</v>
      </c>
    </row>
    <row r="2137" spans="2:3">
      <c r="B2137" s="6">
        <v>44139</v>
      </c>
      <c r="C2137" s="2" t="s">
        <v>2719</v>
      </c>
    </row>
    <row r="2138" spans="2:3">
      <c r="B2138" s="6">
        <v>44140</v>
      </c>
      <c r="C2138" s="2" t="s">
        <v>2720</v>
      </c>
    </row>
    <row r="2139" spans="2:3">
      <c r="B2139" s="6">
        <v>44141</v>
      </c>
      <c r="C2139" s="2" t="s">
        <v>2721</v>
      </c>
    </row>
    <row r="2140" spans="2:3">
      <c r="B2140" s="6">
        <v>44142</v>
      </c>
      <c r="C2140" s="2" t="s">
        <v>431</v>
      </c>
    </row>
    <row r="2141" spans="2:3">
      <c r="B2141" s="6">
        <v>44143</v>
      </c>
      <c r="C2141" s="2" t="s">
        <v>2722</v>
      </c>
    </row>
    <row r="2142" spans="2:3">
      <c r="B2142" s="6">
        <v>44144</v>
      </c>
      <c r="C2142" s="2" t="s">
        <v>432</v>
      </c>
    </row>
    <row r="2143" spans="2:3">
      <c r="B2143" s="6">
        <v>44145</v>
      </c>
      <c r="C2143" s="2" t="s">
        <v>433</v>
      </c>
    </row>
    <row r="2144" spans="2:3">
      <c r="B2144" s="6">
        <v>44146</v>
      </c>
      <c r="C2144" s="2" t="s">
        <v>2723</v>
      </c>
    </row>
    <row r="2145" spans="2:3">
      <c r="B2145" s="6">
        <v>44147</v>
      </c>
      <c r="C2145" s="2" t="s">
        <v>434</v>
      </c>
    </row>
    <row r="2146" spans="2:3">
      <c r="B2146" s="6">
        <v>44148</v>
      </c>
      <c r="C2146" s="2" t="s">
        <v>2724</v>
      </c>
    </row>
    <row r="2147" spans="2:3">
      <c r="B2147" s="6">
        <v>44149</v>
      </c>
      <c r="C2147" s="2" t="s">
        <v>2725</v>
      </c>
    </row>
    <row r="2148" spans="2:3">
      <c r="B2148" s="6">
        <v>44150</v>
      </c>
      <c r="C2148" s="2" t="s">
        <v>2726</v>
      </c>
    </row>
    <row r="2149" spans="2:3">
      <c r="B2149" s="6">
        <v>44151</v>
      </c>
      <c r="C2149" s="2" t="s">
        <v>2727</v>
      </c>
    </row>
    <row r="2150" spans="2:3">
      <c r="B2150" s="6">
        <v>44152</v>
      </c>
      <c r="C2150" s="2" t="s">
        <v>2728</v>
      </c>
    </row>
    <row r="2151" spans="2:3">
      <c r="B2151" s="6">
        <v>44153</v>
      </c>
      <c r="C2151" s="2" t="s">
        <v>2729</v>
      </c>
    </row>
    <row r="2152" spans="2:3">
      <c r="B2152" s="6">
        <v>44154</v>
      </c>
      <c r="C2152" s="2" t="s">
        <v>2730</v>
      </c>
    </row>
    <row r="2153" spans="2:3">
      <c r="B2153" s="6">
        <v>44155</v>
      </c>
      <c r="C2153" s="2" t="s">
        <v>2731</v>
      </c>
    </row>
    <row r="2154" spans="2:3">
      <c r="B2154" s="6">
        <v>44156</v>
      </c>
      <c r="C2154" s="2" t="s">
        <v>2732</v>
      </c>
    </row>
    <row r="2155" spans="2:3">
      <c r="B2155" s="6">
        <v>44157</v>
      </c>
      <c r="C2155" s="2" t="s">
        <v>2733</v>
      </c>
    </row>
    <row r="2156" spans="2:3">
      <c r="B2156" s="6">
        <v>44158</v>
      </c>
      <c r="C2156" s="2" t="s">
        <v>413</v>
      </c>
    </row>
    <row r="2157" spans="2:3">
      <c r="B2157" s="6">
        <v>44159</v>
      </c>
      <c r="C2157" s="2" t="s">
        <v>2734</v>
      </c>
    </row>
    <row r="2158" spans="2:3">
      <c r="B2158" s="6">
        <v>44160</v>
      </c>
      <c r="C2158" s="2" t="s">
        <v>2735</v>
      </c>
    </row>
    <row r="2159" spans="2:3">
      <c r="B2159" s="6">
        <v>44161</v>
      </c>
      <c r="C2159" s="2" t="s">
        <v>2736</v>
      </c>
    </row>
    <row r="2160" spans="2:3">
      <c r="B2160" s="6">
        <v>44162</v>
      </c>
      <c r="C2160" s="2" t="s">
        <v>414</v>
      </c>
    </row>
    <row r="2161" spans="2:3">
      <c r="B2161" s="6">
        <v>44163</v>
      </c>
      <c r="C2161" s="2" t="s">
        <v>2737</v>
      </c>
    </row>
    <row r="2162" spans="2:3">
      <c r="B2162" s="6">
        <v>44164</v>
      </c>
      <c r="C2162" s="2" t="s">
        <v>2738</v>
      </c>
    </row>
    <row r="2163" spans="2:3">
      <c r="B2163" s="6">
        <v>44165</v>
      </c>
      <c r="C2163" s="2" t="s">
        <v>415</v>
      </c>
    </row>
    <row r="2164" spans="2:3">
      <c r="B2164" s="6">
        <v>44166</v>
      </c>
      <c r="C2164" s="2" t="s">
        <v>2739</v>
      </c>
    </row>
    <row r="2165" spans="2:3">
      <c r="B2165" s="6">
        <v>44167</v>
      </c>
      <c r="C2165" s="2" t="s">
        <v>2740</v>
      </c>
    </row>
    <row r="2166" spans="2:3">
      <c r="B2166" s="6">
        <v>44168</v>
      </c>
      <c r="C2166" s="2" t="s">
        <v>416</v>
      </c>
    </row>
    <row r="2167" spans="2:3">
      <c r="B2167" s="6">
        <v>44169</v>
      </c>
      <c r="C2167" s="2" t="s">
        <v>2741</v>
      </c>
    </row>
    <row r="2168" spans="2:3">
      <c r="B2168" s="6">
        <v>44170</v>
      </c>
      <c r="C2168" s="2" t="s">
        <v>2742</v>
      </c>
    </row>
    <row r="2169" spans="2:3">
      <c r="B2169" s="6">
        <v>44171</v>
      </c>
      <c r="C2169" s="2" t="s">
        <v>2743</v>
      </c>
    </row>
    <row r="2170" spans="2:3">
      <c r="B2170" s="6">
        <v>44172</v>
      </c>
      <c r="C2170" s="2" t="s">
        <v>2744</v>
      </c>
    </row>
    <row r="2171" spans="2:3">
      <c r="B2171" s="6">
        <v>44173</v>
      </c>
      <c r="C2171" s="2" t="s">
        <v>2745</v>
      </c>
    </row>
    <row r="2172" spans="2:3">
      <c r="B2172" s="6">
        <v>44174</v>
      </c>
      <c r="C2172" s="2" t="s">
        <v>2746</v>
      </c>
    </row>
    <row r="2173" spans="2:3">
      <c r="B2173" s="6">
        <v>44175</v>
      </c>
      <c r="C2173" s="2" t="s">
        <v>2747</v>
      </c>
    </row>
    <row r="2174" spans="2:3">
      <c r="B2174" s="6">
        <v>44176</v>
      </c>
      <c r="C2174" s="2" t="s">
        <v>2748</v>
      </c>
    </row>
    <row r="2175" spans="2:3">
      <c r="B2175" s="6">
        <v>44177</v>
      </c>
      <c r="C2175" s="2" t="s">
        <v>2749</v>
      </c>
    </row>
    <row r="2176" spans="2:3">
      <c r="B2176" s="6">
        <v>44178</v>
      </c>
      <c r="C2176" s="2" t="s">
        <v>2750</v>
      </c>
    </row>
    <row r="2177" spans="2:3">
      <c r="B2177" s="6">
        <v>44179</v>
      </c>
      <c r="C2177" s="2" t="s">
        <v>2751</v>
      </c>
    </row>
    <row r="2178" spans="2:3">
      <c r="B2178" s="6">
        <v>44180</v>
      </c>
      <c r="C2178" s="2" t="s">
        <v>2752</v>
      </c>
    </row>
    <row r="2179" spans="2:3">
      <c r="B2179" s="6">
        <v>44181</v>
      </c>
      <c r="C2179" s="2" t="s">
        <v>2753</v>
      </c>
    </row>
    <row r="2180" spans="2:3">
      <c r="B2180" s="6">
        <v>44182</v>
      </c>
      <c r="C2180" s="2" t="s">
        <v>2754</v>
      </c>
    </row>
    <row r="2181" spans="2:3">
      <c r="B2181" s="6">
        <v>44183</v>
      </c>
      <c r="C2181" s="2" t="s">
        <v>2755</v>
      </c>
    </row>
    <row r="2182" spans="2:3">
      <c r="B2182" s="6">
        <v>44184</v>
      </c>
      <c r="C2182" s="2" t="s">
        <v>2756</v>
      </c>
    </row>
    <row r="2183" spans="2:3">
      <c r="B2183" s="6">
        <v>44185</v>
      </c>
      <c r="C2183" s="2" t="s">
        <v>2757</v>
      </c>
    </row>
    <row r="2184" spans="2:3">
      <c r="B2184" s="6">
        <v>44186</v>
      </c>
      <c r="C2184" s="2" t="s">
        <v>2758</v>
      </c>
    </row>
    <row r="2185" spans="2:3">
      <c r="B2185" s="6">
        <v>44187</v>
      </c>
      <c r="C2185" s="2" t="s">
        <v>2759</v>
      </c>
    </row>
    <row r="2186" spans="2:3">
      <c r="B2186" s="6">
        <v>44188</v>
      </c>
      <c r="C2186" s="2" t="s">
        <v>2760</v>
      </c>
    </row>
    <row r="2187" spans="2:3">
      <c r="B2187" s="6">
        <v>44189</v>
      </c>
      <c r="C2187" s="2" t="s">
        <v>2761</v>
      </c>
    </row>
    <row r="2188" spans="2:3">
      <c r="B2188" s="6">
        <v>44190</v>
      </c>
      <c r="C2188" s="2" t="s">
        <v>2762</v>
      </c>
    </row>
    <row r="2189" spans="2:3">
      <c r="B2189" s="6">
        <v>44191</v>
      </c>
      <c r="C2189" s="2" t="s">
        <v>2763</v>
      </c>
    </row>
    <row r="2190" spans="2:3">
      <c r="B2190" s="6">
        <v>44192</v>
      </c>
      <c r="C2190" s="2" t="s">
        <v>2764</v>
      </c>
    </row>
    <row r="2191" spans="2:3">
      <c r="B2191" s="6">
        <v>44193</v>
      </c>
      <c r="C2191" s="2" t="s">
        <v>2765</v>
      </c>
    </row>
    <row r="2192" spans="2:3">
      <c r="B2192" s="6">
        <v>44194</v>
      </c>
      <c r="C2192" s="2" t="s">
        <v>2766</v>
      </c>
    </row>
    <row r="2193" spans="2:3">
      <c r="B2193" s="6">
        <v>44195</v>
      </c>
      <c r="C2193" s="2" t="s">
        <v>2767</v>
      </c>
    </row>
    <row r="2194" spans="2:3">
      <c r="B2194" s="6">
        <v>44196</v>
      </c>
      <c r="C2194" s="2" t="s">
        <v>2768</v>
      </c>
    </row>
    <row r="2195" spans="2:3">
      <c r="B2195" s="6">
        <v>44197</v>
      </c>
      <c r="C2195" s="2" t="s">
        <v>2769</v>
      </c>
    </row>
    <row r="2196" spans="2:3">
      <c r="B2196" s="6">
        <v>44198</v>
      </c>
      <c r="C2196" s="2" t="s">
        <v>2770</v>
      </c>
    </row>
    <row r="2197" spans="2:3">
      <c r="B2197" s="6">
        <v>44199</v>
      </c>
      <c r="C2197" s="2" t="s">
        <v>2771</v>
      </c>
    </row>
    <row r="2198" spans="2:3">
      <c r="B2198" s="6">
        <v>44200</v>
      </c>
      <c r="C2198" s="2" t="s">
        <v>2772</v>
      </c>
    </row>
    <row r="2199" spans="2:3">
      <c r="B2199" s="6">
        <v>44201</v>
      </c>
      <c r="C2199" s="2" t="s">
        <v>2773</v>
      </c>
    </row>
    <row r="2200" spans="2:3">
      <c r="B2200" s="6">
        <v>44202</v>
      </c>
      <c r="C2200" s="2" t="s">
        <v>2774</v>
      </c>
    </row>
    <row r="2201" spans="2:3">
      <c r="B2201" s="6">
        <v>44203</v>
      </c>
      <c r="C2201" s="2" t="s">
        <v>2775</v>
      </c>
    </row>
    <row r="2202" spans="2:3">
      <c r="B2202" s="6">
        <v>44204</v>
      </c>
      <c r="C2202" s="2" t="s">
        <v>2776</v>
      </c>
    </row>
    <row r="2203" spans="2:3">
      <c r="B2203" s="6">
        <v>44205</v>
      </c>
      <c r="C2203" s="2" t="s">
        <v>2777</v>
      </c>
    </row>
    <row r="2204" spans="2:3">
      <c r="B2204" s="6">
        <v>44206</v>
      </c>
      <c r="C2204" s="2" t="s">
        <v>2778</v>
      </c>
    </row>
    <row r="2205" spans="2:3">
      <c r="B2205" s="6">
        <v>44207</v>
      </c>
      <c r="C2205" s="2" t="s">
        <v>2779</v>
      </c>
    </row>
    <row r="2206" spans="2:3">
      <c r="B2206" s="6">
        <v>44208</v>
      </c>
      <c r="C2206" s="2" t="s">
        <v>2780</v>
      </c>
    </row>
    <row r="2207" spans="2:3">
      <c r="B2207" s="6">
        <v>44209</v>
      </c>
      <c r="C2207" s="2" t="s">
        <v>2781</v>
      </c>
    </row>
    <row r="2208" spans="2:3">
      <c r="B2208" s="6">
        <v>44210</v>
      </c>
      <c r="C2208" s="2" t="s">
        <v>2782</v>
      </c>
    </row>
    <row r="2209" spans="2:3">
      <c r="B2209" s="6">
        <v>44211</v>
      </c>
      <c r="C2209" s="2" t="s">
        <v>2783</v>
      </c>
    </row>
    <row r="2210" spans="2:3">
      <c r="B2210" s="6">
        <v>44212</v>
      </c>
      <c r="C2210" s="2" t="s">
        <v>2784</v>
      </c>
    </row>
    <row r="2211" spans="2:3">
      <c r="B2211" s="6">
        <v>44213</v>
      </c>
      <c r="C2211" s="2" t="s">
        <v>2785</v>
      </c>
    </row>
    <row r="2212" spans="2:3">
      <c r="B2212" s="6">
        <v>44214</v>
      </c>
      <c r="C2212" s="2" t="s">
        <v>2786</v>
      </c>
    </row>
    <row r="2213" spans="2:3">
      <c r="B2213" s="6">
        <v>44215</v>
      </c>
      <c r="C2213" s="2" t="s">
        <v>2787</v>
      </c>
    </row>
    <row r="2214" spans="2:3">
      <c r="B2214" s="6">
        <v>44216</v>
      </c>
      <c r="C2214" s="2" t="s">
        <v>2788</v>
      </c>
    </row>
    <row r="2215" spans="2:3">
      <c r="B2215" s="6">
        <v>44217</v>
      </c>
      <c r="C2215" s="2" t="s">
        <v>2789</v>
      </c>
    </row>
    <row r="2216" spans="2:3">
      <c r="B2216" s="6">
        <v>44218</v>
      </c>
      <c r="C2216" s="2" t="s">
        <v>2790</v>
      </c>
    </row>
    <row r="2217" spans="2:3">
      <c r="B2217" s="6">
        <v>44219</v>
      </c>
      <c r="C2217" s="2" t="s">
        <v>2791</v>
      </c>
    </row>
    <row r="2218" spans="2:3">
      <c r="B2218" s="6">
        <v>44220</v>
      </c>
      <c r="C2218" s="2" t="s">
        <v>2792</v>
      </c>
    </row>
    <row r="2219" spans="2:3">
      <c r="B2219" s="6">
        <v>44221</v>
      </c>
      <c r="C2219" s="2" t="s">
        <v>2793</v>
      </c>
    </row>
    <row r="2220" spans="2:3">
      <c r="B2220" s="6">
        <v>44222</v>
      </c>
      <c r="C2220" s="2" t="s">
        <v>2794</v>
      </c>
    </row>
    <row r="2221" spans="2:3">
      <c r="B2221" s="6">
        <v>44223</v>
      </c>
      <c r="C2221" s="2" t="s">
        <v>2795</v>
      </c>
    </row>
    <row r="2222" spans="2:3">
      <c r="B2222" s="6">
        <v>44224</v>
      </c>
      <c r="C2222" s="2" t="s">
        <v>2796</v>
      </c>
    </row>
    <row r="2223" spans="2:3">
      <c r="B2223" s="6">
        <v>44225</v>
      </c>
      <c r="C2223" s="2" t="s">
        <v>2797</v>
      </c>
    </row>
    <row r="2224" spans="2:3">
      <c r="B2224" s="6">
        <v>44226</v>
      </c>
      <c r="C2224" s="2" t="s">
        <v>478</v>
      </c>
    </row>
    <row r="2225" spans="2:3">
      <c r="B2225" s="6">
        <v>44227</v>
      </c>
      <c r="C2225" s="2" t="s">
        <v>2798</v>
      </c>
    </row>
    <row r="2226" spans="2:3">
      <c r="B2226" s="6">
        <v>44228</v>
      </c>
      <c r="C2226" s="2" t="s">
        <v>479</v>
      </c>
    </row>
    <row r="2227" spans="2:3">
      <c r="B2227" s="6">
        <v>44229</v>
      </c>
      <c r="C2227" s="2" t="s">
        <v>2799</v>
      </c>
    </row>
    <row r="2228" spans="2:3">
      <c r="B2228" s="6">
        <v>44230</v>
      </c>
      <c r="C2228" s="2" t="s">
        <v>480</v>
      </c>
    </row>
    <row r="2229" spans="2:3">
      <c r="B2229" s="6">
        <v>44231</v>
      </c>
      <c r="C2229" s="2" t="s">
        <v>2800</v>
      </c>
    </row>
    <row r="2230" spans="2:3">
      <c r="B2230" s="6">
        <v>44232</v>
      </c>
      <c r="C2230" s="2" t="s">
        <v>2801</v>
      </c>
    </row>
    <row r="2231" spans="2:3">
      <c r="B2231" s="6">
        <v>44233</v>
      </c>
      <c r="C2231" s="2" t="s">
        <v>579</v>
      </c>
    </row>
    <row r="2232" spans="2:3">
      <c r="B2232" s="6">
        <v>44234</v>
      </c>
      <c r="C2232" s="2" t="s">
        <v>481</v>
      </c>
    </row>
    <row r="2233" spans="2:3">
      <c r="B2233" s="6">
        <v>44235</v>
      </c>
      <c r="C2233" s="2" t="s">
        <v>580</v>
      </c>
    </row>
    <row r="2234" spans="2:3">
      <c r="B2234" s="6">
        <v>44236</v>
      </c>
      <c r="C2234" s="2" t="s">
        <v>2802</v>
      </c>
    </row>
    <row r="2235" spans="2:3">
      <c r="B2235" s="6">
        <v>44237</v>
      </c>
      <c r="C2235" s="2" t="s">
        <v>581</v>
      </c>
    </row>
    <row r="2236" spans="2:3">
      <c r="B2236" s="6">
        <v>44238</v>
      </c>
      <c r="C2236" s="2" t="s">
        <v>2803</v>
      </c>
    </row>
    <row r="2237" spans="2:3">
      <c r="B2237" s="6">
        <v>44239</v>
      </c>
      <c r="C2237" s="2" t="s">
        <v>2804</v>
      </c>
    </row>
    <row r="2238" spans="2:3">
      <c r="B2238" s="6">
        <v>44240</v>
      </c>
      <c r="C2238" s="2" t="s">
        <v>2805</v>
      </c>
    </row>
    <row r="2239" spans="2:3">
      <c r="B2239" s="6">
        <v>44241</v>
      </c>
      <c r="C2239" s="2" t="s">
        <v>2806</v>
      </c>
    </row>
    <row r="2240" spans="2:3">
      <c r="B2240" s="6">
        <v>44242</v>
      </c>
      <c r="C2240" s="2" t="s">
        <v>2807</v>
      </c>
    </row>
    <row r="2241" spans="2:3">
      <c r="B2241" s="6">
        <v>44243</v>
      </c>
      <c r="C2241" s="2" t="s">
        <v>2808</v>
      </c>
    </row>
    <row r="2242" spans="2:3">
      <c r="B2242" s="6">
        <v>44244</v>
      </c>
      <c r="C2242" s="2" t="s">
        <v>2809</v>
      </c>
    </row>
    <row r="2243" spans="2:3">
      <c r="B2243" s="6">
        <v>44245</v>
      </c>
      <c r="C2243" s="2" t="s">
        <v>2810</v>
      </c>
    </row>
    <row r="2244" spans="2:3">
      <c r="B2244" s="6">
        <v>44246</v>
      </c>
      <c r="C2244" s="2" t="s">
        <v>2811</v>
      </c>
    </row>
    <row r="2245" spans="2:3">
      <c r="B2245" s="6">
        <v>44247</v>
      </c>
      <c r="C2245" s="2" t="s">
        <v>2812</v>
      </c>
    </row>
    <row r="2246" spans="2:3">
      <c r="B2246" s="6">
        <v>44248</v>
      </c>
      <c r="C2246" s="2" t="s">
        <v>2813</v>
      </c>
    </row>
    <row r="2247" spans="2:3">
      <c r="B2247" s="6">
        <v>44249</v>
      </c>
      <c r="C2247" s="2" t="s">
        <v>2814</v>
      </c>
    </row>
    <row r="2248" spans="2:3">
      <c r="B2248" s="6">
        <v>44250</v>
      </c>
      <c r="C2248" s="2" t="s">
        <v>2815</v>
      </c>
    </row>
    <row r="2249" spans="2:3">
      <c r="B2249" s="6">
        <v>44251</v>
      </c>
      <c r="C2249" s="2" t="s">
        <v>2816</v>
      </c>
    </row>
    <row r="2250" spans="2:3">
      <c r="B2250" s="6">
        <v>44252</v>
      </c>
      <c r="C2250" s="2" t="s">
        <v>2817</v>
      </c>
    </row>
    <row r="2251" spans="2:3">
      <c r="B2251" s="6">
        <v>44253</v>
      </c>
      <c r="C2251" s="2" t="s">
        <v>2818</v>
      </c>
    </row>
    <row r="2252" spans="2:3">
      <c r="B2252" s="6">
        <v>44254</v>
      </c>
      <c r="C2252" s="2" t="s">
        <v>2819</v>
      </c>
    </row>
    <row r="2253" spans="2:3">
      <c r="B2253" s="6">
        <v>44255</v>
      </c>
      <c r="C2253" s="2" t="s">
        <v>2820</v>
      </c>
    </row>
    <row r="2254" spans="2:3">
      <c r="B2254" s="6">
        <v>44256</v>
      </c>
      <c r="C2254" s="2" t="s">
        <v>2821</v>
      </c>
    </row>
    <row r="2255" spans="2:3">
      <c r="B2255" s="6">
        <v>44257</v>
      </c>
      <c r="C2255" s="2" t="s">
        <v>2822</v>
      </c>
    </row>
    <row r="2256" spans="2:3">
      <c r="B2256" s="6">
        <v>44258</v>
      </c>
      <c r="C2256" s="2" t="s">
        <v>2823</v>
      </c>
    </row>
    <row r="2257" spans="2:3">
      <c r="B2257" s="6">
        <v>44259</v>
      </c>
      <c r="C2257" s="2" t="s">
        <v>2824</v>
      </c>
    </row>
    <row r="2258" spans="2:3">
      <c r="B2258" s="6">
        <v>44260</v>
      </c>
      <c r="C2258" s="2" t="s">
        <v>2825</v>
      </c>
    </row>
    <row r="2259" spans="2:3">
      <c r="B2259" s="6">
        <v>44261</v>
      </c>
      <c r="C2259" s="2" t="s">
        <v>2826</v>
      </c>
    </row>
    <row r="2260" spans="2:3">
      <c r="B2260" s="6">
        <v>44262</v>
      </c>
      <c r="C2260" s="2" t="s">
        <v>2827</v>
      </c>
    </row>
    <row r="2261" spans="2:3">
      <c r="B2261" s="6">
        <v>44263</v>
      </c>
      <c r="C2261" s="2" t="s">
        <v>2828</v>
      </c>
    </row>
    <row r="2262" spans="2:3">
      <c r="B2262" s="6">
        <v>44264</v>
      </c>
      <c r="C2262" s="2" t="s">
        <v>2829</v>
      </c>
    </row>
    <row r="2263" spans="2:3">
      <c r="B2263" s="6">
        <v>44265</v>
      </c>
      <c r="C2263" s="2" t="s">
        <v>2830</v>
      </c>
    </row>
    <row r="2264" spans="2:3">
      <c r="B2264" s="6">
        <v>44266</v>
      </c>
      <c r="C2264" s="2" t="s">
        <v>2831</v>
      </c>
    </row>
    <row r="2265" spans="2:3">
      <c r="B2265" s="6">
        <v>44267</v>
      </c>
      <c r="C2265" s="2" t="s">
        <v>2832</v>
      </c>
    </row>
    <row r="2266" spans="2:3">
      <c r="B2266" s="6">
        <v>44268</v>
      </c>
      <c r="C2266" s="2" t="s">
        <v>2833</v>
      </c>
    </row>
    <row r="2267" spans="2:3">
      <c r="B2267" s="6">
        <v>44269</v>
      </c>
      <c r="C2267" s="2" t="s">
        <v>2834</v>
      </c>
    </row>
    <row r="2268" spans="2:3">
      <c r="B2268" s="6">
        <v>44270</v>
      </c>
      <c r="C2268" s="2" t="s">
        <v>2835</v>
      </c>
    </row>
    <row r="2269" spans="2:3">
      <c r="B2269" s="6">
        <v>44271</v>
      </c>
      <c r="C2269" s="2" t="s">
        <v>2836</v>
      </c>
    </row>
    <row r="2270" spans="2:3">
      <c r="B2270" s="6">
        <v>44272</v>
      </c>
      <c r="C2270" s="2" t="s">
        <v>2837</v>
      </c>
    </row>
    <row r="2271" spans="2:3">
      <c r="B2271" s="6">
        <v>44273</v>
      </c>
      <c r="C2271" s="2" t="s">
        <v>2838</v>
      </c>
    </row>
    <row r="2272" spans="2:3">
      <c r="B2272" s="6">
        <v>44274</v>
      </c>
      <c r="C2272" s="2" t="s">
        <v>2839</v>
      </c>
    </row>
    <row r="2273" spans="2:3">
      <c r="B2273" s="6">
        <v>44275</v>
      </c>
      <c r="C2273" s="2" t="s">
        <v>2840</v>
      </c>
    </row>
    <row r="2274" spans="2:3">
      <c r="B2274" s="6">
        <v>44276</v>
      </c>
      <c r="C2274" s="2" t="s">
        <v>2841</v>
      </c>
    </row>
    <row r="2275" spans="2:3">
      <c r="B2275" s="6">
        <v>44277</v>
      </c>
      <c r="C2275" s="2" t="s">
        <v>2842</v>
      </c>
    </row>
    <row r="2276" spans="2:3">
      <c r="B2276" s="6">
        <v>44278</v>
      </c>
      <c r="C2276" s="2" t="s">
        <v>2843</v>
      </c>
    </row>
    <row r="2277" spans="2:3">
      <c r="B2277" s="6">
        <v>44279</v>
      </c>
      <c r="C2277" s="2" t="s">
        <v>2844</v>
      </c>
    </row>
    <row r="2278" spans="2:3">
      <c r="B2278" s="6">
        <v>44280</v>
      </c>
      <c r="C2278" s="2" t="s">
        <v>2845</v>
      </c>
    </row>
    <row r="2279" spans="2:3">
      <c r="B2279" s="6">
        <v>44281</v>
      </c>
      <c r="C2279" s="2" t="s">
        <v>2846</v>
      </c>
    </row>
    <row r="2280" spans="2:3">
      <c r="B2280" s="6">
        <v>44282</v>
      </c>
      <c r="C2280" s="2" t="s">
        <v>2847</v>
      </c>
    </row>
    <row r="2281" spans="2:3">
      <c r="B2281" s="6">
        <v>44283</v>
      </c>
      <c r="C2281" s="2" t="s">
        <v>2848</v>
      </c>
    </row>
    <row r="2282" spans="2:3">
      <c r="B2282" s="6">
        <v>44284</v>
      </c>
      <c r="C2282" s="2" t="s">
        <v>2849</v>
      </c>
    </row>
    <row r="2283" spans="2:3">
      <c r="B2283" s="6">
        <v>44285</v>
      </c>
      <c r="C2283" s="2" t="s">
        <v>2850</v>
      </c>
    </row>
    <row r="2284" spans="2:3">
      <c r="B2284" s="6">
        <v>44286</v>
      </c>
      <c r="C2284" s="2" t="s">
        <v>2851</v>
      </c>
    </row>
    <row r="2285" spans="2:3">
      <c r="B2285" s="6">
        <v>44287</v>
      </c>
      <c r="C2285" s="2" t="s">
        <v>2852</v>
      </c>
    </row>
    <row r="2286" spans="2:3">
      <c r="B2286" s="6">
        <v>44288</v>
      </c>
      <c r="C2286" s="2" t="s">
        <v>2853</v>
      </c>
    </row>
    <row r="2287" spans="2:3">
      <c r="B2287" s="6">
        <v>44289</v>
      </c>
      <c r="C2287" s="2" t="s">
        <v>2854</v>
      </c>
    </row>
    <row r="2288" spans="2:3">
      <c r="B2288" s="6">
        <v>44290</v>
      </c>
      <c r="C2288" s="2" t="s">
        <v>659</v>
      </c>
    </row>
    <row r="2289" spans="2:3">
      <c r="B2289" s="6">
        <v>44291</v>
      </c>
      <c r="C2289" s="2" t="s">
        <v>2855</v>
      </c>
    </row>
    <row r="2290" spans="2:3">
      <c r="B2290" s="6">
        <v>44292</v>
      </c>
      <c r="C2290" s="2" t="s">
        <v>2856</v>
      </c>
    </row>
    <row r="2291" spans="2:3">
      <c r="B2291" s="6">
        <v>44293</v>
      </c>
      <c r="C2291" s="2" t="s">
        <v>660</v>
      </c>
    </row>
    <row r="2292" spans="2:3">
      <c r="B2292" s="6">
        <v>44294</v>
      </c>
      <c r="C2292" s="2" t="s">
        <v>2857</v>
      </c>
    </row>
    <row r="2293" spans="2:3">
      <c r="B2293" s="6">
        <v>44295</v>
      </c>
      <c r="C2293" s="2" t="s">
        <v>2858</v>
      </c>
    </row>
    <row r="2294" spans="2:3">
      <c r="B2294" s="6">
        <v>44296</v>
      </c>
      <c r="C2294" s="2" t="s">
        <v>2859</v>
      </c>
    </row>
    <row r="2295" spans="2:3">
      <c r="B2295" s="6">
        <v>44297</v>
      </c>
      <c r="C2295" s="2" t="s">
        <v>661</v>
      </c>
    </row>
    <row r="2296" spans="2:3">
      <c r="B2296" s="6">
        <v>44298</v>
      </c>
      <c r="C2296" s="2" t="s">
        <v>2860</v>
      </c>
    </row>
    <row r="2297" spans="2:3">
      <c r="B2297" s="6">
        <v>44299</v>
      </c>
      <c r="C2297" s="2" t="s">
        <v>2861</v>
      </c>
    </row>
    <row r="2298" spans="2:3">
      <c r="B2298" s="6">
        <v>44300</v>
      </c>
      <c r="C2298" s="2" t="s">
        <v>662</v>
      </c>
    </row>
    <row r="2299" spans="2:3">
      <c r="B2299" s="6">
        <v>44301</v>
      </c>
      <c r="C2299" s="2" t="s">
        <v>2862</v>
      </c>
    </row>
    <row r="2300" spans="2:3">
      <c r="B2300" s="6">
        <v>44302</v>
      </c>
      <c r="C2300" s="2" t="s">
        <v>2863</v>
      </c>
    </row>
    <row r="2301" spans="2:3">
      <c r="B2301" s="6">
        <v>44303</v>
      </c>
      <c r="C2301" s="2" t="s">
        <v>2864</v>
      </c>
    </row>
    <row r="2302" spans="2:3">
      <c r="B2302" s="6">
        <v>44304</v>
      </c>
      <c r="C2302" s="2" t="s">
        <v>2865</v>
      </c>
    </row>
    <row r="2303" spans="2:3">
      <c r="B2303" s="6">
        <v>44305</v>
      </c>
      <c r="C2303" s="2" t="s">
        <v>2866</v>
      </c>
    </row>
    <row r="2304" spans="2:3">
      <c r="B2304" s="6">
        <v>44306</v>
      </c>
      <c r="C2304" s="2" t="s">
        <v>2867</v>
      </c>
    </row>
    <row r="2305" spans="2:3">
      <c r="B2305" s="6">
        <v>44307</v>
      </c>
      <c r="C2305" s="2" t="s">
        <v>2868</v>
      </c>
    </row>
    <row r="2306" spans="2:3">
      <c r="B2306" s="6">
        <v>44308</v>
      </c>
      <c r="C2306" s="2" t="s">
        <v>2869</v>
      </c>
    </row>
    <row r="2307" spans="2:3">
      <c r="B2307" s="6">
        <v>44309</v>
      </c>
      <c r="C2307" s="2" t="s">
        <v>2870</v>
      </c>
    </row>
    <row r="2308" spans="2:3">
      <c r="B2308" s="6">
        <v>44310</v>
      </c>
      <c r="C2308" s="2" t="s">
        <v>2871</v>
      </c>
    </row>
    <row r="2309" spans="2:3">
      <c r="B2309" s="6">
        <v>44311</v>
      </c>
      <c r="C2309" s="2" t="s">
        <v>2872</v>
      </c>
    </row>
    <row r="2310" spans="2:3">
      <c r="B2310" s="6">
        <v>44312</v>
      </c>
      <c r="C2310" s="2" t="s">
        <v>2873</v>
      </c>
    </row>
    <row r="2311" spans="2:3">
      <c r="B2311" s="6">
        <v>44313</v>
      </c>
      <c r="C2311" s="2" t="s">
        <v>2874</v>
      </c>
    </row>
    <row r="2312" spans="2:3">
      <c r="B2312" s="6">
        <v>44314</v>
      </c>
      <c r="C2312" s="2" t="s">
        <v>2875</v>
      </c>
    </row>
    <row r="2313" spans="2:3">
      <c r="B2313" s="6">
        <v>44315</v>
      </c>
      <c r="C2313" s="2" t="s">
        <v>2876</v>
      </c>
    </row>
    <row r="2314" spans="2:3">
      <c r="B2314" s="6">
        <v>44316</v>
      </c>
      <c r="C2314" s="2" t="s">
        <v>2877</v>
      </c>
    </row>
    <row r="2315" spans="2:3">
      <c r="B2315" s="6">
        <v>44317</v>
      </c>
      <c r="C2315" s="2" t="s">
        <v>2878</v>
      </c>
    </row>
    <row r="2316" spans="2:3">
      <c r="B2316" s="6">
        <v>44318</v>
      </c>
      <c r="C2316" s="2" t="s">
        <v>443</v>
      </c>
    </row>
    <row r="2317" spans="2:3">
      <c r="B2317" s="6">
        <v>44319</v>
      </c>
      <c r="C2317" s="2" t="s">
        <v>2879</v>
      </c>
    </row>
    <row r="2318" spans="2:3">
      <c r="B2318" s="6">
        <v>44320</v>
      </c>
      <c r="C2318" s="2" t="s">
        <v>2880</v>
      </c>
    </row>
    <row r="2319" spans="2:3">
      <c r="B2319" s="6">
        <v>44321</v>
      </c>
      <c r="C2319" s="2" t="s">
        <v>444</v>
      </c>
    </row>
    <row r="2320" spans="2:3">
      <c r="B2320" s="6">
        <v>44322</v>
      </c>
      <c r="C2320" s="2" t="s">
        <v>2881</v>
      </c>
    </row>
    <row r="2321" spans="2:3">
      <c r="B2321" s="6">
        <v>44323</v>
      </c>
      <c r="C2321" s="2" t="s">
        <v>523</v>
      </c>
    </row>
    <row r="2322" spans="2:3">
      <c r="B2322" s="6">
        <v>44324</v>
      </c>
      <c r="C2322" s="2" t="s">
        <v>524</v>
      </c>
    </row>
    <row r="2323" spans="2:3">
      <c r="B2323" s="6">
        <v>44325</v>
      </c>
      <c r="C2323" s="2" t="s">
        <v>445</v>
      </c>
    </row>
    <row r="2324" spans="2:3">
      <c r="B2324" s="6">
        <v>44326</v>
      </c>
      <c r="C2324" s="2" t="s">
        <v>525</v>
      </c>
    </row>
    <row r="2325" spans="2:3">
      <c r="B2325" s="6">
        <v>44327</v>
      </c>
      <c r="C2325" s="2" t="s">
        <v>446</v>
      </c>
    </row>
    <row r="2326" spans="2:3">
      <c r="B2326" s="6">
        <v>44328</v>
      </c>
      <c r="C2326" s="2" t="s">
        <v>2882</v>
      </c>
    </row>
    <row r="2327" spans="2:3">
      <c r="B2327" s="6">
        <v>44329</v>
      </c>
      <c r="C2327" s="2" t="s">
        <v>2883</v>
      </c>
    </row>
    <row r="2328" spans="2:3">
      <c r="B2328" s="6">
        <v>44330</v>
      </c>
      <c r="C2328" s="2" t="s">
        <v>2884</v>
      </c>
    </row>
    <row r="2329" spans="2:3">
      <c r="B2329" s="6">
        <v>44331</v>
      </c>
      <c r="C2329" s="2" t="s">
        <v>2885</v>
      </c>
    </row>
    <row r="2330" spans="2:3">
      <c r="B2330" s="6">
        <v>44332</v>
      </c>
      <c r="C2330" s="2" t="s">
        <v>2886</v>
      </c>
    </row>
    <row r="2331" spans="2:3">
      <c r="B2331" s="6">
        <v>44333</v>
      </c>
      <c r="C2331" s="2" t="s">
        <v>2887</v>
      </c>
    </row>
    <row r="2332" spans="2:3">
      <c r="B2332" s="6">
        <v>44334</v>
      </c>
      <c r="C2332" s="2" t="s">
        <v>2888</v>
      </c>
    </row>
    <row r="2333" spans="2:3">
      <c r="B2333" s="6">
        <v>44335</v>
      </c>
      <c r="C2333" s="2" t="s">
        <v>2889</v>
      </c>
    </row>
    <row r="2334" spans="2:3">
      <c r="B2334" s="6">
        <v>44336</v>
      </c>
      <c r="C2334" s="2" t="s">
        <v>2890</v>
      </c>
    </row>
    <row r="2335" spans="2:3">
      <c r="B2335" s="6">
        <v>44337</v>
      </c>
      <c r="C2335" s="2" t="s">
        <v>2891</v>
      </c>
    </row>
    <row r="2336" spans="2:3">
      <c r="B2336" s="6">
        <v>44338</v>
      </c>
      <c r="C2336" s="2" t="s">
        <v>2892</v>
      </c>
    </row>
    <row r="2337" spans="2:3">
      <c r="B2337" s="6">
        <v>44339</v>
      </c>
      <c r="C2337" s="2" t="s">
        <v>2893</v>
      </c>
    </row>
    <row r="2338" spans="2:3">
      <c r="B2338" s="6">
        <v>44340</v>
      </c>
      <c r="C2338" s="2" t="s">
        <v>2894</v>
      </c>
    </row>
    <row r="2339" spans="2:3">
      <c r="B2339" s="6">
        <v>44341</v>
      </c>
      <c r="C2339" s="2" t="s">
        <v>2895</v>
      </c>
    </row>
    <row r="2340" spans="2:3">
      <c r="B2340" s="6">
        <v>44342</v>
      </c>
      <c r="C2340" s="2" t="s">
        <v>2896</v>
      </c>
    </row>
    <row r="2341" spans="2:3">
      <c r="B2341" s="6">
        <v>44343</v>
      </c>
      <c r="C2341" s="2" t="s">
        <v>2897</v>
      </c>
    </row>
    <row r="2342" spans="2:3">
      <c r="B2342" s="6">
        <v>44344</v>
      </c>
      <c r="C2342" s="2" t="s">
        <v>2898</v>
      </c>
    </row>
    <row r="2343" spans="2:3">
      <c r="B2343" s="6">
        <v>44345</v>
      </c>
      <c r="C2343" s="2" t="s">
        <v>2899</v>
      </c>
    </row>
    <row r="2344" spans="2:3">
      <c r="B2344" s="6">
        <v>44346</v>
      </c>
      <c r="C2344" s="2" t="s">
        <v>2900</v>
      </c>
    </row>
    <row r="2345" spans="2:3">
      <c r="B2345" s="6">
        <v>44347</v>
      </c>
      <c r="C2345" s="2" t="s">
        <v>2901</v>
      </c>
    </row>
    <row r="2346" spans="2:3">
      <c r="B2346" s="6">
        <v>44348</v>
      </c>
      <c r="C2346" s="2" t="s">
        <v>2902</v>
      </c>
    </row>
    <row r="2347" spans="2:3">
      <c r="B2347" s="6">
        <v>44349</v>
      </c>
      <c r="C2347" s="2" t="s">
        <v>2903</v>
      </c>
    </row>
    <row r="2348" spans="2:3">
      <c r="B2348" s="6">
        <v>44350</v>
      </c>
      <c r="C2348" s="2" t="s">
        <v>2904</v>
      </c>
    </row>
    <row r="2349" spans="2:3">
      <c r="B2349" s="6">
        <v>44351</v>
      </c>
      <c r="C2349" s="2" t="s">
        <v>2905</v>
      </c>
    </row>
    <row r="2350" spans="2:3">
      <c r="B2350" s="6">
        <v>44352</v>
      </c>
      <c r="C2350" s="2" t="s">
        <v>2906</v>
      </c>
    </row>
    <row r="2351" spans="2:3">
      <c r="B2351" s="6">
        <v>44353</v>
      </c>
      <c r="C2351" s="2" t="s">
        <v>2907</v>
      </c>
    </row>
    <row r="2352" spans="2:3">
      <c r="B2352" s="6">
        <v>44354</v>
      </c>
      <c r="C2352" s="2" t="s">
        <v>2908</v>
      </c>
    </row>
    <row r="2353" spans="2:3">
      <c r="B2353" s="6">
        <v>44355</v>
      </c>
      <c r="C2353" s="2" t="s">
        <v>2909</v>
      </c>
    </row>
    <row r="2354" spans="2:3">
      <c r="B2354" s="6">
        <v>44356</v>
      </c>
      <c r="C2354" s="2" t="s">
        <v>2910</v>
      </c>
    </row>
    <row r="2355" spans="2:3">
      <c r="B2355" s="6">
        <v>44357</v>
      </c>
      <c r="C2355" s="2" t="s">
        <v>310</v>
      </c>
    </row>
    <row r="2356" spans="2:3">
      <c r="B2356" s="6">
        <v>44358</v>
      </c>
      <c r="C2356" s="2" t="s">
        <v>2911</v>
      </c>
    </row>
    <row r="2357" spans="2:3">
      <c r="B2357" s="6">
        <v>44359</v>
      </c>
      <c r="C2357" s="2" t="s">
        <v>2912</v>
      </c>
    </row>
    <row r="2358" spans="2:3">
      <c r="B2358" s="6">
        <v>44360</v>
      </c>
      <c r="C2358" s="2" t="s">
        <v>2913</v>
      </c>
    </row>
    <row r="2359" spans="2:3">
      <c r="B2359" s="6">
        <v>44361</v>
      </c>
      <c r="C2359" s="2" t="s">
        <v>311</v>
      </c>
    </row>
    <row r="2360" spans="2:3">
      <c r="B2360" s="6">
        <v>44362</v>
      </c>
      <c r="C2360" s="2" t="s">
        <v>2914</v>
      </c>
    </row>
    <row r="2361" spans="2:3">
      <c r="B2361" s="6">
        <v>44363</v>
      </c>
      <c r="C2361" s="2" t="s">
        <v>312</v>
      </c>
    </row>
    <row r="2362" spans="2:3">
      <c r="B2362" s="6">
        <v>44364</v>
      </c>
      <c r="C2362" s="2" t="s">
        <v>2915</v>
      </c>
    </row>
    <row r="2363" spans="2:3">
      <c r="B2363" s="6">
        <v>44365</v>
      </c>
      <c r="C2363" s="2" t="s">
        <v>2916</v>
      </c>
    </row>
    <row r="2364" spans="2:3">
      <c r="B2364" s="6">
        <v>44366</v>
      </c>
      <c r="C2364" s="2" t="s">
        <v>313</v>
      </c>
    </row>
    <row r="2365" spans="2:3">
      <c r="B2365" s="6">
        <v>44367</v>
      </c>
      <c r="C2365" s="2" t="s">
        <v>2917</v>
      </c>
    </row>
    <row r="2366" spans="2:3">
      <c r="B2366" s="6">
        <v>44368</v>
      </c>
      <c r="C2366" s="2" t="s">
        <v>2918</v>
      </c>
    </row>
    <row r="2367" spans="2:3">
      <c r="B2367" s="6">
        <v>44369</v>
      </c>
      <c r="C2367" s="2" t="s">
        <v>2919</v>
      </c>
    </row>
    <row r="2368" spans="2:3">
      <c r="B2368" s="6">
        <v>44370</v>
      </c>
      <c r="C2368" s="2" t="s">
        <v>2920</v>
      </c>
    </row>
    <row r="2369" spans="2:3">
      <c r="B2369" s="6">
        <v>44371</v>
      </c>
      <c r="C2369" s="2" t="s">
        <v>2921</v>
      </c>
    </row>
    <row r="2370" spans="2:3">
      <c r="B2370" s="6">
        <v>44372</v>
      </c>
      <c r="C2370" s="2" t="s">
        <v>2922</v>
      </c>
    </row>
    <row r="2371" spans="2:3">
      <c r="B2371" s="6">
        <v>44373</v>
      </c>
      <c r="C2371" s="2" t="s">
        <v>2923</v>
      </c>
    </row>
    <row r="2372" spans="2:3">
      <c r="B2372" s="6">
        <v>44374</v>
      </c>
      <c r="C2372" s="2" t="s">
        <v>2924</v>
      </c>
    </row>
    <row r="2373" spans="2:3">
      <c r="B2373" s="6">
        <v>44375</v>
      </c>
      <c r="C2373" s="2" t="s">
        <v>2925</v>
      </c>
    </row>
    <row r="2374" spans="2:3">
      <c r="B2374" s="6">
        <v>44376</v>
      </c>
      <c r="C2374" s="2" t="s">
        <v>2926</v>
      </c>
    </row>
    <row r="2375" spans="2:3">
      <c r="B2375" s="6">
        <v>44377</v>
      </c>
      <c r="C2375" s="2" t="s">
        <v>2927</v>
      </c>
    </row>
    <row r="2376" spans="2:3">
      <c r="B2376" s="6">
        <v>44378</v>
      </c>
      <c r="C2376" s="2" t="s">
        <v>2928</v>
      </c>
    </row>
    <row r="2377" spans="2:3">
      <c r="B2377" s="6">
        <v>44379</v>
      </c>
      <c r="C2377" s="2" t="s">
        <v>2929</v>
      </c>
    </row>
    <row r="2378" spans="2:3">
      <c r="B2378" s="6">
        <v>44380</v>
      </c>
      <c r="C2378" s="2" t="s">
        <v>2930</v>
      </c>
    </row>
    <row r="2379" spans="2:3">
      <c r="B2379" s="6">
        <v>44381</v>
      </c>
      <c r="C2379" s="2" t="s">
        <v>2931</v>
      </c>
    </row>
    <row r="2380" spans="2:3">
      <c r="B2380" s="6">
        <v>44382</v>
      </c>
      <c r="C2380" s="2" t="s">
        <v>2932</v>
      </c>
    </row>
    <row r="2381" spans="2:3">
      <c r="B2381" s="6">
        <v>44383</v>
      </c>
      <c r="C2381" s="2" t="s">
        <v>701</v>
      </c>
    </row>
    <row r="2382" spans="2:3">
      <c r="B2382" s="6">
        <v>44384</v>
      </c>
      <c r="C2382" s="2" t="s">
        <v>2933</v>
      </c>
    </row>
    <row r="2383" spans="2:3">
      <c r="B2383" s="6">
        <v>44385</v>
      </c>
      <c r="C2383" s="2" t="s">
        <v>702</v>
      </c>
    </row>
    <row r="2384" spans="2:3">
      <c r="B2384" s="6">
        <v>44386</v>
      </c>
      <c r="C2384" s="2" t="s">
        <v>703</v>
      </c>
    </row>
    <row r="2385" spans="2:3">
      <c r="B2385" s="6">
        <v>44387</v>
      </c>
      <c r="C2385" s="2" t="s">
        <v>2934</v>
      </c>
    </row>
    <row r="2386" spans="2:3">
      <c r="B2386" s="6">
        <v>44388</v>
      </c>
      <c r="C2386" s="2" t="s">
        <v>2935</v>
      </c>
    </row>
    <row r="2387" spans="2:3">
      <c r="B2387" s="6">
        <v>44389</v>
      </c>
      <c r="C2387" s="2" t="s">
        <v>2936</v>
      </c>
    </row>
    <row r="2388" spans="2:3">
      <c r="B2388" s="6">
        <v>44390</v>
      </c>
      <c r="C2388" s="2" t="s">
        <v>704</v>
      </c>
    </row>
    <row r="2389" spans="2:3">
      <c r="B2389" s="6">
        <v>44391</v>
      </c>
      <c r="C2389" s="2" t="s">
        <v>2937</v>
      </c>
    </row>
    <row r="2390" spans="2:3">
      <c r="B2390" s="6">
        <v>44392</v>
      </c>
      <c r="C2390" s="2" t="s">
        <v>2938</v>
      </c>
    </row>
    <row r="2391" spans="2:3">
      <c r="B2391" s="6">
        <v>44393</v>
      </c>
      <c r="C2391" s="2" t="s">
        <v>2939</v>
      </c>
    </row>
    <row r="2392" spans="2:3">
      <c r="B2392" s="6">
        <v>44394</v>
      </c>
      <c r="C2392" s="2" t="s">
        <v>2940</v>
      </c>
    </row>
    <row r="2393" spans="2:3">
      <c r="B2393" s="6">
        <v>44395</v>
      </c>
      <c r="C2393" s="2" t="s">
        <v>2941</v>
      </c>
    </row>
    <row r="2394" spans="2:3">
      <c r="B2394" s="6">
        <v>44396</v>
      </c>
      <c r="C2394" s="2" t="s">
        <v>2942</v>
      </c>
    </row>
    <row r="2395" spans="2:3">
      <c r="B2395" s="6">
        <v>44397</v>
      </c>
      <c r="C2395" s="2" t="s">
        <v>2943</v>
      </c>
    </row>
    <row r="2396" spans="2:3">
      <c r="B2396" s="6">
        <v>44398</v>
      </c>
      <c r="C2396" s="2" t="s">
        <v>2944</v>
      </c>
    </row>
    <row r="2397" spans="2:3">
      <c r="B2397" s="6">
        <v>44399</v>
      </c>
      <c r="C2397" s="2" t="s">
        <v>2945</v>
      </c>
    </row>
    <row r="2398" spans="2:3">
      <c r="B2398" s="6">
        <v>44400</v>
      </c>
      <c r="C2398" s="2" t="s">
        <v>2946</v>
      </c>
    </row>
    <row r="2399" spans="2:3">
      <c r="B2399" s="6">
        <v>44401</v>
      </c>
      <c r="C2399" s="2" t="s">
        <v>2947</v>
      </c>
    </row>
    <row r="2400" spans="2:3">
      <c r="B2400" s="6">
        <v>44402</v>
      </c>
      <c r="C2400" s="2" t="s">
        <v>2948</v>
      </c>
    </row>
    <row r="2401" spans="2:3">
      <c r="B2401" s="6">
        <v>44403</v>
      </c>
      <c r="C2401" s="2" t="s">
        <v>2949</v>
      </c>
    </row>
    <row r="2402" spans="2:3">
      <c r="B2402" s="6">
        <v>44404</v>
      </c>
      <c r="C2402" s="2" t="s">
        <v>2950</v>
      </c>
    </row>
    <row r="2403" spans="2:3">
      <c r="B2403" s="6">
        <v>44405</v>
      </c>
      <c r="C2403" s="2" t="s">
        <v>2951</v>
      </c>
    </row>
    <row r="2404" spans="2:3">
      <c r="B2404" s="6">
        <v>44406</v>
      </c>
      <c r="C2404" s="2" t="s">
        <v>2952</v>
      </c>
    </row>
    <row r="2405" spans="2:3">
      <c r="B2405" s="6">
        <v>44407</v>
      </c>
      <c r="C2405" s="2" t="s">
        <v>451</v>
      </c>
    </row>
    <row r="2406" spans="2:3">
      <c r="B2406" s="6">
        <v>44408</v>
      </c>
      <c r="C2406" s="2" t="s">
        <v>2953</v>
      </c>
    </row>
    <row r="2407" spans="2:3">
      <c r="B2407" s="6">
        <v>44409</v>
      </c>
      <c r="C2407" s="2" t="s">
        <v>2954</v>
      </c>
    </row>
    <row r="2408" spans="2:3">
      <c r="B2408" s="6">
        <v>44410</v>
      </c>
      <c r="C2408" s="2" t="s">
        <v>452</v>
      </c>
    </row>
    <row r="2409" spans="2:3">
      <c r="B2409" s="6">
        <v>44411</v>
      </c>
      <c r="C2409" s="2" t="s">
        <v>2955</v>
      </c>
    </row>
    <row r="2410" spans="2:3">
      <c r="B2410" s="6">
        <v>44412</v>
      </c>
      <c r="C2410" s="2" t="s">
        <v>467</v>
      </c>
    </row>
    <row r="2411" spans="2:3">
      <c r="B2411" s="6">
        <v>44413</v>
      </c>
      <c r="C2411" s="2" t="s">
        <v>453</v>
      </c>
    </row>
    <row r="2412" spans="2:3">
      <c r="B2412" s="6">
        <v>44414</v>
      </c>
      <c r="C2412" s="2" t="s">
        <v>468</v>
      </c>
    </row>
    <row r="2413" spans="2:3">
      <c r="B2413" s="6">
        <v>44415</v>
      </c>
      <c r="C2413" s="2" t="s">
        <v>469</v>
      </c>
    </row>
    <row r="2414" spans="2:3">
      <c r="B2414" s="6">
        <v>44416</v>
      </c>
      <c r="C2414" s="2" t="s">
        <v>2956</v>
      </c>
    </row>
    <row r="2415" spans="2:3">
      <c r="B2415" s="6">
        <v>44417</v>
      </c>
      <c r="C2415" s="2" t="s">
        <v>454</v>
      </c>
    </row>
    <row r="2416" spans="2:3">
      <c r="B2416" s="6">
        <v>44418</v>
      </c>
      <c r="C2416" s="2" t="s">
        <v>2957</v>
      </c>
    </row>
    <row r="2417" spans="2:3">
      <c r="B2417" s="6">
        <v>44419</v>
      </c>
      <c r="C2417" s="2" t="s">
        <v>2958</v>
      </c>
    </row>
    <row r="2418" spans="2:3">
      <c r="B2418" s="6">
        <v>44420</v>
      </c>
      <c r="C2418" s="2" t="s">
        <v>2959</v>
      </c>
    </row>
    <row r="2419" spans="2:3">
      <c r="B2419" s="6">
        <v>44421</v>
      </c>
      <c r="C2419" s="2" t="s">
        <v>2960</v>
      </c>
    </row>
    <row r="2420" spans="2:3">
      <c r="B2420" s="6">
        <v>44422</v>
      </c>
      <c r="C2420" s="2" t="s">
        <v>2961</v>
      </c>
    </row>
    <row r="2421" spans="2:3">
      <c r="B2421" s="6">
        <v>44423</v>
      </c>
      <c r="C2421" s="2" t="s">
        <v>286</v>
      </c>
    </row>
    <row r="2422" spans="2:3">
      <c r="B2422" s="6">
        <v>44424</v>
      </c>
      <c r="C2422" s="2" t="s">
        <v>287</v>
      </c>
    </row>
    <row r="2423" spans="2:3">
      <c r="B2423" s="6">
        <v>44425</v>
      </c>
      <c r="C2423" s="2" t="s">
        <v>2962</v>
      </c>
    </row>
    <row r="2424" spans="2:3">
      <c r="B2424" s="6">
        <v>44426</v>
      </c>
      <c r="C2424" s="2" t="s">
        <v>288</v>
      </c>
    </row>
    <row r="2425" spans="2:3">
      <c r="B2425" s="6">
        <v>44427</v>
      </c>
      <c r="C2425" s="2" t="s">
        <v>2963</v>
      </c>
    </row>
    <row r="2426" spans="2:3">
      <c r="B2426" s="6">
        <v>44428</v>
      </c>
      <c r="C2426" s="2" t="s">
        <v>2964</v>
      </c>
    </row>
    <row r="2427" spans="2:3">
      <c r="B2427" s="6">
        <v>44429</v>
      </c>
      <c r="C2427" s="2" t="s">
        <v>2965</v>
      </c>
    </row>
    <row r="2428" spans="2:3">
      <c r="B2428" s="6">
        <v>44430</v>
      </c>
      <c r="C2428" s="2" t="s">
        <v>289</v>
      </c>
    </row>
    <row r="2429" spans="2:3">
      <c r="B2429" s="6">
        <v>44431</v>
      </c>
      <c r="C2429" s="2" t="s">
        <v>2966</v>
      </c>
    </row>
    <row r="2430" spans="2:3">
      <c r="B2430" s="6">
        <v>44432</v>
      </c>
      <c r="C2430" s="2" t="s">
        <v>2967</v>
      </c>
    </row>
    <row r="2431" spans="2:3">
      <c r="B2431" s="6">
        <v>44433</v>
      </c>
      <c r="C2431" s="2" t="s">
        <v>2968</v>
      </c>
    </row>
    <row r="2432" spans="2:3">
      <c r="B2432" s="6">
        <v>44434</v>
      </c>
      <c r="C2432" s="2" t="s">
        <v>2969</v>
      </c>
    </row>
    <row r="2433" spans="2:3">
      <c r="B2433" s="6">
        <v>44435</v>
      </c>
      <c r="C2433" s="2" t="s">
        <v>2970</v>
      </c>
    </row>
    <row r="2434" spans="2:3">
      <c r="B2434" s="6">
        <v>44436</v>
      </c>
      <c r="C2434" s="2" t="s">
        <v>2971</v>
      </c>
    </row>
    <row r="2435" spans="2:3">
      <c r="B2435" s="6">
        <v>44437</v>
      </c>
      <c r="C2435" s="2" t="s">
        <v>2972</v>
      </c>
    </row>
    <row r="2436" spans="2:3">
      <c r="B2436" s="6">
        <v>44438</v>
      </c>
      <c r="C2436" s="2" t="s">
        <v>2973</v>
      </c>
    </row>
    <row r="2437" spans="2:3">
      <c r="B2437" s="6">
        <v>44439</v>
      </c>
      <c r="C2437" s="2" t="s">
        <v>2974</v>
      </c>
    </row>
    <row r="2438" spans="2:3">
      <c r="B2438" s="6">
        <v>44440</v>
      </c>
      <c r="C2438" s="2" t="s">
        <v>2975</v>
      </c>
    </row>
    <row r="2439" spans="2:3">
      <c r="B2439" s="6">
        <v>44441</v>
      </c>
      <c r="C2439" s="2" t="s">
        <v>2976</v>
      </c>
    </row>
    <row r="2440" spans="2:3">
      <c r="B2440" s="6">
        <v>44442</v>
      </c>
      <c r="C2440" s="2" t="s">
        <v>2977</v>
      </c>
    </row>
    <row r="2441" spans="2:3">
      <c r="B2441" s="6">
        <v>44443</v>
      </c>
      <c r="C2441" s="2" t="s">
        <v>2978</v>
      </c>
    </row>
    <row r="2442" spans="2:3">
      <c r="B2442" s="6">
        <v>44444</v>
      </c>
      <c r="C2442" s="2" t="s">
        <v>2979</v>
      </c>
    </row>
    <row r="2443" spans="2:3">
      <c r="B2443" s="6">
        <v>44445</v>
      </c>
      <c r="C2443" s="2" t="s">
        <v>2980</v>
      </c>
    </row>
    <row r="2444" spans="2:3">
      <c r="B2444" s="6">
        <v>44446</v>
      </c>
      <c r="C2444" s="2" t="s">
        <v>2981</v>
      </c>
    </row>
    <row r="2445" spans="2:3">
      <c r="B2445" s="6">
        <v>44447</v>
      </c>
      <c r="C2445" s="2" t="s">
        <v>2982</v>
      </c>
    </row>
    <row r="2446" spans="2:3">
      <c r="B2446" s="6">
        <v>44448</v>
      </c>
      <c r="C2446" s="2" t="s">
        <v>2983</v>
      </c>
    </row>
    <row r="2447" spans="2:3">
      <c r="B2447" s="6">
        <v>44449</v>
      </c>
      <c r="C2447" s="2" t="s">
        <v>2984</v>
      </c>
    </row>
    <row r="2448" spans="2:3">
      <c r="B2448" s="6">
        <v>44450</v>
      </c>
      <c r="C2448" s="2" t="s">
        <v>2985</v>
      </c>
    </row>
    <row r="2449" spans="2:3">
      <c r="B2449" s="6">
        <v>44451</v>
      </c>
      <c r="C2449" s="2" t="s">
        <v>2986</v>
      </c>
    </row>
    <row r="2450" spans="2:3">
      <c r="B2450" s="6">
        <v>44452</v>
      </c>
      <c r="C2450" s="2" t="s">
        <v>2987</v>
      </c>
    </row>
    <row r="2451" spans="2:3">
      <c r="B2451" s="6">
        <v>44453</v>
      </c>
      <c r="C2451" s="2" t="s">
        <v>2988</v>
      </c>
    </row>
    <row r="2452" spans="2:3">
      <c r="B2452" s="6">
        <v>44454</v>
      </c>
      <c r="C2452" s="2" t="s">
        <v>2989</v>
      </c>
    </row>
    <row r="2453" spans="2:3">
      <c r="B2453" s="6">
        <v>44455</v>
      </c>
      <c r="C2453" s="2" t="s">
        <v>2990</v>
      </c>
    </row>
    <row r="2454" spans="2:3">
      <c r="B2454" s="6">
        <v>44456</v>
      </c>
      <c r="C2454" s="2" t="s">
        <v>2991</v>
      </c>
    </row>
    <row r="2455" spans="2:3">
      <c r="B2455" s="6">
        <v>44457</v>
      </c>
      <c r="C2455" s="2" t="s">
        <v>2992</v>
      </c>
    </row>
    <row r="2456" spans="2:3">
      <c r="B2456" s="6">
        <v>44458</v>
      </c>
      <c r="C2456" s="2" t="s">
        <v>2993</v>
      </c>
    </row>
    <row r="2457" spans="2:3">
      <c r="B2457" s="6">
        <v>44459</v>
      </c>
      <c r="C2457" s="2" t="s">
        <v>2994</v>
      </c>
    </row>
    <row r="2458" spans="2:3">
      <c r="B2458" s="6">
        <v>44460</v>
      </c>
      <c r="C2458" s="2" t="s">
        <v>2995</v>
      </c>
    </row>
    <row r="2459" spans="2:3">
      <c r="B2459" s="6">
        <v>44461</v>
      </c>
      <c r="C2459" s="2" t="s">
        <v>2996</v>
      </c>
    </row>
    <row r="2460" spans="2:3">
      <c r="B2460" s="6">
        <v>44462</v>
      </c>
      <c r="C2460" s="2" t="s">
        <v>2997</v>
      </c>
    </row>
    <row r="2461" spans="2:3">
      <c r="B2461" s="6">
        <v>44463</v>
      </c>
      <c r="C2461" s="2" t="s">
        <v>2998</v>
      </c>
    </row>
    <row r="2462" spans="2:3">
      <c r="B2462" s="6">
        <v>44464</v>
      </c>
      <c r="C2462" s="2" t="s">
        <v>2999</v>
      </c>
    </row>
    <row r="2463" spans="2:3">
      <c r="B2463" s="6">
        <v>44465</v>
      </c>
      <c r="C2463" s="2" t="s">
        <v>3000</v>
      </c>
    </row>
    <row r="2464" spans="2:3">
      <c r="B2464" s="6">
        <v>44466</v>
      </c>
      <c r="C2464" s="2" t="s">
        <v>3001</v>
      </c>
    </row>
    <row r="2465" spans="2:3">
      <c r="B2465" s="6">
        <v>44467</v>
      </c>
      <c r="C2465" s="2" t="s">
        <v>3002</v>
      </c>
    </row>
    <row r="2466" spans="2:3">
      <c r="B2466" s="6">
        <v>44468</v>
      </c>
      <c r="C2466" s="2" t="s">
        <v>3003</v>
      </c>
    </row>
    <row r="2467" spans="2:3">
      <c r="B2467" s="6">
        <v>44469</v>
      </c>
      <c r="C2467" s="2" t="s">
        <v>3004</v>
      </c>
    </row>
    <row r="2468" spans="2:3">
      <c r="B2468" s="6">
        <v>44470</v>
      </c>
      <c r="C2468" s="2" t="s">
        <v>373</v>
      </c>
    </row>
    <row r="2469" spans="2:3">
      <c r="B2469" s="6">
        <v>44471</v>
      </c>
      <c r="C2469" s="2" t="s">
        <v>374</v>
      </c>
    </row>
    <row r="2470" spans="2:3">
      <c r="B2470" s="6">
        <v>44472</v>
      </c>
      <c r="C2470" s="2" t="s">
        <v>3005</v>
      </c>
    </row>
    <row r="2471" spans="2:3">
      <c r="B2471" s="6">
        <v>44473</v>
      </c>
      <c r="C2471" s="2" t="s">
        <v>3006</v>
      </c>
    </row>
    <row r="2472" spans="2:3">
      <c r="B2472" s="6">
        <v>44474</v>
      </c>
      <c r="C2472" s="2" t="s">
        <v>3007</v>
      </c>
    </row>
    <row r="2473" spans="2:3">
      <c r="B2473" s="6">
        <v>44475</v>
      </c>
      <c r="C2473" s="2" t="s">
        <v>375</v>
      </c>
    </row>
    <row r="2474" spans="2:3">
      <c r="B2474" s="6">
        <v>44476</v>
      </c>
      <c r="C2474" s="2" t="s">
        <v>376</v>
      </c>
    </row>
    <row r="2475" spans="2:3">
      <c r="B2475" s="6">
        <v>44477</v>
      </c>
      <c r="C2475" s="2" t="s">
        <v>3008</v>
      </c>
    </row>
    <row r="2476" spans="2:3">
      <c r="B2476" s="6">
        <v>44478</v>
      </c>
      <c r="C2476" s="2" t="s">
        <v>532</v>
      </c>
    </row>
    <row r="2477" spans="2:3">
      <c r="B2477" s="6">
        <v>44479</v>
      </c>
      <c r="C2477" s="2" t="s">
        <v>533</v>
      </c>
    </row>
    <row r="2478" spans="2:3">
      <c r="B2478" s="6">
        <v>44480</v>
      </c>
      <c r="C2478" s="2" t="s">
        <v>3009</v>
      </c>
    </row>
    <row r="2479" spans="2:3">
      <c r="B2479" s="6">
        <v>44481</v>
      </c>
      <c r="C2479" s="2" t="s">
        <v>3010</v>
      </c>
    </row>
    <row r="2480" spans="2:3">
      <c r="B2480" s="6">
        <v>44482</v>
      </c>
      <c r="C2480" s="2" t="s">
        <v>3011</v>
      </c>
    </row>
    <row r="2481" spans="2:3">
      <c r="B2481" s="6">
        <v>44483</v>
      </c>
      <c r="C2481" s="2" t="s">
        <v>534</v>
      </c>
    </row>
    <row r="2482" spans="2:3">
      <c r="B2482" s="6">
        <v>44484</v>
      </c>
      <c r="C2482" s="2" t="s">
        <v>3012</v>
      </c>
    </row>
    <row r="2483" spans="2:3">
      <c r="B2483" s="6">
        <v>44485</v>
      </c>
      <c r="C2483" s="2" t="s">
        <v>535</v>
      </c>
    </row>
    <row r="2484" spans="2:3">
      <c r="B2484" s="6">
        <v>44486</v>
      </c>
      <c r="C2484" s="2" t="s">
        <v>3013</v>
      </c>
    </row>
    <row r="2485" spans="2:3">
      <c r="B2485" s="6">
        <v>44487</v>
      </c>
      <c r="C2485" s="2" t="s">
        <v>3014</v>
      </c>
    </row>
    <row r="2486" spans="2:3">
      <c r="B2486" s="6">
        <v>44488</v>
      </c>
      <c r="C2486" s="2" t="s">
        <v>3015</v>
      </c>
    </row>
    <row r="2487" spans="2:3">
      <c r="B2487" s="6">
        <v>44489</v>
      </c>
      <c r="C2487" s="2" t="s">
        <v>3016</v>
      </c>
    </row>
    <row r="2488" spans="2:3">
      <c r="B2488" s="6">
        <v>44490</v>
      </c>
      <c r="C2488" s="2" t="s">
        <v>3017</v>
      </c>
    </row>
    <row r="2489" spans="2:3">
      <c r="B2489" s="6">
        <v>44491</v>
      </c>
      <c r="C2489" s="2" t="s">
        <v>3018</v>
      </c>
    </row>
    <row r="2490" spans="2:3">
      <c r="B2490" s="6">
        <v>44492</v>
      </c>
      <c r="C2490" s="2" t="s">
        <v>3019</v>
      </c>
    </row>
    <row r="2491" spans="2:3">
      <c r="B2491" s="6">
        <v>44493</v>
      </c>
      <c r="C2491" s="2" t="s">
        <v>3020</v>
      </c>
    </row>
    <row r="2492" spans="2:3">
      <c r="B2492" s="6">
        <v>44494</v>
      </c>
      <c r="C2492" s="2" t="s">
        <v>3021</v>
      </c>
    </row>
    <row r="2493" spans="2:3">
      <c r="B2493" s="6">
        <v>44495</v>
      </c>
      <c r="C2493" s="2" t="s">
        <v>3022</v>
      </c>
    </row>
    <row r="2494" spans="2:3">
      <c r="B2494" s="6">
        <v>44496</v>
      </c>
      <c r="C2494" s="2" t="s">
        <v>3023</v>
      </c>
    </row>
    <row r="2495" spans="2:3">
      <c r="B2495" s="6">
        <v>44497</v>
      </c>
      <c r="C2495" s="2" t="s">
        <v>3024</v>
      </c>
    </row>
    <row r="2496" spans="2:3">
      <c r="B2496" s="6">
        <v>44498</v>
      </c>
      <c r="C2496" s="2" t="s">
        <v>3025</v>
      </c>
    </row>
    <row r="2497" spans="2:3">
      <c r="B2497" s="6">
        <v>44499</v>
      </c>
      <c r="C2497" s="2" t="s">
        <v>3026</v>
      </c>
    </row>
    <row r="2498" spans="2:3">
      <c r="B2498" s="6">
        <v>44500</v>
      </c>
      <c r="C2498" s="2" t="s">
        <v>3027</v>
      </c>
    </row>
    <row r="2499" spans="2:3">
      <c r="B2499" s="6">
        <v>44501</v>
      </c>
      <c r="C2499" s="2" t="s">
        <v>3028</v>
      </c>
    </row>
    <row r="2500" spans="2:3">
      <c r="B2500" s="6">
        <v>44502</v>
      </c>
      <c r="C2500" s="2" t="s">
        <v>3029</v>
      </c>
    </row>
    <row r="2501" spans="2:3">
      <c r="B2501" s="6">
        <v>44503</v>
      </c>
      <c r="C2501" s="2" t="s">
        <v>3030</v>
      </c>
    </row>
    <row r="2502" spans="2:3">
      <c r="B2502" s="6">
        <v>44504</v>
      </c>
      <c r="C2502" s="2" t="s">
        <v>3031</v>
      </c>
    </row>
    <row r="2503" spans="2:3">
      <c r="B2503" s="6">
        <v>44505</v>
      </c>
      <c r="C2503" s="2" t="s">
        <v>3032</v>
      </c>
    </row>
    <row r="2504" spans="2:3">
      <c r="B2504" s="6">
        <v>44506</v>
      </c>
      <c r="C2504" s="2" t="s">
        <v>3033</v>
      </c>
    </row>
    <row r="2505" spans="2:3">
      <c r="B2505" s="6">
        <v>44507</v>
      </c>
      <c r="C2505" s="2" t="s">
        <v>3034</v>
      </c>
    </row>
    <row r="2506" spans="2:3">
      <c r="B2506" s="6">
        <v>44508</v>
      </c>
      <c r="C2506" s="2" t="s">
        <v>3035</v>
      </c>
    </row>
    <row r="2507" spans="2:3">
      <c r="B2507" s="6">
        <v>44509</v>
      </c>
      <c r="C2507" s="2" t="s">
        <v>3036</v>
      </c>
    </row>
    <row r="2508" spans="2:3">
      <c r="B2508" s="6">
        <v>44510</v>
      </c>
      <c r="C2508" s="2" t="s">
        <v>3037</v>
      </c>
    </row>
    <row r="2509" spans="2:3">
      <c r="B2509" s="6">
        <v>44511</v>
      </c>
      <c r="C2509" s="2" t="s">
        <v>599</v>
      </c>
    </row>
    <row r="2510" spans="2:3">
      <c r="B2510" s="6">
        <v>44512</v>
      </c>
      <c r="C2510" s="2" t="s">
        <v>3038</v>
      </c>
    </row>
    <row r="2511" spans="2:3">
      <c r="B2511" s="6">
        <v>44513</v>
      </c>
      <c r="C2511" s="2" t="s">
        <v>3039</v>
      </c>
    </row>
    <row r="2512" spans="2:3">
      <c r="B2512" s="6">
        <v>44514</v>
      </c>
      <c r="C2512" s="2" t="s">
        <v>3040</v>
      </c>
    </row>
    <row r="2513" spans="2:3">
      <c r="B2513" s="6">
        <v>44515</v>
      </c>
      <c r="C2513" s="2" t="s">
        <v>600</v>
      </c>
    </row>
    <row r="2514" spans="2:3">
      <c r="B2514" s="6">
        <v>44516</v>
      </c>
      <c r="C2514" s="2" t="s">
        <v>601</v>
      </c>
    </row>
    <row r="2515" spans="2:3">
      <c r="B2515" s="6">
        <v>44517</v>
      </c>
      <c r="C2515" s="2" t="s">
        <v>3041</v>
      </c>
    </row>
    <row r="2516" spans="2:3">
      <c r="B2516" s="6">
        <v>44518</v>
      </c>
      <c r="C2516" s="2" t="s">
        <v>3042</v>
      </c>
    </row>
    <row r="2517" spans="2:3">
      <c r="B2517" s="6">
        <v>44519</v>
      </c>
      <c r="C2517" s="2" t="s">
        <v>602</v>
      </c>
    </row>
    <row r="2518" spans="2:3">
      <c r="B2518" s="6">
        <v>44520</v>
      </c>
      <c r="C2518" s="2" t="s">
        <v>3043</v>
      </c>
    </row>
    <row r="2519" spans="2:3">
      <c r="B2519" s="6">
        <v>44521</v>
      </c>
      <c r="C2519" s="2" t="s">
        <v>3044</v>
      </c>
    </row>
    <row r="2520" spans="2:3">
      <c r="B2520" s="6">
        <v>44522</v>
      </c>
      <c r="C2520" s="2" t="s">
        <v>3045</v>
      </c>
    </row>
    <row r="2521" spans="2:3">
      <c r="B2521" s="6">
        <v>44523</v>
      </c>
      <c r="C2521" s="2" t="s">
        <v>3046</v>
      </c>
    </row>
    <row r="2522" spans="2:3">
      <c r="B2522" s="6">
        <v>44524</v>
      </c>
      <c r="C2522" s="2" t="s">
        <v>3047</v>
      </c>
    </row>
    <row r="2523" spans="2:3">
      <c r="B2523" s="6">
        <v>44525</v>
      </c>
      <c r="C2523" s="2" t="s">
        <v>3048</v>
      </c>
    </row>
    <row r="2524" spans="2:3">
      <c r="B2524" s="6">
        <v>44526</v>
      </c>
      <c r="C2524" s="2" t="s">
        <v>3049</v>
      </c>
    </row>
    <row r="2525" spans="2:3">
      <c r="B2525" s="6">
        <v>44527</v>
      </c>
      <c r="C2525" s="2" t="s">
        <v>3050</v>
      </c>
    </row>
    <row r="2526" spans="2:3">
      <c r="B2526" s="6">
        <v>44528</v>
      </c>
      <c r="C2526" s="2" t="s">
        <v>3051</v>
      </c>
    </row>
    <row r="2527" spans="2:3">
      <c r="B2527" s="6">
        <v>44529</v>
      </c>
      <c r="C2527" s="2" t="s">
        <v>3052</v>
      </c>
    </row>
    <row r="2528" spans="2:3">
      <c r="B2528" s="6">
        <v>44530</v>
      </c>
      <c r="C2528" s="2" t="s">
        <v>3053</v>
      </c>
    </row>
    <row r="2529" spans="2:3">
      <c r="B2529" s="6">
        <v>44531</v>
      </c>
      <c r="C2529" s="2" t="s">
        <v>3054</v>
      </c>
    </row>
    <row r="2530" spans="2:3">
      <c r="B2530" s="6">
        <v>44532</v>
      </c>
      <c r="C2530" s="2" t="s">
        <v>3055</v>
      </c>
    </row>
    <row r="2531" spans="2:3">
      <c r="B2531" s="6">
        <v>44533</v>
      </c>
      <c r="C2531" s="2" t="s">
        <v>3056</v>
      </c>
    </row>
    <row r="2532" spans="2:3">
      <c r="B2532" s="6">
        <v>44534</v>
      </c>
      <c r="C2532" s="2" t="s">
        <v>3057</v>
      </c>
    </row>
    <row r="2533" spans="2:3">
      <c r="B2533" s="6">
        <v>44535</v>
      </c>
      <c r="C2533" s="2" t="s">
        <v>3058</v>
      </c>
    </row>
    <row r="2534" spans="2:3">
      <c r="B2534" s="6">
        <v>44536</v>
      </c>
      <c r="C2534" s="2" t="s">
        <v>3059</v>
      </c>
    </row>
    <row r="2535" spans="2:3">
      <c r="B2535" s="6">
        <v>44537</v>
      </c>
      <c r="C2535" s="2" t="s">
        <v>3060</v>
      </c>
    </row>
    <row r="2536" spans="2:3">
      <c r="B2536" s="6">
        <v>44538</v>
      </c>
      <c r="C2536" s="2" t="s">
        <v>3061</v>
      </c>
    </row>
    <row r="2537" spans="2:3">
      <c r="B2537" s="6">
        <v>44539</v>
      </c>
      <c r="C2537" s="2" t="s">
        <v>3062</v>
      </c>
    </row>
    <row r="2538" spans="2:3">
      <c r="B2538" s="6">
        <v>44540</v>
      </c>
      <c r="C2538" s="2" t="s">
        <v>3063</v>
      </c>
    </row>
    <row r="2539" spans="2:3">
      <c r="B2539" s="6">
        <v>44541</v>
      </c>
      <c r="C2539" s="2" t="s">
        <v>3064</v>
      </c>
    </row>
    <row r="2540" spans="2:3">
      <c r="B2540" s="6">
        <v>44542</v>
      </c>
      <c r="C2540" s="2" t="s">
        <v>3065</v>
      </c>
    </row>
    <row r="2541" spans="2:3">
      <c r="B2541" s="6">
        <v>44543</v>
      </c>
      <c r="C2541" s="2" t="s">
        <v>3066</v>
      </c>
    </row>
    <row r="2542" spans="2:3">
      <c r="B2542" s="6">
        <v>44544</v>
      </c>
      <c r="C2542" s="2" t="s">
        <v>3067</v>
      </c>
    </row>
    <row r="2543" spans="2:3">
      <c r="B2543" s="6">
        <v>44545</v>
      </c>
      <c r="C2543" s="2" t="s">
        <v>3068</v>
      </c>
    </row>
    <row r="2544" spans="2:3">
      <c r="B2544" s="6">
        <v>44546</v>
      </c>
      <c r="C2544" s="2" t="s">
        <v>3069</v>
      </c>
    </row>
    <row r="2545" spans="2:3">
      <c r="B2545" s="6">
        <v>44547</v>
      </c>
      <c r="C2545" s="2" t="s">
        <v>3070</v>
      </c>
    </row>
    <row r="2546" spans="2:3">
      <c r="B2546" s="6">
        <v>44548</v>
      </c>
      <c r="C2546" s="2" t="s">
        <v>3071</v>
      </c>
    </row>
    <row r="2547" spans="2:3">
      <c r="B2547" s="6">
        <v>44549</v>
      </c>
      <c r="C2547" s="2" t="s">
        <v>3072</v>
      </c>
    </row>
    <row r="2548" spans="2:3">
      <c r="B2548" s="6">
        <v>44550</v>
      </c>
      <c r="C2548" s="2" t="s">
        <v>3073</v>
      </c>
    </row>
    <row r="2549" spans="2:3">
      <c r="B2549" s="6">
        <v>44551</v>
      </c>
      <c r="C2549" s="2" t="s">
        <v>3074</v>
      </c>
    </row>
    <row r="2550" spans="2:3">
      <c r="B2550" s="6">
        <v>44552</v>
      </c>
      <c r="C2550" s="2" t="s">
        <v>3075</v>
      </c>
    </row>
    <row r="2551" spans="2:3">
      <c r="B2551" s="6">
        <v>44553</v>
      </c>
      <c r="C2551" s="2" t="s">
        <v>3076</v>
      </c>
    </row>
    <row r="2552" spans="2:3">
      <c r="B2552" s="6">
        <v>44554</v>
      </c>
      <c r="C2552" s="2" t="s">
        <v>3077</v>
      </c>
    </row>
    <row r="2553" spans="2:3">
      <c r="B2553" s="6">
        <v>44555</v>
      </c>
      <c r="C2553" s="2" t="s">
        <v>3078</v>
      </c>
    </row>
    <row r="2554" spans="2:3">
      <c r="B2554" s="6">
        <v>44556</v>
      </c>
      <c r="C2554" s="2" t="s">
        <v>3079</v>
      </c>
    </row>
    <row r="2555" spans="2:3">
      <c r="B2555" s="6">
        <v>44557</v>
      </c>
      <c r="C2555" s="2" t="s">
        <v>3080</v>
      </c>
    </row>
    <row r="2556" spans="2:3">
      <c r="B2556" s="6">
        <v>44558</v>
      </c>
      <c r="C2556" s="2" t="s">
        <v>3081</v>
      </c>
    </row>
    <row r="2557" spans="2:3">
      <c r="B2557" s="6">
        <v>44559</v>
      </c>
      <c r="C2557" s="2" t="s">
        <v>3082</v>
      </c>
    </row>
    <row r="2558" spans="2:3">
      <c r="B2558" s="6">
        <v>44560</v>
      </c>
      <c r="C2558" s="2" t="s">
        <v>3083</v>
      </c>
    </row>
    <row r="2559" spans="2:3">
      <c r="B2559" s="6">
        <v>44561</v>
      </c>
      <c r="C2559" s="2" t="s">
        <v>3084</v>
      </c>
    </row>
    <row r="2560" spans="2:3">
      <c r="B2560" s="6">
        <v>44562</v>
      </c>
      <c r="C2560" s="2" t="s">
        <v>3085</v>
      </c>
    </row>
    <row r="2561" spans="2:3">
      <c r="B2561" s="6">
        <v>44563</v>
      </c>
      <c r="C2561" s="2" t="s">
        <v>3086</v>
      </c>
    </row>
    <row r="2562" spans="2:3">
      <c r="B2562" s="6">
        <v>44564</v>
      </c>
      <c r="C2562" s="2" t="s">
        <v>3087</v>
      </c>
    </row>
    <row r="2563" spans="2:3">
      <c r="B2563" s="6">
        <v>44565</v>
      </c>
      <c r="C2563" s="2" t="s">
        <v>3088</v>
      </c>
    </row>
    <row r="2564" spans="2:3">
      <c r="B2564" s="6">
        <v>44566</v>
      </c>
      <c r="C2564" s="2" t="s">
        <v>3089</v>
      </c>
    </row>
    <row r="2565" spans="2:3">
      <c r="B2565" s="6">
        <v>44567</v>
      </c>
      <c r="C2565" s="2" t="s">
        <v>3090</v>
      </c>
    </row>
    <row r="2566" spans="2:3">
      <c r="B2566" s="6">
        <v>44568</v>
      </c>
      <c r="C2566" s="2" t="s">
        <v>3091</v>
      </c>
    </row>
    <row r="2567" spans="2:3">
      <c r="B2567" s="6">
        <v>44569</v>
      </c>
      <c r="C2567" s="2" t="s">
        <v>3092</v>
      </c>
    </row>
    <row r="2568" spans="2:3">
      <c r="B2568" s="6">
        <v>44570</v>
      </c>
      <c r="C2568" s="2" t="s">
        <v>3093</v>
      </c>
    </row>
    <row r="2569" spans="2:3">
      <c r="B2569" s="6">
        <v>44571</v>
      </c>
      <c r="C2569" s="2" t="s">
        <v>3094</v>
      </c>
    </row>
    <row r="2570" spans="2:3">
      <c r="B2570" s="6">
        <v>44572</v>
      </c>
      <c r="C2570" s="2" t="s">
        <v>3095</v>
      </c>
    </row>
    <row r="2571" spans="2:3">
      <c r="B2571" s="6">
        <v>44573</v>
      </c>
      <c r="C2571" s="2" t="s">
        <v>3096</v>
      </c>
    </row>
    <row r="2572" spans="2:3">
      <c r="B2572" s="6">
        <v>44574</v>
      </c>
      <c r="C2572" s="2" t="s">
        <v>3097</v>
      </c>
    </row>
    <row r="2573" spans="2:3">
      <c r="B2573" s="6">
        <v>44575</v>
      </c>
      <c r="C2573" s="2" t="s">
        <v>3098</v>
      </c>
    </row>
    <row r="2574" spans="2:3">
      <c r="B2574" s="6">
        <v>44576</v>
      </c>
      <c r="C2574" s="2" t="s">
        <v>3099</v>
      </c>
    </row>
    <row r="2575" spans="2:3">
      <c r="B2575" s="6">
        <v>44577</v>
      </c>
      <c r="C2575" s="2" t="s">
        <v>3100</v>
      </c>
    </row>
    <row r="2576" spans="2:3">
      <c r="B2576" s="6">
        <v>44578</v>
      </c>
      <c r="C2576" s="2" t="s">
        <v>3101</v>
      </c>
    </row>
    <row r="2577" spans="2:3">
      <c r="B2577" s="6">
        <v>44579</v>
      </c>
      <c r="C2577" s="2" t="s">
        <v>3102</v>
      </c>
    </row>
    <row r="2578" spans="2:3">
      <c r="B2578" s="6">
        <v>44580</v>
      </c>
      <c r="C2578" s="2" t="s">
        <v>3103</v>
      </c>
    </row>
    <row r="2579" spans="2:3">
      <c r="B2579" s="6">
        <v>44581</v>
      </c>
      <c r="C2579" s="2" t="s">
        <v>3104</v>
      </c>
    </row>
    <row r="2580" spans="2:3">
      <c r="B2580" s="6">
        <v>44582</v>
      </c>
      <c r="C2580" s="2" t="s">
        <v>3105</v>
      </c>
    </row>
    <row r="2581" spans="2:3">
      <c r="B2581" s="6">
        <v>44583</v>
      </c>
      <c r="C2581" s="2" t="s">
        <v>3106</v>
      </c>
    </row>
    <row r="2582" spans="2:3">
      <c r="B2582" s="6">
        <v>44584</v>
      </c>
      <c r="C2582" s="2" t="s">
        <v>3107</v>
      </c>
    </row>
    <row r="2583" spans="2:3">
      <c r="B2583" s="6">
        <v>44585</v>
      </c>
      <c r="C2583" s="2" t="s">
        <v>3108</v>
      </c>
    </row>
    <row r="2584" spans="2:3">
      <c r="B2584" s="6">
        <v>44586</v>
      </c>
      <c r="C2584" s="2" t="s">
        <v>3109</v>
      </c>
    </row>
    <row r="2585" spans="2:3">
      <c r="B2585" s="6">
        <v>44587</v>
      </c>
      <c r="C2585" s="2" t="s">
        <v>3110</v>
      </c>
    </row>
    <row r="2586" spans="2:3">
      <c r="B2586" s="6">
        <v>44588</v>
      </c>
      <c r="C2586" s="2" t="s">
        <v>3111</v>
      </c>
    </row>
    <row r="2587" spans="2:3">
      <c r="B2587" s="6">
        <v>44589</v>
      </c>
      <c r="C2587" s="2" t="s">
        <v>3112</v>
      </c>
    </row>
    <row r="2588" spans="2:3">
      <c r="B2588" s="6">
        <v>44590</v>
      </c>
      <c r="C2588" s="2" t="s">
        <v>3113</v>
      </c>
    </row>
    <row r="2589" spans="2:3">
      <c r="B2589" s="6">
        <v>44591</v>
      </c>
      <c r="C2589" s="2" t="s">
        <v>3114</v>
      </c>
    </row>
    <row r="2590" spans="2:3">
      <c r="B2590" s="6">
        <v>44592</v>
      </c>
      <c r="C2590" s="2" t="s">
        <v>3115</v>
      </c>
    </row>
    <row r="2591" spans="2:3">
      <c r="B2591" s="6">
        <v>44593</v>
      </c>
      <c r="C2591" s="2" t="s">
        <v>3116</v>
      </c>
    </row>
    <row r="2592" spans="2:3">
      <c r="B2592" s="6">
        <v>44594</v>
      </c>
      <c r="C2592" s="2" t="s">
        <v>3117</v>
      </c>
    </row>
    <row r="2593" spans="2:3">
      <c r="B2593" s="6">
        <v>44595</v>
      </c>
      <c r="C2593" s="2" t="s">
        <v>3118</v>
      </c>
    </row>
    <row r="2594" spans="2:3">
      <c r="B2594" s="6">
        <v>44596</v>
      </c>
      <c r="C2594" s="2" t="s">
        <v>3119</v>
      </c>
    </row>
    <row r="2595" spans="2:3">
      <c r="B2595" s="6">
        <v>44597</v>
      </c>
      <c r="C2595" s="2" t="s">
        <v>3120</v>
      </c>
    </row>
    <row r="2596" spans="2:3">
      <c r="B2596" s="6">
        <v>44598</v>
      </c>
      <c r="C2596" s="2" t="s">
        <v>3121</v>
      </c>
    </row>
    <row r="2597" spans="2:3">
      <c r="B2597" s="6">
        <v>44599</v>
      </c>
      <c r="C2597" s="2" t="s">
        <v>3122</v>
      </c>
    </row>
    <row r="2598" spans="2:3">
      <c r="B2598" s="6">
        <v>44600</v>
      </c>
      <c r="C2598" s="2" t="s">
        <v>3123</v>
      </c>
    </row>
    <row r="2599" spans="2:3">
      <c r="B2599" s="6">
        <v>44601</v>
      </c>
      <c r="C2599" s="2" t="s">
        <v>3124</v>
      </c>
    </row>
    <row r="2600" spans="2:3">
      <c r="B2600" s="6">
        <v>44602</v>
      </c>
      <c r="C2600" s="2" t="s">
        <v>3125</v>
      </c>
    </row>
    <row r="2601" spans="2:3">
      <c r="B2601" s="6">
        <v>44603</v>
      </c>
      <c r="C2601" s="2" t="s">
        <v>3126</v>
      </c>
    </row>
    <row r="2602" spans="2:3">
      <c r="B2602" s="6">
        <v>44604</v>
      </c>
      <c r="C2602" s="2" t="s">
        <v>611</v>
      </c>
    </row>
    <row r="2603" spans="2:3">
      <c r="B2603" s="6">
        <v>44605</v>
      </c>
      <c r="C2603" s="2" t="s">
        <v>3127</v>
      </c>
    </row>
    <row r="2604" spans="2:3">
      <c r="B2604" s="6">
        <v>44606</v>
      </c>
      <c r="C2604" s="2" t="s">
        <v>3128</v>
      </c>
    </row>
    <row r="2605" spans="2:3">
      <c r="B2605" s="6">
        <v>44607</v>
      </c>
      <c r="C2605" s="2" t="s">
        <v>3129</v>
      </c>
    </row>
    <row r="2606" spans="2:3">
      <c r="B2606" s="6">
        <v>44608</v>
      </c>
      <c r="C2606" s="2" t="s">
        <v>612</v>
      </c>
    </row>
    <row r="2607" spans="2:3">
      <c r="B2607" s="6">
        <v>44609</v>
      </c>
      <c r="C2607" s="2" t="s">
        <v>3130</v>
      </c>
    </row>
    <row r="2608" spans="2:3">
      <c r="B2608" s="6">
        <v>44610</v>
      </c>
      <c r="C2608" s="2" t="s">
        <v>3131</v>
      </c>
    </row>
    <row r="2609" spans="2:3">
      <c r="B2609" s="6">
        <v>44611</v>
      </c>
      <c r="C2609" s="2" t="s">
        <v>3132</v>
      </c>
    </row>
    <row r="2610" spans="2:3">
      <c r="B2610" s="6">
        <v>44612</v>
      </c>
      <c r="C2610" s="2" t="s">
        <v>613</v>
      </c>
    </row>
    <row r="2611" spans="2:3">
      <c r="B2611" s="6">
        <v>44613</v>
      </c>
      <c r="C2611" s="2" t="s">
        <v>3133</v>
      </c>
    </row>
    <row r="2612" spans="2:3">
      <c r="B2612" s="6">
        <v>44614</v>
      </c>
      <c r="C2612" s="2" t="s">
        <v>3134</v>
      </c>
    </row>
    <row r="2613" spans="2:3">
      <c r="B2613" s="6">
        <v>44615</v>
      </c>
      <c r="C2613" s="2" t="s">
        <v>3135</v>
      </c>
    </row>
    <row r="2614" spans="2:3">
      <c r="B2614" s="6">
        <v>44616</v>
      </c>
      <c r="C2614" s="2" t="s">
        <v>614</v>
      </c>
    </row>
    <row r="2615" spans="2:3">
      <c r="B2615" s="6">
        <v>44617</v>
      </c>
      <c r="C2615" s="2" t="s">
        <v>3136</v>
      </c>
    </row>
    <row r="2616" spans="2:3">
      <c r="B2616" s="6">
        <v>44618</v>
      </c>
      <c r="C2616" s="2" t="s">
        <v>3137</v>
      </c>
    </row>
    <row r="2617" spans="2:3">
      <c r="B2617" s="6">
        <v>44619</v>
      </c>
      <c r="C2617" s="2" t="s">
        <v>3138</v>
      </c>
    </row>
    <row r="2618" spans="2:3">
      <c r="B2618" s="6">
        <v>44620</v>
      </c>
      <c r="C2618" s="2" t="s">
        <v>3139</v>
      </c>
    </row>
    <row r="2619" spans="2:3">
      <c r="B2619" s="6">
        <v>44621</v>
      </c>
      <c r="C2619" s="2" t="s">
        <v>3140</v>
      </c>
    </row>
    <row r="2620" spans="2:3">
      <c r="B2620" s="6">
        <v>44622</v>
      </c>
      <c r="C2620" s="2" t="s">
        <v>3141</v>
      </c>
    </row>
    <row r="2621" spans="2:3">
      <c r="B2621" s="6">
        <v>44623</v>
      </c>
      <c r="C2621" s="2" t="s">
        <v>3142</v>
      </c>
    </row>
    <row r="2622" spans="2:3">
      <c r="B2622" s="6">
        <v>44624</v>
      </c>
      <c r="C2622" s="2" t="s">
        <v>3143</v>
      </c>
    </row>
    <row r="2623" spans="2:3">
      <c r="B2623" s="6">
        <v>44625</v>
      </c>
      <c r="C2623" s="2" t="s">
        <v>3144</v>
      </c>
    </row>
    <row r="2624" spans="2:3">
      <c r="B2624" s="6">
        <v>44626</v>
      </c>
      <c r="C2624" s="2" t="s">
        <v>3145</v>
      </c>
    </row>
    <row r="2625" spans="2:3">
      <c r="B2625" s="6">
        <v>44627</v>
      </c>
      <c r="C2625" s="2" t="s">
        <v>3146</v>
      </c>
    </row>
    <row r="2626" spans="2:3">
      <c r="B2626" s="6">
        <v>44628</v>
      </c>
      <c r="C2626" s="2" t="s">
        <v>3147</v>
      </c>
    </row>
    <row r="2627" spans="2:3">
      <c r="B2627" s="6">
        <v>44629</v>
      </c>
      <c r="C2627" s="2" t="s">
        <v>3148</v>
      </c>
    </row>
    <row r="2628" spans="2:3">
      <c r="B2628" s="6">
        <v>44630</v>
      </c>
      <c r="C2628" s="2" t="s">
        <v>3149</v>
      </c>
    </row>
    <row r="2629" spans="2:3">
      <c r="B2629" s="6">
        <v>44631</v>
      </c>
      <c r="C2629" s="2" t="s">
        <v>3150</v>
      </c>
    </row>
    <row r="2630" spans="2:3">
      <c r="B2630" s="6">
        <v>44632</v>
      </c>
      <c r="C2630" s="2" t="s">
        <v>3151</v>
      </c>
    </row>
    <row r="2631" spans="2:3">
      <c r="B2631" s="6">
        <v>44633</v>
      </c>
      <c r="C2631" s="2" t="s">
        <v>3152</v>
      </c>
    </row>
    <row r="2632" spans="2:3">
      <c r="B2632" s="6">
        <v>44634</v>
      </c>
      <c r="C2632" s="2" t="s">
        <v>3153</v>
      </c>
    </row>
    <row r="2633" spans="2:3">
      <c r="B2633" s="6">
        <v>44635</v>
      </c>
      <c r="C2633" s="2" t="s">
        <v>3154</v>
      </c>
    </row>
    <row r="2634" spans="2:3">
      <c r="B2634" s="6">
        <v>44636</v>
      </c>
      <c r="C2634" s="2" t="s">
        <v>3155</v>
      </c>
    </row>
    <row r="2635" spans="2:3">
      <c r="B2635" s="6">
        <v>44637</v>
      </c>
      <c r="C2635" s="2" t="s">
        <v>3156</v>
      </c>
    </row>
    <row r="2636" spans="2:3">
      <c r="B2636" s="6">
        <v>44638</v>
      </c>
      <c r="C2636" s="2" t="s">
        <v>3157</v>
      </c>
    </row>
    <row r="2637" spans="2:3">
      <c r="B2637" s="6">
        <v>44639</v>
      </c>
      <c r="C2637" s="2" t="s">
        <v>3158</v>
      </c>
    </row>
    <row r="2638" spans="2:3">
      <c r="B2638" s="6">
        <v>44640</v>
      </c>
      <c r="C2638" s="2" t="s">
        <v>3159</v>
      </c>
    </row>
    <row r="2639" spans="2:3">
      <c r="B2639" s="6">
        <v>44641</v>
      </c>
      <c r="C2639" s="2" t="s">
        <v>3160</v>
      </c>
    </row>
    <row r="2640" spans="2:3">
      <c r="B2640" s="6">
        <v>44642</v>
      </c>
      <c r="C2640" s="2" t="s">
        <v>3161</v>
      </c>
    </row>
    <row r="2641" spans="2:3">
      <c r="B2641" s="6">
        <v>44643</v>
      </c>
      <c r="C2641" s="2" t="s">
        <v>3162</v>
      </c>
    </row>
    <row r="2642" spans="2:3">
      <c r="B2642" s="6">
        <v>44644</v>
      </c>
      <c r="C2642" s="2" t="s">
        <v>3163</v>
      </c>
    </row>
    <row r="2643" spans="2:3">
      <c r="B2643" s="6">
        <v>44645</v>
      </c>
      <c r="C2643" s="2" t="s">
        <v>3164</v>
      </c>
    </row>
    <row r="2644" spans="2:3">
      <c r="B2644" s="6">
        <v>44646</v>
      </c>
      <c r="C2644" s="2" t="s">
        <v>3165</v>
      </c>
    </row>
    <row r="2645" spans="2:3">
      <c r="B2645" s="6">
        <v>44647</v>
      </c>
      <c r="C2645" s="2" t="s">
        <v>3166</v>
      </c>
    </row>
    <row r="2646" spans="2:3">
      <c r="B2646" s="6">
        <v>44648</v>
      </c>
      <c r="C2646" s="2" t="s">
        <v>3167</v>
      </c>
    </row>
    <row r="2647" spans="2:3">
      <c r="B2647" s="6">
        <v>44649</v>
      </c>
      <c r="C2647" s="2" t="s">
        <v>3168</v>
      </c>
    </row>
    <row r="2648" spans="2:3">
      <c r="B2648" s="6">
        <v>44650</v>
      </c>
      <c r="C2648" s="2" t="s">
        <v>361</v>
      </c>
    </row>
    <row r="2649" spans="2:3">
      <c r="B2649" s="6">
        <v>44651</v>
      </c>
      <c r="C2649" s="2" t="s">
        <v>3169</v>
      </c>
    </row>
    <row r="2650" spans="2:3">
      <c r="B2650" s="6">
        <v>44652</v>
      </c>
      <c r="C2650" s="2" t="s">
        <v>3170</v>
      </c>
    </row>
    <row r="2651" spans="2:3">
      <c r="B2651" s="6">
        <v>44653</v>
      </c>
      <c r="C2651" s="2" t="s">
        <v>362</v>
      </c>
    </row>
    <row r="2652" spans="2:3">
      <c r="B2652" s="6">
        <v>44654</v>
      </c>
      <c r="C2652" s="2" t="s">
        <v>363</v>
      </c>
    </row>
    <row r="2653" spans="2:3">
      <c r="B2653" s="6">
        <v>44655</v>
      </c>
      <c r="C2653" s="2" t="s">
        <v>3171</v>
      </c>
    </row>
    <row r="2654" spans="2:3">
      <c r="B2654" s="6">
        <v>44656</v>
      </c>
      <c r="C2654" s="2" t="s">
        <v>3172</v>
      </c>
    </row>
    <row r="2655" spans="2:3">
      <c r="B2655" s="6">
        <v>44657</v>
      </c>
      <c r="C2655" s="2" t="s">
        <v>3173</v>
      </c>
    </row>
    <row r="2656" spans="2:3">
      <c r="B2656" s="6">
        <v>44658</v>
      </c>
      <c r="C2656" s="2" t="s">
        <v>364</v>
      </c>
    </row>
    <row r="2657" spans="2:3">
      <c r="B2657" s="6">
        <v>44659</v>
      </c>
      <c r="C2657" s="2" t="s">
        <v>3174</v>
      </c>
    </row>
    <row r="2658" spans="2:3">
      <c r="B2658" s="6">
        <v>44660</v>
      </c>
      <c r="C2658" s="2" t="s">
        <v>3175</v>
      </c>
    </row>
    <row r="2659" spans="2:3">
      <c r="B2659" s="6">
        <v>44661</v>
      </c>
      <c r="C2659" s="2" t="s">
        <v>3176</v>
      </c>
    </row>
    <row r="2660" spans="2:3">
      <c r="B2660" s="6">
        <v>44662</v>
      </c>
      <c r="C2660" s="2" t="s">
        <v>3177</v>
      </c>
    </row>
    <row r="2661" spans="2:3">
      <c r="B2661" s="6">
        <v>44663</v>
      </c>
      <c r="C2661" s="2" t="s">
        <v>3178</v>
      </c>
    </row>
    <row r="2662" spans="2:3">
      <c r="B2662" s="6">
        <v>44664</v>
      </c>
      <c r="C2662" s="2" t="s">
        <v>3179</v>
      </c>
    </row>
    <row r="2663" spans="2:3">
      <c r="B2663" s="6">
        <v>44665</v>
      </c>
      <c r="C2663" s="2" t="s">
        <v>3180</v>
      </c>
    </row>
    <row r="2664" spans="2:3">
      <c r="B2664" s="6">
        <v>44666</v>
      </c>
      <c r="C2664" s="2" t="s">
        <v>3181</v>
      </c>
    </row>
    <row r="2665" spans="2:3">
      <c r="B2665" s="6">
        <v>44667</v>
      </c>
      <c r="C2665" s="2" t="s">
        <v>665</v>
      </c>
    </row>
    <row r="2666" spans="2:3">
      <c r="B2666" s="6">
        <v>44668</v>
      </c>
      <c r="C2666" s="2" t="s">
        <v>3182</v>
      </c>
    </row>
    <row r="2667" spans="2:3">
      <c r="B2667" s="6">
        <v>44669</v>
      </c>
      <c r="C2667" s="2" t="s">
        <v>666</v>
      </c>
    </row>
    <row r="2668" spans="2:3">
      <c r="B2668" s="6">
        <v>44670</v>
      </c>
      <c r="C2668" s="2" t="s">
        <v>3183</v>
      </c>
    </row>
    <row r="2669" spans="2:3">
      <c r="B2669" s="6">
        <v>44671</v>
      </c>
      <c r="C2669" s="2" t="s">
        <v>3184</v>
      </c>
    </row>
    <row r="2670" spans="2:3">
      <c r="B2670" s="6">
        <v>44672</v>
      </c>
      <c r="C2670" s="2" t="s">
        <v>667</v>
      </c>
    </row>
    <row r="2671" spans="2:3">
      <c r="B2671" s="6">
        <v>44673</v>
      </c>
      <c r="C2671" s="2" t="s">
        <v>3185</v>
      </c>
    </row>
    <row r="2672" spans="2:3">
      <c r="B2672" s="6">
        <v>44674</v>
      </c>
      <c r="C2672" s="2" t="s">
        <v>3186</v>
      </c>
    </row>
    <row r="2673" spans="2:3">
      <c r="B2673" s="6">
        <v>44675</v>
      </c>
      <c r="C2673" s="2" t="s">
        <v>668</v>
      </c>
    </row>
    <row r="2674" spans="2:3">
      <c r="B2674" s="6">
        <v>44676</v>
      </c>
      <c r="C2674" s="2" t="s">
        <v>3187</v>
      </c>
    </row>
    <row r="2675" spans="2:3">
      <c r="B2675" s="6">
        <v>44677</v>
      </c>
      <c r="C2675" s="2" t="s">
        <v>3188</v>
      </c>
    </row>
    <row r="2676" spans="2:3">
      <c r="B2676" s="6">
        <v>44678</v>
      </c>
      <c r="C2676" s="2" t="s">
        <v>3189</v>
      </c>
    </row>
    <row r="2677" spans="2:3">
      <c r="B2677" s="6">
        <v>44679</v>
      </c>
      <c r="C2677" s="2" t="s">
        <v>3190</v>
      </c>
    </row>
    <row r="2678" spans="2:3">
      <c r="B2678" s="6">
        <v>44680</v>
      </c>
      <c r="C2678" s="2" t="s">
        <v>3191</v>
      </c>
    </row>
    <row r="2679" spans="2:3">
      <c r="B2679" s="6">
        <v>44681</v>
      </c>
      <c r="C2679" s="2" t="s">
        <v>3192</v>
      </c>
    </row>
    <row r="2680" spans="2:3">
      <c r="B2680" s="6">
        <v>44682</v>
      </c>
      <c r="C2680" s="2" t="s">
        <v>3193</v>
      </c>
    </row>
    <row r="2681" spans="2:3">
      <c r="B2681" s="6">
        <v>44683</v>
      </c>
      <c r="C2681" s="2" t="s">
        <v>3194</v>
      </c>
    </row>
    <row r="2682" spans="2:3">
      <c r="B2682" s="6">
        <v>44684</v>
      </c>
      <c r="C2682" s="2" t="s">
        <v>3195</v>
      </c>
    </row>
    <row r="2683" spans="2:3">
      <c r="B2683" s="6">
        <v>44685</v>
      </c>
      <c r="C2683" s="2" t="s">
        <v>3196</v>
      </c>
    </row>
    <row r="2684" spans="2:3">
      <c r="B2684" s="6">
        <v>44686</v>
      </c>
      <c r="C2684" s="2" t="s">
        <v>3197</v>
      </c>
    </row>
    <row r="2685" spans="2:3">
      <c r="B2685" s="6">
        <v>44687</v>
      </c>
      <c r="C2685" s="2" t="s">
        <v>3198</v>
      </c>
    </row>
    <row r="2686" spans="2:3">
      <c r="B2686" s="6">
        <v>44688</v>
      </c>
      <c r="C2686" s="2" t="s">
        <v>3199</v>
      </c>
    </row>
    <row r="2687" spans="2:3">
      <c r="B2687" s="6">
        <v>44689</v>
      </c>
      <c r="C2687" s="2" t="s">
        <v>3200</v>
      </c>
    </row>
    <row r="2688" spans="2:3">
      <c r="B2688" s="6">
        <v>44690</v>
      </c>
      <c r="C2688" s="2" t="s">
        <v>3201</v>
      </c>
    </row>
    <row r="2689" spans="2:3">
      <c r="B2689" s="6">
        <v>44691</v>
      </c>
      <c r="C2689" s="2" t="s">
        <v>3202</v>
      </c>
    </row>
    <row r="2690" spans="2:3">
      <c r="B2690" s="6">
        <v>44692</v>
      </c>
      <c r="C2690" s="2" t="s">
        <v>617</v>
      </c>
    </row>
    <row r="2691" spans="2:3">
      <c r="B2691" s="6">
        <v>44693</v>
      </c>
      <c r="C2691" s="2" t="s">
        <v>3203</v>
      </c>
    </row>
    <row r="2692" spans="2:3">
      <c r="B2692" s="6">
        <v>44694</v>
      </c>
      <c r="C2692" s="2" t="s">
        <v>3204</v>
      </c>
    </row>
    <row r="2693" spans="2:3">
      <c r="B2693" s="6">
        <v>44695</v>
      </c>
      <c r="C2693" s="2" t="s">
        <v>618</v>
      </c>
    </row>
    <row r="2694" spans="2:3">
      <c r="B2694" s="6">
        <v>44696</v>
      </c>
      <c r="C2694" s="2" t="s">
        <v>3205</v>
      </c>
    </row>
    <row r="2695" spans="2:3">
      <c r="B2695" s="6">
        <v>44697</v>
      </c>
      <c r="C2695" s="2" t="s">
        <v>619</v>
      </c>
    </row>
    <row r="2696" spans="2:3">
      <c r="B2696" s="6">
        <v>44698</v>
      </c>
      <c r="C2696" s="2" t="s">
        <v>3206</v>
      </c>
    </row>
    <row r="2697" spans="2:3">
      <c r="B2697" s="6">
        <v>44699</v>
      </c>
      <c r="C2697" s="2" t="s">
        <v>3207</v>
      </c>
    </row>
    <row r="2698" spans="2:3">
      <c r="B2698" s="6">
        <v>44700</v>
      </c>
      <c r="C2698" s="2" t="s">
        <v>620</v>
      </c>
    </row>
    <row r="2699" spans="2:3">
      <c r="B2699" s="6">
        <v>44701</v>
      </c>
      <c r="C2699" s="2" t="s">
        <v>3208</v>
      </c>
    </row>
    <row r="2700" spans="2:3">
      <c r="B2700" s="6">
        <v>44702</v>
      </c>
      <c r="C2700" s="2" t="s">
        <v>3209</v>
      </c>
    </row>
    <row r="2701" spans="2:3">
      <c r="B2701" s="6">
        <v>44703</v>
      </c>
      <c r="C2701" s="2" t="s">
        <v>3210</v>
      </c>
    </row>
    <row r="2702" spans="2:3">
      <c r="B2702" s="6">
        <v>44704</v>
      </c>
      <c r="C2702" s="2" t="s">
        <v>3211</v>
      </c>
    </row>
    <row r="2703" spans="2:3">
      <c r="B2703" s="6">
        <v>44705</v>
      </c>
      <c r="C2703" s="2" t="s">
        <v>3212</v>
      </c>
    </row>
    <row r="2704" spans="2:3">
      <c r="B2704" s="6">
        <v>44706</v>
      </c>
      <c r="C2704" s="2" t="s">
        <v>3213</v>
      </c>
    </row>
    <row r="2705" spans="2:3">
      <c r="B2705" s="6">
        <v>44707</v>
      </c>
      <c r="C2705" s="2" t="s">
        <v>3214</v>
      </c>
    </row>
    <row r="2706" spans="2:3">
      <c r="B2706" s="6">
        <v>44708</v>
      </c>
      <c r="C2706" s="2" t="s">
        <v>3215</v>
      </c>
    </row>
    <row r="2707" spans="2:3">
      <c r="B2707" s="6">
        <v>44709</v>
      </c>
      <c r="C2707" s="2" t="s">
        <v>3216</v>
      </c>
    </row>
    <row r="2708" spans="2:3">
      <c r="B2708" s="6">
        <v>44710</v>
      </c>
      <c r="C2708" s="2" t="s">
        <v>3217</v>
      </c>
    </row>
    <row r="2709" spans="2:3">
      <c r="B2709" s="6">
        <v>44711</v>
      </c>
      <c r="C2709" s="2" t="s">
        <v>709</v>
      </c>
    </row>
    <row r="2710" spans="2:3">
      <c r="B2710" s="6">
        <v>44712</v>
      </c>
      <c r="C2710" s="2" t="s">
        <v>710</v>
      </c>
    </row>
    <row r="2711" spans="2:3">
      <c r="B2711" s="6">
        <v>44713</v>
      </c>
      <c r="C2711" s="2" t="s">
        <v>3218</v>
      </c>
    </row>
    <row r="2712" spans="2:3">
      <c r="B2712" s="6">
        <v>44714</v>
      </c>
      <c r="C2712" s="2" t="s">
        <v>711</v>
      </c>
    </row>
    <row r="2713" spans="2:3">
      <c r="B2713" s="6">
        <v>44715</v>
      </c>
      <c r="C2713" s="2" t="s">
        <v>3219</v>
      </c>
    </row>
    <row r="2714" spans="2:3">
      <c r="B2714" s="6">
        <v>44716</v>
      </c>
      <c r="C2714" s="2" t="s">
        <v>3220</v>
      </c>
    </row>
    <row r="2715" spans="2:3">
      <c r="B2715" s="6">
        <v>44717</v>
      </c>
      <c r="C2715" s="2" t="s">
        <v>3221</v>
      </c>
    </row>
    <row r="2716" spans="2:3">
      <c r="B2716" s="6">
        <v>44718</v>
      </c>
      <c r="C2716" s="2" t="s">
        <v>712</v>
      </c>
    </row>
    <row r="2717" spans="2:3">
      <c r="B2717" s="6">
        <v>44719</v>
      </c>
      <c r="C2717" s="2" t="s">
        <v>3222</v>
      </c>
    </row>
    <row r="2718" spans="2:3">
      <c r="B2718" s="6">
        <v>44720</v>
      </c>
      <c r="C2718" s="2" t="s">
        <v>3223</v>
      </c>
    </row>
    <row r="2719" spans="2:3">
      <c r="B2719" s="6">
        <v>44721</v>
      </c>
      <c r="C2719" s="2" t="s">
        <v>3224</v>
      </c>
    </row>
    <row r="2720" spans="2:3">
      <c r="B2720" s="6">
        <v>44722</v>
      </c>
      <c r="C2720" s="2" t="s">
        <v>3225</v>
      </c>
    </row>
    <row r="2721" spans="2:3">
      <c r="B2721" s="6">
        <v>44723</v>
      </c>
      <c r="C2721" s="2" t="s">
        <v>3226</v>
      </c>
    </row>
    <row r="2722" spans="2:3">
      <c r="B2722" s="6">
        <v>44724</v>
      </c>
      <c r="C2722" s="2" t="s">
        <v>3227</v>
      </c>
    </row>
    <row r="2723" spans="2:3">
      <c r="B2723" s="6">
        <v>44725</v>
      </c>
      <c r="C2723" s="2" t="s">
        <v>3228</v>
      </c>
    </row>
    <row r="2724" spans="2:3">
      <c r="B2724" s="6">
        <v>44726</v>
      </c>
      <c r="C2724" s="2" t="s">
        <v>3229</v>
      </c>
    </row>
    <row r="2725" spans="2:3">
      <c r="B2725" s="6">
        <v>44727</v>
      </c>
      <c r="C2725" s="2" t="s">
        <v>3230</v>
      </c>
    </row>
    <row r="2726" spans="2:3">
      <c r="B2726" s="6">
        <v>44728</v>
      </c>
      <c r="C2726" s="2" t="s">
        <v>3231</v>
      </c>
    </row>
    <row r="2727" spans="2:3">
      <c r="B2727" s="6">
        <v>44729</v>
      </c>
      <c r="C2727" s="2" t="s">
        <v>3232</v>
      </c>
    </row>
    <row r="2728" spans="2:3">
      <c r="B2728" s="6">
        <v>44730</v>
      </c>
      <c r="C2728" s="2" t="s">
        <v>3233</v>
      </c>
    </row>
    <row r="2729" spans="2:3">
      <c r="B2729" s="6">
        <v>44731</v>
      </c>
      <c r="C2729" s="2" t="s">
        <v>822</v>
      </c>
    </row>
    <row r="2730" spans="2:3">
      <c r="B2730" s="6">
        <v>44732</v>
      </c>
      <c r="C2730" s="2" t="s">
        <v>3234</v>
      </c>
    </row>
    <row r="2731" spans="2:3">
      <c r="B2731" s="6">
        <v>44733</v>
      </c>
      <c r="C2731" s="2" t="s">
        <v>823</v>
      </c>
    </row>
    <row r="2732" spans="2:3">
      <c r="B2732" s="6">
        <v>44734</v>
      </c>
      <c r="C2732" s="2" t="s">
        <v>3235</v>
      </c>
    </row>
    <row r="2733" spans="2:3">
      <c r="B2733" s="6">
        <v>44735</v>
      </c>
      <c r="C2733" s="2" t="s">
        <v>3236</v>
      </c>
    </row>
    <row r="2734" spans="2:3">
      <c r="B2734" s="6">
        <v>44736</v>
      </c>
      <c r="C2734" s="2" t="s">
        <v>824</v>
      </c>
    </row>
    <row r="2735" spans="2:3">
      <c r="B2735" s="6">
        <v>44737</v>
      </c>
      <c r="C2735" s="2" t="s">
        <v>3237</v>
      </c>
    </row>
    <row r="2736" spans="2:3">
      <c r="B2736" s="6">
        <v>44738</v>
      </c>
      <c r="C2736" s="2" t="s">
        <v>3238</v>
      </c>
    </row>
    <row r="2737" spans="2:3">
      <c r="B2737" s="6">
        <v>44739</v>
      </c>
      <c r="C2737" s="2" t="s">
        <v>825</v>
      </c>
    </row>
    <row r="2738" spans="2:3">
      <c r="B2738" s="6">
        <v>44740</v>
      </c>
      <c r="C2738" s="2" t="s">
        <v>3239</v>
      </c>
    </row>
    <row r="2739" spans="2:3">
      <c r="B2739" s="6">
        <v>44741</v>
      </c>
      <c r="C2739" s="2" t="s">
        <v>3240</v>
      </c>
    </row>
    <row r="2740" spans="2:3">
      <c r="B2740" s="6">
        <v>44742</v>
      </c>
      <c r="C2740" s="2" t="s">
        <v>3241</v>
      </c>
    </row>
    <row r="2741" spans="2:3">
      <c r="B2741" s="6">
        <v>44743</v>
      </c>
      <c r="C2741" s="2" t="s">
        <v>3242</v>
      </c>
    </row>
    <row r="2742" spans="2:3">
      <c r="B2742" s="6">
        <v>44744</v>
      </c>
      <c r="C2742" s="2" t="s">
        <v>3243</v>
      </c>
    </row>
    <row r="2743" spans="2:3">
      <c r="B2743" s="6">
        <v>44745</v>
      </c>
      <c r="C2743" s="2" t="s">
        <v>3244</v>
      </c>
    </row>
    <row r="2744" spans="2:3">
      <c r="B2744" s="6">
        <v>44746</v>
      </c>
      <c r="C2744" s="2" t="s">
        <v>3245</v>
      </c>
    </row>
    <row r="2745" spans="2:3">
      <c r="B2745" s="6">
        <v>44747</v>
      </c>
      <c r="C2745" s="2" t="s">
        <v>3246</v>
      </c>
    </row>
    <row r="2746" spans="2:3">
      <c r="B2746" s="6">
        <v>44748</v>
      </c>
      <c r="C2746" s="2" t="s">
        <v>3247</v>
      </c>
    </row>
    <row r="2747" spans="2:3">
      <c r="B2747" s="6">
        <v>44749</v>
      </c>
      <c r="C2747" s="2" t="s">
        <v>3248</v>
      </c>
    </row>
    <row r="2748" spans="2:3">
      <c r="B2748" s="6">
        <v>44750</v>
      </c>
      <c r="C2748" s="2" t="s">
        <v>3249</v>
      </c>
    </row>
    <row r="2749" spans="2:3">
      <c r="B2749" s="6">
        <v>44751</v>
      </c>
      <c r="C2749" s="2" t="s">
        <v>3250</v>
      </c>
    </row>
    <row r="2750" spans="2:3">
      <c r="B2750" s="6">
        <v>44752</v>
      </c>
      <c r="C2750" s="2" t="s">
        <v>3251</v>
      </c>
    </row>
    <row r="2751" spans="2:3">
      <c r="B2751" s="6">
        <v>44753</v>
      </c>
      <c r="C2751" s="2" t="s">
        <v>3252</v>
      </c>
    </row>
    <row r="2752" spans="2:3">
      <c r="B2752" s="6">
        <v>44754</v>
      </c>
      <c r="C2752" s="2" t="s">
        <v>3253</v>
      </c>
    </row>
    <row r="2753" spans="2:3">
      <c r="B2753" s="6">
        <v>44755</v>
      </c>
      <c r="C2753" s="2" t="s">
        <v>3254</v>
      </c>
    </row>
    <row r="2754" spans="2:3">
      <c r="B2754" s="6">
        <v>44756</v>
      </c>
      <c r="C2754" s="2" t="s">
        <v>3255</v>
      </c>
    </row>
    <row r="2755" spans="2:3">
      <c r="B2755" s="6">
        <v>44757</v>
      </c>
      <c r="C2755" s="2" t="s">
        <v>3256</v>
      </c>
    </row>
    <row r="2756" spans="2:3">
      <c r="B2756" s="6">
        <v>44758</v>
      </c>
      <c r="C2756" s="2" t="s">
        <v>3257</v>
      </c>
    </row>
    <row r="2757" spans="2:3">
      <c r="B2757" s="6">
        <v>44759</v>
      </c>
      <c r="C2757" s="2" t="s">
        <v>526</v>
      </c>
    </row>
    <row r="2758" spans="2:3">
      <c r="B2758" s="6">
        <v>44760</v>
      </c>
      <c r="C2758" s="2" t="s">
        <v>3258</v>
      </c>
    </row>
    <row r="2759" spans="2:3">
      <c r="B2759" s="6">
        <v>44761</v>
      </c>
      <c r="C2759" s="2" t="s">
        <v>3259</v>
      </c>
    </row>
    <row r="2760" spans="2:3">
      <c r="B2760" s="6">
        <v>44762</v>
      </c>
      <c r="C2760" s="2" t="s">
        <v>3260</v>
      </c>
    </row>
    <row r="2761" spans="2:3">
      <c r="B2761" s="6">
        <v>44763</v>
      </c>
      <c r="C2761" s="2" t="s">
        <v>527</v>
      </c>
    </row>
    <row r="2762" spans="2:3">
      <c r="B2762" s="6">
        <v>44764</v>
      </c>
      <c r="C2762" s="2" t="s">
        <v>3261</v>
      </c>
    </row>
    <row r="2763" spans="2:3">
      <c r="B2763" s="6">
        <v>44765</v>
      </c>
      <c r="C2763" s="2" t="s">
        <v>3262</v>
      </c>
    </row>
    <row r="2764" spans="2:3">
      <c r="B2764" s="6">
        <v>44766</v>
      </c>
      <c r="C2764" s="2" t="s">
        <v>528</v>
      </c>
    </row>
    <row r="2765" spans="2:3">
      <c r="B2765" s="6">
        <v>44767</v>
      </c>
      <c r="C2765" s="2" t="s">
        <v>3263</v>
      </c>
    </row>
    <row r="2766" spans="2:3">
      <c r="B2766" s="6">
        <v>44768</v>
      </c>
      <c r="C2766" s="2" t="s">
        <v>3264</v>
      </c>
    </row>
    <row r="2767" spans="2:3">
      <c r="B2767" s="6">
        <v>44769</v>
      </c>
      <c r="C2767" s="2" t="s">
        <v>3265</v>
      </c>
    </row>
    <row r="2768" spans="2:3">
      <c r="B2768" s="6">
        <v>44770</v>
      </c>
      <c r="C2768" s="2" t="s">
        <v>529</v>
      </c>
    </row>
    <row r="2769" spans="2:3">
      <c r="B2769" s="6">
        <v>44771</v>
      </c>
      <c r="C2769" s="2" t="s">
        <v>3266</v>
      </c>
    </row>
    <row r="2770" spans="2:3">
      <c r="B2770" s="6">
        <v>44772</v>
      </c>
      <c r="C2770" s="2" t="s">
        <v>3267</v>
      </c>
    </row>
    <row r="2771" spans="2:3">
      <c r="B2771" s="6">
        <v>44773</v>
      </c>
      <c r="C2771" s="2" t="s">
        <v>3268</v>
      </c>
    </row>
    <row r="2772" spans="2:3">
      <c r="B2772" s="6">
        <v>44774</v>
      </c>
      <c r="C2772" s="2" t="s">
        <v>3269</v>
      </c>
    </row>
    <row r="2773" spans="2:3">
      <c r="B2773" s="6">
        <v>44775</v>
      </c>
      <c r="C2773" s="2" t="s">
        <v>3270</v>
      </c>
    </row>
    <row r="2774" spans="2:3">
      <c r="B2774" s="6">
        <v>44776</v>
      </c>
      <c r="C2774" s="2" t="s">
        <v>3271</v>
      </c>
    </row>
    <row r="2775" spans="2:3">
      <c r="B2775" s="6">
        <v>44777</v>
      </c>
      <c r="C2775" s="2" t="s">
        <v>3272</v>
      </c>
    </row>
    <row r="2776" spans="2:3">
      <c r="B2776" s="6">
        <v>44778</v>
      </c>
      <c r="C2776" s="2" t="s">
        <v>3273</v>
      </c>
    </row>
    <row r="2777" spans="2:3">
      <c r="B2777" s="6">
        <v>44779</v>
      </c>
      <c r="C2777" s="2" t="s">
        <v>3274</v>
      </c>
    </row>
    <row r="2778" spans="2:3">
      <c r="B2778" s="6">
        <v>44780</v>
      </c>
      <c r="C2778" s="2" t="s">
        <v>3275</v>
      </c>
    </row>
    <row r="2779" spans="2:3">
      <c r="B2779" s="6">
        <v>44781</v>
      </c>
      <c r="C2779" s="2" t="s">
        <v>3276</v>
      </c>
    </row>
    <row r="2780" spans="2:3">
      <c r="B2780" s="6">
        <v>44782</v>
      </c>
      <c r="C2780" s="2" t="s">
        <v>3277</v>
      </c>
    </row>
    <row r="2781" spans="2:3">
      <c r="B2781" s="6">
        <v>44783</v>
      </c>
      <c r="C2781" s="2" t="s">
        <v>3278</v>
      </c>
    </row>
    <row r="2782" spans="2:3">
      <c r="B2782" s="6">
        <v>44784</v>
      </c>
      <c r="C2782" s="2" t="s">
        <v>3279</v>
      </c>
    </row>
    <row r="2783" spans="2:3">
      <c r="B2783" s="6">
        <v>44785</v>
      </c>
      <c r="C2783" s="2" t="s">
        <v>3280</v>
      </c>
    </row>
    <row r="2784" spans="2:3">
      <c r="B2784" s="6">
        <v>44786</v>
      </c>
      <c r="C2784" s="2" t="s">
        <v>3281</v>
      </c>
    </row>
    <row r="2785" spans="2:3">
      <c r="B2785" s="6">
        <v>44787</v>
      </c>
      <c r="C2785" s="2" t="s">
        <v>3282</v>
      </c>
    </row>
    <row r="2786" spans="2:3">
      <c r="B2786" s="6">
        <v>44788</v>
      </c>
      <c r="C2786" s="2" t="s">
        <v>3283</v>
      </c>
    </row>
    <row r="2787" spans="2:3">
      <c r="B2787" s="6">
        <v>44789</v>
      </c>
      <c r="C2787" s="2" t="s">
        <v>3284</v>
      </c>
    </row>
    <row r="2788" spans="2:3">
      <c r="B2788" s="6">
        <v>44790</v>
      </c>
      <c r="C2788" s="2" t="s">
        <v>3285</v>
      </c>
    </row>
    <row r="2789" spans="2:3">
      <c r="B2789" s="6">
        <v>44791</v>
      </c>
      <c r="C2789" s="2" t="s">
        <v>3286</v>
      </c>
    </row>
    <row r="2790" spans="2:3">
      <c r="B2790" s="6">
        <v>44792</v>
      </c>
      <c r="C2790" s="2" t="s">
        <v>3287</v>
      </c>
    </row>
    <row r="2791" spans="2:3">
      <c r="B2791" s="6">
        <v>44793</v>
      </c>
      <c r="C2791" s="2" t="s">
        <v>3288</v>
      </c>
    </row>
    <row r="2792" spans="2:3">
      <c r="B2792" s="6">
        <v>44794</v>
      </c>
      <c r="C2792" s="2" t="s">
        <v>3289</v>
      </c>
    </row>
    <row r="2793" spans="2:3">
      <c r="B2793" s="6">
        <v>44795</v>
      </c>
      <c r="C2793" s="2" t="s">
        <v>3290</v>
      </c>
    </row>
    <row r="2794" spans="2:3">
      <c r="B2794" s="6">
        <v>44796</v>
      </c>
      <c r="C2794" s="2" t="s">
        <v>3291</v>
      </c>
    </row>
    <row r="2795" spans="2:3">
      <c r="B2795" s="6">
        <v>44797</v>
      </c>
      <c r="C2795" s="2" t="s">
        <v>3292</v>
      </c>
    </row>
    <row r="2796" spans="2:3">
      <c r="B2796" s="6">
        <v>44798</v>
      </c>
      <c r="C2796" s="2" t="s">
        <v>3293</v>
      </c>
    </row>
    <row r="2797" spans="2:3">
      <c r="B2797" s="6">
        <v>44799</v>
      </c>
      <c r="C2797" s="2" t="s">
        <v>3294</v>
      </c>
    </row>
    <row r="2798" spans="2:3">
      <c r="B2798" s="6">
        <v>44800</v>
      </c>
      <c r="C2798" s="2" t="s">
        <v>3295</v>
      </c>
    </row>
    <row r="2799" spans="2:3">
      <c r="B2799" s="6">
        <v>44801</v>
      </c>
      <c r="C2799" s="2" t="s">
        <v>3296</v>
      </c>
    </row>
    <row r="2800" spans="2:3">
      <c r="B2800" s="6">
        <v>44802</v>
      </c>
      <c r="C2800" s="2" t="s">
        <v>3297</v>
      </c>
    </row>
    <row r="2801" spans="2:3">
      <c r="B2801" s="6">
        <v>44803</v>
      </c>
      <c r="C2801" s="2" t="s">
        <v>3298</v>
      </c>
    </row>
    <row r="2802" spans="2:3">
      <c r="B2802" s="6">
        <v>44804</v>
      </c>
      <c r="C2802" s="2" t="s">
        <v>3299</v>
      </c>
    </row>
    <row r="2803" spans="2:3">
      <c r="B2803" s="6">
        <v>44805</v>
      </c>
      <c r="C2803" s="2" t="s">
        <v>3300</v>
      </c>
    </row>
    <row r="2804" spans="2:3">
      <c r="B2804" s="6">
        <v>44806</v>
      </c>
      <c r="C2804" s="2" t="s">
        <v>3301</v>
      </c>
    </row>
    <row r="2805" spans="2:3">
      <c r="B2805" s="6">
        <v>44807</v>
      </c>
      <c r="C2805" s="2" t="s">
        <v>3302</v>
      </c>
    </row>
    <row r="2806" spans="2:3">
      <c r="B2806" s="6">
        <v>44808</v>
      </c>
      <c r="C2806" s="2" t="s">
        <v>3303</v>
      </c>
    </row>
    <row r="2807" spans="2:3">
      <c r="B2807" s="6">
        <v>44809</v>
      </c>
      <c r="C2807" s="2" t="s">
        <v>3304</v>
      </c>
    </row>
    <row r="2808" spans="2:3">
      <c r="B2808" s="6">
        <v>44810</v>
      </c>
      <c r="C2808" s="2" t="s">
        <v>3305</v>
      </c>
    </row>
    <row r="2809" spans="2:3">
      <c r="B2809" s="6">
        <v>44811</v>
      </c>
      <c r="C2809" s="2" t="s">
        <v>3306</v>
      </c>
    </row>
    <row r="2810" spans="2:3">
      <c r="B2810" s="6">
        <v>44812</v>
      </c>
      <c r="C2810" s="2" t="s">
        <v>3307</v>
      </c>
    </row>
    <row r="2811" spans="2:3">
      <c r="B2811" s="6">
        <v>44813</v>
      </c>
      <c r="C2811" s="2" t="s">
        <v>3308</v>
      </c>
    </row>
    <row r="2812" spans="2:3">
      <c r="B2812" s="6">
        <v>44814</v>
      </c>
      <c r="C2812" s="2" t="s">
        <v>3309</v>
      </c>
    </row>
    <row r="2813" spans="2:3">
      <c r="B2813" s="6">
        <v>44815</v>
      </c>
      <c r="C2813" s="2" t="s">
        <v>3310</v>
      </c>
    </row>
    <row r="2814" spans="2:3">
      <c r="B2814" s="6">
        <v>44816</v>
      </c>
      <c r="C2814" s="2" t="s">
        <v>3311</v>
      </c>
    </row>
    <row r="2815" spans="2:3">
      <c r="B2815" s="6">
        <v>44817</v>
      </c>
      <c r="C2815" s="2" t="s">
        <v>3312</v>
      </c>
    </row>
    <row r="2816" spans="2:3">
      <c r="B2816" s="6">
        <v>44818</v>
      </c>
      <c r="C2816" s="2" t="s">
        <v>3313</v>
      </c>
    </row>
    <row r="2817" spans="2:3">
      <c r="B2817" s="6">
        <v>44819</v>
      </c>
      <c r="C2817" s="2" t="s">
        <v>3314</v>
      </c>
    </row>
    <row r="2818" spans="2:3">
      <c r="B2818" s="6">
        <v>44820</v>
      </c>
      <c r="C2818" s="2" t="s">
        <v>3315</v>
      </c>
    </row>
    <row r="2819" spans="2:3">
      <c r="B2819" s="6">
        <v>44821</v>
      </c>
      <c r="C2819" s="2" t="s">
        <v>3316</v>
      </c>
    </row>
    <row r="2820" spans="2:3">
      <c r="B2820" s="6">
        <v>44822</v>
      </c>
      <c r="C2820" s="2" t="s">
        <v>3317</v>
      </c>
    </row>
    <row r="2821" spans="2:3">
      <c r="B2821" s="6">
        <v>44823</v>
      </c>
      <c r="C2821" s="2" t="s">
        <v>3318</v>
      </c>
    </row>
    <row r="2822" spans="2:3">
      <c r="B2822" s="6">
        <v>44824</v>
      </c>
      <c r="C2822" s="2" t="s">
        <v>3319</v>
      </c>
    </row>
    <row r="2823" spans="2:3">
      <c r="B2823" s="6">
        <v>44825</v>
      </c>
      <c r="C2823" s="2" t="s">
        <v>3320</v>
      </c>
    </row>
    <row r="2824" spans="2:3">
      <c r="B2824" s="6">
        <v>44826</v>
      </c>
      <c r="C2824" s="2" t="s">
        <v>3321</v>
      </c>
    </row>
    <row r="2825" spans="2:3">
      <c r="B2825" s="6">
        <v>44827</v>
      </c>
      <c r="C2825" s="2" t="s">
        <v>3322</v>
      </c>
    </row>
    <row r="2826" spans="2:3">
      <c r="B2826" s="6">
        <v>44828</v>
      </c>
      <c r="C2826" s="2" t="s">
        <v>3323</v>
      </c>
    </row>
    <row r="2827" spans="2:3">
      <c r="B2827" s="6">
        <v>44829</v>
      </c>
      <c r="C2827" s="2" t="s">
        <v>3324</v>
      </c>
    </row>
    <row r="2828" spans="2:3">
      <c r="B2828" s="6">
        <v>44830</v>
      </c>
      <c r="C2828" s="2" t="s">
        <v>3325</v>
      </c>
    </row>
    <row r="2829" spans="2:3">
      <c r="B2829" s="6">
        <v>44831</v>
      </c>
      <c r="C2829" s="2" t="s">
        <v>3326</v>
      </c>
    </row>
    <row r="2830" spans="2:3">
      <c r="B2830" s="6">
        <v>44832</v>
      </c>
      <c r="C2830" s="2" t="s">
        <v>3327</v>
      </c>
    </row>
    <row r="2831" spans="2:3">
      <c r="B2831" s="6">
        <v>44833</v>
      </c>
      <c r="C2831" s="2" t="s">
        <v>3328</v>
      </c>
    </row>
    <row r="2832" spans="2:3">
      <c r="B2832" s="6">
        <v>44834</v>
      </c>
      <c r="C2832" s="2" t="s">
        <v>3329</v>
      </c>
    </row>
    <row r="2833" spans="2:3">
      <c r="B2833" s="6">
        <v>44835</v>
      </c>
      <c r="C2833" s="2" t="s">
        <v>3330</v>
      </c>
    </row>
    <row r="2834" spans="2:3">
      <c r="B2834" s="6">
        <v>44836</v>
      </c>
      <c r="C2834" s="2" t="s">
        <v>3331</v>
      </c>
    </row>
    <row r="2835" spans="2:3">
      <c r="B2835" s="6">
        <v>44837</v>
      </c>
      <c r="C2835" s="2" t="s">
        <v>3332</v>
      </c>
    </row>
    <row r="2836" spans="2:3">
      <c r="B2836" s="6">
        <v>44838</v>
      </c>
      <c r="C2836" s="2" t="s">
        <v>3333</v>
      </c>
    </row>
    <row r="2837" spans="2:3">
      <c r="B2837" s="6">
        <v>44839</v>
      </c>
      <c r="C2837" s="2" t="s">
        <v>3334</v>
      </c>
    </row>
    <row r="2838" spans="2:3">
      <c r="B2838" s="6">
        <v>44840</v>
      </c>
      <c r="C2838" s="2" t="s">
        <v>3335</v>
      </c>
    </row>
    <row r="2839" spans="2:3">
      <c r="B2839" s="6">
        <v>44841</v>
      </c>
      <c r="C2839" s="2" t="s">
        <v>3336</v>
      </c>
    </row>
    <row r="2840" spans="2:3">
      <c r="B2840" s="6">
        <v>44842</v>
      </c>
      <c r="C2840" s="2" t="s">
        <v>3337</v>
      </c>
    </row>
    <row r="2841" spans="2:3">
      <c r="B2841" s="6">
        <v>44843</v>
      </c>
      <c r="C2841" s="2" t="s">
        <v>3338</v>
      </c>
    </row>
    <row r="2842" spans="2:3">
      <c r="B2842" s="6">
        <v>44844</v>
      </c>
      <c r="C2842" s="2" t="s">
        <v>3339</v>
      </c>
    </row>
    <row r="2843" spans="2:3">
      <c r="B2843" s="6">
        <v>44845</v>
      </c>
      <c r="C2843" s="2" t="s">
        <v>3340</v>
      </c>
    </row>
    <row r="2844" spans="2:3">
      <c r="B2844" s="6">
        <v>44846</v>
      </c>
      <c r="C2844" s="2" t="s">
        <v>3341</v>
      </c>
    </row>
    <row r="2845" spans="2:3">
      <c r="B2845" s="6">
        <v>44847</v>
      </c>
      <c r="C2845" s="2" t="s">
        <v>3342</v>
      </c>
    </row>
    <row r="2846" spans="2:3">
      <c r="B2846" s="6">
        <v>44848</v>
      </c>
      <c r="C2846" s="2" t="s">
        <v>3343</v>
      </c>
    </row>
    <row r="2847" spans="2:3">
      <c r="B2847" s="6">
        <v>44849</v>
      </c>
      <c r="C2847" s="2" t="s">
        <v>575</v>
      </c>
    </row>
    <row r="2848" spans="2:3">
      <c r="B2848" s="6">
        <v>44850</v>
      </c>
      <c r="C2848" s="2" t="s">
        <v>3344</v>
      </c>
    </row>
    <row r="2849" spans="2:3">
      <c r="B2849" s="6">
        <v>44851</v>
      </c>
      <c r="C2849" s="2" t="s">
        <v>3345</v>
      </c>
    </row>
    <row r="2850" spans="2:3">
      <c r="B2850" s="6">
        <v>44852</v>
      </c>
      <c r="C2850" s="2" t="s">
        <v>576</v>
      </c>
    </row>
    <row r="2851" spans="2:3">
      <c r="B2851" s="6">
        <v>44853</v>
      </c>
      <c r="C2851" s="2" t="s">
        <v>3346</v>
      </c>
    </row>
    <row r="2852" spans="2:3">
      <c r="B2852" s="6">
        <v>44854</v>
      </c>
      <c r="C2852" s="2" t="s">
        <v>577</v>
      </c>
    </row>
    <row r="2853" spans="2:3">
      <c r="B2853" s="6">
        <v>44855</v>
      </c>
      <c r="C2853" s="2" t="s">
        <v>578</v>
      </c>
    </row>
    <row r="2854" spans="2:3">
      <c r="B2854" s="6">
        <v>44856</v>
      </c>
      <c r="C2854" s="2" t="s">
        <v>3347</v>
      </c>
    </row>
    <row r="2855" spans="2:3">
      <c r="B2855" s="6">
        <v>44857</v>
      </c>
      <c r="C2855" s="2" t="s">
        <v>3348</v>
      </c>
    </row>
    <row r="2856" spans="2:3">
      <c r="B2856" s="6">
        <v>44858</v>
      </c>
      <c r="C2856" s="2" t="s">
        <v>3349</v>
      </c>
    </row>
    <row r="2857" spans="2:3">
      <c r="B2857" s="6">
        <v>44859</v>
      </c>
      <c r="C2857" s="2" t="s">
        <v>3350</v>
      </c>
    </row>
    <row r="2858" spans="2:3">
      <c r="B2858" s="6">
        <v>44860</v>
      </c>
      <c r="C2858" s="2" t="s">
        <v>3351</v>
      </c>
    </row>
    <row r="2859" spans="2:3">
      <c r="B2859" s="6">
        <v>44861</v>
      </c>
      <c r="C2859" s="2" t="s">
        <v>3352</v>
      </c>
    </row>
    <row r="2860" spans="2:3">
      <c r="B2860" s="6">
        <v>44862</v>
      </c>
      <c r="C2860" s="2" t="s">
        <v>3353</v>
      </c>
    </row>
    <row r="2861" spans="2:3">
      <c r="B2861" s="6">
        <v>44863</v>
      </c>
      <c r="C2861" s="2" t="s">
        <v>3354</v>
      </c>
    </row>
    <row r="2862" spans="2:3">
      <c r="B2862" s="6">
        <v>44864</v>
      </c>
      <c r="C2862" s="2" t="s">
        <v>3355</v>
      </c>
    </row>
    <row r="2863" spans="2:3">
      <c r="B2863" s="6">
        <v>44865</v>
      </c>
      <c r="C2863" s="2" t="s">
        <v>3356</v>
      </c>
    </row>
    <row r="2864" spans="2:3">
      <c r="B2864" s="6">
        <v>44866</v>
      </c>
      <c r="C2864" s="2" t="s">
        <v>3357</v>
      </c>
    </row>
    <row r="2865" spans="2:3">
      <c r="B2865" s="6">
        <v>44867</v>
      </c>
      <c r="C2865" s="2" t="s">
        <v>3358</v>
      </c>
    </row>
    <row r="2866" spans="2:3">
      <c r="B2866" s="6">
        <v>44868</v>
      </c>
      <c r="C2866" s="2" t="s">
        <v>3359</v>
      </c>
    </row>
    <row r="2867" spans="2:3">
      <c r="B2867" s="6">
        <v>44869</v>
      </c>
      <c r="C2867" s="2" t="s">
        <v>511</v>
      </c>
    </row>
    <row r="2868" spans="2:3">
      <c r="B2868" s="6">
        <v>44870</v>
      </c>
      <c r="C2868" s="2" t="s">
        <v>3360</v>
      </c>
    </row>
    <row r="2869" spans="2:3">
      <c r="B2869" s="6">
        <v>44871</v>
      </c>
      <c r="C2869" s="2" t="s">
        <v>3361</v>
      </c>
    </row>
    <row r="2870" spans="2:3">
      <c r="B2870" s="6">
        <v>44872</v>
      </c>
      <c r="C2870" s="2" t="s">
        <v>512</v>
      </c>
    </row>
    <row r="2871" spans="2:3">
      <c r="B2871" s="6">
        <v>44873</v>
      </c>
      <c r="C2871" s="2" t="s">
        <v>3362</v>
      </c>
    </row>
    <row r="2872" spans="2:3">
      <c r="B2872" s="6">
        <v>44874</v>
      </c>
      <c r="C2872" s="2" t="s">
        <v>3363</v>
      </c>
    </row>
    <row r="2873" spans="2:3">
      <c r="B2873" s="6">
        <v>44875</v>
      </c>
      <c r="C2873" s="2" t="s">
        <v>513</v>
      </c>
    </row>
    <row r="2874" spans="2:3">
      <c r="B2874" s="6">
        <v>44876</v>
      </c>
      <c r="C2874" s="2" t="s">
        <v>3364</v>
      </c>
    </row>
    <row r="2875" spans="2:3">
      <c r="B2875" s="6">
        <v>44877</v>
      </c>
      <c r="C2875" s="2" t="s">
        <v>3365</v>
      </c>
    </row>
    <row r="2876" spans="2:3">
      <c r="B2876" s="6">
        <v>44878</v>
      </c>
      <c r="C2876" s="2" t="s">
        <v>3366</v>
      </c>
    </row>
    <row r="2877" spans="2:3">
      <c r="B2877" s="6">
        <v>44879</v>
      </c>
      <c r="C2877" s="2" t="s">
        <v>514</v>
      </c>
    </row>
    <row r="2878" spans="2:3">
      <c r="B2878" s="6">
        <v>44880</v>
      </c>
      <c r="C2878" s="2" t="s">
        <v>3367</v>
      </c>
    </row>
    <row r="2879" spans="2:3">
      <c r="B2879" s="6">
        <v>44881</v>
      </c>
      <c r="C2879" s="2" t="s">
        <v>3368</v>
      </c>
    </row>
    <row r="2880" spans="2:3">
      <c r="B2880" s="6">
        <v>44882</v>
      </c>
      <c r="C2880" s="2" t="s">
        <v>3369</v>
      </c>
    </row>
    <row r="2881" spans="2:3">
      <c r="B2881" s="6">
        <v>44883</v>
      </c>
      <c r="C2881" s="2" t="s">
        <v>3370</v>
      </c>
    </row>
    <row r="2882" spans="2:3">
      <c r="B2882" s="6">
        <v>44884</v>
      </c>
      <c r="C2882" s="2" t="s">
        <v>3371</v>
      </c>
    </row>
    <row r="2883" spans="2:3">
      <c r="B2883" s="6">
        <v>44885</v>
      </c>
      <c r="C2883" s="2" t="s">
        <v>3372</v>
      </c>
    </row>
    <row r="2884" spans="2:3">
      <c r="B2884" s="6">
        <v>44886</v>
      </c>
      <c r="C2884" s="2" t="s">
        <v>3373</v>
      </c>
    </row>
    <row r="2885" spans="2:3">
      <c r="B2885" s="6">
        <v>44887</v>
      </c>
      <c r="C2885" s="2" t="s">
        <v>3374</v>
      </c>
    </row>
    <row r="2886" spans="2:3">
      <c r="B2886" s="6">
        <v>44888</v>
      </c>
      <c r="C2886" s="2" t="s">
        <v>3375</v>
      </c>
    </row>
    <row r="2887" spans="2:3">
      <c r="B2887" s="6">
        <v>44889</v>
      </c>
      <c r="C2887" s="2" t="s">
        <v>3376</v>
      </c>
    </row>
    <row r="2888" spans="2:3">
      <c r="B2888" s="6">
        <v>44890</v>
      </c>
      <c r="C2888" s="2" t="s">
        <v>3377</v>
      </c>
    </row>
    <row r="2889" spans="2:3">
      <c r="B2889" s="6">
        <v>44891</v>
      </c>
      <c r="C2889" s="2" t="s">
        <v>3378</v>
      </c>
    </row>
    <row r="2890" spans="2:3">
      <c r="B2890" s="6">
        <v>44892</v>
      </c>
      <c r="C2890" s="2" t="s">
        <v>3379</v>
      </c>
    </row>
    <row r="2891" spans="2:3">
      <c r="B2891" s="6">
        <v>44893</v>
      </c>
      <c r="C2891" s="2" t="s">
        <v>3380</v>
      </c>
    </row>
    <row r="2892" spans="2:3">
      <c r="B2892" s="6">
        <v>44894</v>
      </c>
      <c r="C2892" s="2" t="s">
        <v>3381</v>
      </c>
    </row>
    <row r="2893" spans="2:3">
      <c r="B2893" s="6">
        <v>44895</v>
      </c>
      <c r="C2893" s="2" t="s">
        <v>3382</v>
      </c>
    </row>
    <row r="2894" spans="2:3">
      <c r="B2894" s="6">
        <v>44896</v>
      </c>
      <c r="C2894" s="2" t="s">
        <v>3383</v>
      </c>
    </row>
    <row r="2895" spans="2:3">
      <c r="B2895" s="6">
        <v>44897</v>
      </c>
      <c r="C2895" s="2" t="s">
        <v>3384</v>
      </c>
    </row>
    <row r="2896" spans="2:3">
      <c r="B2896" s="6">
        <v>44898</v>
      </c>
      <c r="C2896" s="2" t="s">
        <v>3385</v>
      </c>
    </row>
    <row r="2897" spans="2:3">
      <c r="B2897" s="6">
        <v>44899</v>
      </c>
      <c r="C2897" s="2" t="s">
        <v>3386</v>
      </c>
    </row>
    <row r="2898" spans="2:3">
      <c r="B2898" s="6">
        <v>44900</v>
      </c>
      <c r="C2898" s="2" t="s">
        <v>3387</v>
      </c>
    </row>
    <row r="2899" spans="2:3">
      <c r="B2899" s="6">
        <v>44901</v>
      </c>
      <c r="C2899" s="2" t="s">
        <v>3388</v>
      </c>
    </row>
    <row r="2900" spans="2:3">
      <c r="B2900" s="6">
        <v>44902</v>
      </c>
      <c r="C2900" s="2" t="s">
        <v>3389</v>
      </c>
    </row>
    <row r="2901" spans="2:3">
      <c r="B2901" s="6">
        <v>44903</v>
      </c>
      <c r="C2901" s="2" t="s">
        <v>3390</v>
      </c>
    </row>
    <row r="2902" spans="2:3">
      <c r="B2902" s="6">
        <v>44904</v>
      </c>
      <c r="C2902" s="2" t="s">
        <v>3391</v>
      </c>
    </row>
    <row r="2903" spans="2:3">
      <c r="B2903" s="6">
        <v>44905</v>
      </c>
      <c r="C2903" s="2" t="s">
        <v>3392</v>
      </c>
    </row>
    <row r="2904" spans="2:3">
      <c r="B2904" s="6">
        <v>44906</v>
      </c>
      <c r="C2904" s="2" t="s">
        <v>3393</v>
      </c>
    </row>
    <row r="2905" spans="2:3">
      <c r="B2905" s="6">
        <v>44907</v>
      </c>
      <c r="C2905" s="2" t="s">
        <v>421</v>
      </c>
    </row>
    <row r="2906" spans="2:3">
      <c r="B2906" s="6">
        <v>44908</v>
      </c>
      <c r="C2906" s="2" t="s">
        <v>422</v>
      </c>
    </row>
    <row r="2907" spans="2:3">
      <c r="B2907" s="6">
        <v>44909</v>
      </c>
      <c r="C2907" s="2" t="s">
        <v>738</v>
      </c>
    </row>
    <row r="2908" spans="2:3">
      <c r="B2908" s="6">
        <v>44910</v>
      </c>
      <c r="C2908" s="2" t="s">
        <v>423</v>
      </c>
    </row>
    <row r="2909" spans="2:3">
      <c r="B2909" s="6">
        <v>44911</v>
      </c>
      <c r="C2909" s="2" t="s">
        <v>3394</v>
      </c>
    </row>
    <row r="2910" spans="2:3">
      <c r="B2910" s="6">
        <v>44912</v>
      </c>
      <c r="C2910" s="2" t="s">
        <v>3395</v>
      </c>
    </row>
    <row r="2911" spans="2:3">
      <c r="B2911" s="6">
        <v>44913</v>
      </c>
      <c r="C2911" s="2" t="s">
        <v>424</v>
      </c>
    </row>
    <row r="2912" spans="2:3">
      <c r="B2912" s="6">
        <v>44914</v>
      </c>
      <c r="C2912" s="2" t="s">
        <v>739</v>
      </c>
    </row>
    <row r="2913" spans="2:3">
      <c r="B2913" s="6">
        <v>44915</v>
      </c>
      <c r="C2913" s="2" t="s">
        <v>3396</v>
      </c>
    </row>
    <row r="2914" spans="2:3">
      <c r="B2914" s="6">
        <v>44916</v>
      </c>
      <c r="C2914" s="2" t="s">
        <v>3397</v>
      </c>
    </row>
    <row r="2915" spans="2:3">
      <c r="B2915" s="6">
        <v>44917</v>
      </c>
      <c r="C2915" s="2" t="s">
        <v>3398</v>
      </c>
    </row>
    <row r="2916" spans="2:3">
      <c r="B2916" s="6">
        <v>44918</v>
      </c>
      <c r="C2916" s="2" t="s">
        <v>3399</v>
      </c>
    </row>
    <row r="2917" spans="2:3">
      <c r="B2917" s="6">
        <v>44919</v>
      </c>
      <c r="C2917" s="2" t="s">
        <v>3400</v>
      </c>
    </row>
    <row r="2918" spans="2:3">
      <c r="B2918" s="6">
        <v>44920</v>
      </c>
      <c r="C2918" s="2" t="s">
        <v>3401</v>
      </c>
    </row>
    <row r="2919" spans="2:3">
      <c r="B2919" s="6">
        <v>44921</v>
      </c>
      <c r="C2919" s="2" t="s">
        <v>3402</v>
      </c>
    </row>
    <row r="2920" spans="2:3">
      <c r="B2920" s="6">
        <v>44922</v>
      </c>
      <c r="C2920" s="2" t="s">
        <v>3403</v>
      </c>
    </row>
    <row r="2921" spans="2:3">
      <c r="B2921" s="6">
        <v>44923</v>
      </c>
      <c r="C2921" s="2" t="s">
        <v>3404</v>
      </c>
    </row>
    <row r="2922" spans="2:3">
      <c r="B2922" s="6">
        <v>44924</v>
      </c>
      <c r="C2922" s="2" t="s">
        <v>3405</v>
      </c>
    </row>
    <row r="2923" spans="2:3">
      <c r="B2923" s="6">
        <v>44925</v>
      </c>
      <c r="C2923" s="2" t="s">
        <v>3406</v>
      </c>
    </row>
    <row r="2924" spans="2:3">
      <c r="B2924" s="6">
        <v>44926</v>
      </c>
      <c r="C2924" s="2" t="s">
        <v>3407</v>
      </c>
    </row>
    <row r="2925" spans="2:3">
      <c r="B2925" s="6">
        <v>44927</v>
      </c>
      <c r="C2925" s="2" t="s">
        <v>3408</v>
      </c>
    </row>
    <row r="2926" spans="2:3">
      <c r="B2926" s="6">
        <v>44928</v>
      </c>
      <c r="C2926" s="2" t="s">
        <v>3409</v>
      </c>
    </row>
    <row r="2927" spans="2:3">
      <c r="B2927" s="6">
        <v>44929</v>
      </c>
      <c r="C2927" s="2" t="s">
        <v>3410</v>
      </c>
    </row>
    <row r="2928" spans="2:3">
      <c r="B2928" s="6">
        <v>44930</v>
      </c>
      <c r="C2928" s="2" t="s">
        <v>3411</v>
      </c>
    </row>
    <row r="2929" spans="2:3">
      <c r="B2929" s="6">
        <v>44931</v>
      </c>
      <c r="C2929" s="2" t="s">
        <v>3412</v>
      </c>
    </row>
    <row r="2930" spans="2:3">
      <c r="B2930" s="6">
        <v>44932</v>
      </c>
      <c r="C2930" s="2" t="s">
        <v>3413</v>
      </c>
    </row>
    <row r="2931" spans="2:3">
      <c r="B2931" s="6">
        <v>44933</v>
      </c>
      <c r="C2931" s="2" t="s">
        <v>3414</v>
      </c>
    </row>
    <row r="2932" spans="2:3">
      <c r="B2932" s="6">
        <v>44934</v>
      </c>
      <c r="C2932" s="2" t="s">
        <v>3415</v>
      </c>
    </row>
    <row r="2933" spans="2:3">
      <c r="B2933" s="6">
        <v>44935</v>
      </c>
      <c r="C2933" s="2" t="s">
        <v>3416</v>
      </c>
    </row>
    <row r="2934" spans="2:3">
      <c r="B2934" s="6">
        <v>44936</v>
      </c>
      <c r="C2934" s="2" t="s">
        <v>3417</v>
      </c>
    </row>
    <row r="2935" spans="2:3">
      <c r="B2935" s="6">
        <v>44937</v>
      </c>
      <c r="C2935" s="2" t="s">
        <v>3418</v>
      </c>
    </row>
    <row r="2936" spans="2:3">
      <c r="B2936" s="6">
        <v>44938</v>
      </c>
      <c r="C2936" s="2" t="s">
        <v>3419</v>
      </c>
    </row>
    <row r="2937" spans="2:3">
      <c r="B2937" s="6">
        <v>44939</v>
      </c>
      <c r="C2937" s="2" t="s">
        <v>3420</v>
      </c>
    </row>
    <row r="2938" spans="2:3">
      <c r="B2938" s="6">
        <v>44940</v>
      </c>
      <c r="C2938" s="2" t="s">
        <v>3421</v>
      </c>
    </row>
    <row r="2939" spans="2:3">
      <c r="B2939" s="6">
        <v>44941</v>
      </c>
      <c r="C2939" s="2" t="s">
        <v>3422</v>
      </c>
    </row>
    <row r="2940" spans="2:3">
      <c r="B2940" s="6">
        <v>44942</v>
      </c>
      <c r="C2940" s="2" t="s">
        <v>3423</v>
      </c>
    </row>
    <row r="2941" spans="2:3">
      <c r="B2941" s="6">
        <v>44943</v>
      </c>
      <c r="C2941" s="2" t="s">
        <v>3424</v>
      </c>
    </row>
    <row r="2942" spans="2:3">
      <c r="B2942" s="6">
        <v>44944</v>
      </c>
      <c r="C2942" s="2" t="s">
        <v>3425</v>
      </c>
    </row>
    <row r="2943" spans="2:3">
      <c r="B2943" s="6">
        <v>44945</v>
      </c>
      <c r="C2943" s="2" t="s">
        <v>3426</v>
      </c>
    </row>
    <row r="2944" spans="2:3">
      <c r="B2944" s="6">
        <v>44946</v>
      </c>
      <c r="C2944" s="2" t="s">
        <v>3427</v>
      </c>
    </row>
    <row r="2945" spans="2:3">
      <c r="B2945" s="6">
        <v>44947</v>
      </c>
      <c r="C2945" s="2" t="s">
        <v>3428</v>
      </c>
    </row>
    <row r="2946" spans="2:3">
      <c r="B2946" s="6">
        <v>44948</v>
      </c>
      <c r="C2946" s="2" t="s">
        <v>633</v>
      </c>
    </row>
    <row r="2947" spans="2:3">
      <c r="B2947" s="6">
        <v>44949</v>
      </c>
      <c r="C2947" s="2" t="s">
        <v>3429</v>
      </c>
    </row>
    <row r="2948" spans="2:3">
      <c r="B2948" s="6">
        <v>44950</v>
      </c>
      <c r="C2948" s="2" t="s">
        <v>3430</v>
      </c>
    </row>
    <row r="2949" spans="2:3">
      <c r="B2949" s="6">
        <v>44951</v>
      </c>
      <c r="C2949" s="2" t="s">
        <v>381</v>
      </c>
    </row>
    <row r="2950" spans="2:3">
      <c r="B2950" s="6">
        <v>44952</v>
      </c>
      <c r="C2950" s="2" t="s">
        <v>429</v>
      </c>
    </row>
    <row r="2951" spans="2:3">
      <c r="B2951" s="6">
        <v>44953</v>
      </c>
      <c r="C2951" s="2" t="s">
        <v>3431</v>
      </c>
    </row>
    <row r="2952" spans="2:3">
      <c r="B2952" s="6">
        <v>44954</v>
      </c>
      <c r="C2952" s="2" t="s">
        <v>3432</v>
      </c>
    </row>
    <row r="2953" spans="2:3">
      <c r="B2953" s="6">
        <v>44955</v>
      </c>
      <c r="C2953" s="2" t="s">
        <v>382</v>
      </c>
    </row>
    <row r="2954" spans="2:3">
      <c r="B2954" s="6">
        <v>44956</v>
      </c>
      <c r="C2954" s="2" t="s">
        <v>634</v>
      </c>
    </row>
    <row r="2955" spans="2:3">
      <c r="B2955" s="6">
        <v>44957</v>
      </c>
      <c r="C2955" s="2" t="s">
        <v>430</v>
      </c>
    </row>
    <row r="2956" spans="2:3">
      <c r="B2956" s="6">
        <v>44958</v>
      </c>
      <c r="C2956" s="2" t="s">
        <v>3433</v>
      </c>
    </row>
    <row r="2957" spans="2:3">
      <c r="B2957" s="6">
        <v>44959</v>
      </c>
      <c r="C2957" s="2" t="s">
        <v>383</v>
      </c>
    </row>
    <row r="2958" spans="2:3">
      <c r="B2958" s="6">
        <v>44960</v>
      </c>
      <c r="C2958" s="2" t="s">
        <v>3434</v>
      </c>
    </row>
    <row r="2959" spans="2:3">
      <c r="B2959" s="6">
        <v>44961</v>
      </c>
      <c r="C2959" s="2" t="s">
        <v>3435</v>
      </c>
    </row>
    <row r="2960" spans="2:3">
      <c r="B2960" s="6">
        <v>44962</v>
      </c>
      <c r="C2960" s="2" t="s">
        <v>384</v>
      </c>
    </row>
    <row r="2961" spans="2:3">
      <c r="B2961" s="6">
        <v>44963</v>
      </c>
      <c r="C2961" s="2" t="s">
        <v>3436</v>
      </c>
    </row>
    <row r="2962" spans="2:3">
      <c r="B2962" s="6">
        <v>44964</v>
      </c>
      <c r="C2962" s="2" t="s">
        <v>3437</v>
      </c>
    </row>
    <row r="2963" spans="2:3">
      <c r="B2963" s="6">
        <v>44965</v>
      </c>
      <c r="C2963" s="2" t="s">
        <v>3438</v>
      </c>
    </row>
    <row r="2964" spans="2:3">
      <c r="B2964" s="6">
        <v>44966</v>
      </c>
      <c r="C2964" s="2" t="s">
        <v>3439</v>
      </c>
    </row>
    <row r="2965" spans="2:3">
      <c r="B2965" s="6">
        <v>44967</v>
      </c>
      <c r="C2965" s="2" t="s">
        <v>3440</v>
      </c>
    </row>
    <row r="2966" spans="2:3">
      <c r="B2966" s="6">
        <v>44968</v>
      </c>
      <c r="C2966" s="2" t="s">
        <v>3441</v>
      </c>
    </row>
    <row r="2967" spans="2:3">
      <c r="B2967" s="6">
        <v>44969</v>
      </c>
      <c r="C2967" s="2" t="s">
        <v>3442</v>
      </c>
    </row>
    <row r="2968" spans="2:3">
      <c r="B2968" s="6">
        <v>44970</v>
      </c>
      <c r="C2968" s="2" t="s">
        <v>3443</v>
      </c>
    </row>
    <row r="2969" spans="2:3">
      <c r="B2969" s="6">
        <v>44971</v>
      </c>
      <c r="C2969" s="2" t="s">
        <v>3444</v>
      </c>
    </row>
    <row r="2970" spans="2:3">
      <c r="B2970" s="6">
        <v>44972</v>
      </c>
      <c r="C2970" s="2" t="s">
        <v>3445</v>
      </c>
    </row>
    <row r="2971" spans="2:3">
      <c r="B2971" s="6">
        <v>44973</v>
      </c>
      <c r="C2971" s="2" t="s">
        <v>3446</v>
      </c>
    </row>
    <row r="2972" spans="2:3">
      <c r="B2972" s="6">
        <v>44974</v>
      </c>
      <c r="C2972" s="2" t="s">
        <v>3447</v>
      </c>
    </row>
    <row r="2973" spans="2:3">
      <c r="B2973" s="6">
        <v>44975</v>
      </c>
      <c r="C2973" s="2" t="s">
        <v>3448</v>
      </c>
    </row>
    <row r="2974" spans="2:3">
      <c r="B2974" s="6">
        <v>44976</v>
      </c>
      <c r="C2974" s="2" t="s">
        <v>3449</v>
      </c>
    </row>
    <row r="2975" spans="2:3">
      <c r="B2975" s="6">
        <v>44977</v>
      </c>
      <c r="C2975" s="2" t="s">
        <v>3450</v>
      </c>
    </row>
    <row r="2976" spans="2:3">
      <c r="B2976" s="6">
        <v>44978</v>
      </c>
      <c r="C2976" s="2" t="s">
        <v>3451</v>
      </c>
    </row>
    <row r="2977" spans="2:3">
      <c r="B2977" s="6">
        <v>44979</v>
      </c>
      <c r="C2977" s="2" t="s">
        <v>3452</v>
      </c>
    </row>
    <row r="2978" spans="2:3">
      <c r="B2978" s="6">
        <v>44980</v>
      </c>
      <c r="C2978" s="2" t="s">
        <v>3453</v>
      </c>
    </row>
    <row r="2979" spans="2:3">
      <c r="B2979" s="6">
        <v>44981</v>
      </c>
      <c r="C2979" s="2" t="s">
        <v>3454</v>
      </c>
    </row>
    <row r="2980" spans="2:3">
      <c r="B2980" s="6">
        <v>44982</v>
      </c>
      <c r="C2980" s="2" t="s">
        <v>3455</v>
      </c>
    </row>
    <row r="2981" spans="2:3">
      <c r="B2981" s="6">
        <v>44983</v>
      </c>
      <c r="C2981" s="2" t="s">
        <v>3456</v>
      </c>
    </row>
    <row r="2982" spans="2:3">
      <c r="B2982" s="6">
        <v>44984</v>
      </c>
      <c r="C2982" s="2" t="s">
        <v>3457</v>
      </c>
    </row>
    <row r="2983" spans="2:3">
      <c r="B2983" s="6">
        <v>44985</v>
      </c>
      <c r="C2983" s="2" t="s">
        <v>3458</v>
      </c>
    </row>
    <row r="2984" spans="2:3">
      <c r="B2984" s="6">
        <v>44986</v>
      </c>
      <c r="C2984" s="2" t="s">
        <v>3459</v>
      </c>
    </row>
    <row r="2985" spans="2:3">
      <c r="B2985" s="6">
        <v>44987</v>
      </c>
      <c r="C2985" s="2" t="s">
        <v>3460</v>
      </c>
    </row>
    <row r="2986" spans="2:3">
      <c r="B2986" s="6">
        <v>44988</v>
      </c>
      <c r="C2986" s="2" t="s">
        <v>3461</v>
      </c>
    </row>
    <row r="2987" spans="2:3">
      <c r="B2987" s="6">
        <v>44989</v>
      </c>
      <c r="C2987" s="2" t="s">
        <v>3462</v>
      </c>
    </row>
    <row r="2988" spans="2:3">
      <c r="B2988" s="6">
        <v>44990</v>
      </c>
      <c r="C2988" s="2" t="s">
        <v>3463</v>
      </c>
    </row>
    <row r="2989" spans="2:3">
      <c r="B2989" s="6">
        <v>44991</v>
      </c>
      <c r="C2989" s="2" t="s">
        <v>3464</v>
      </c>
    </row>
    <row r="2990" spans="2:3">
      <c r="B2990" s="6">
        <v>44992</v>
      </c>
      <c r="C2990" s="2" t="s">
        <v>3465</v>
      </c>
    </row>
    <row r="2991" spans="2:3">
      <c r="B2991" s="6">
        <v>44993</v>
      </c>
      <c r="C2991" s="2" t="s">
        <v>3466</v>
      </c>
    </row>
    <row r="2992" spans="2:3">
      <c r="B2992" s="6">
        <v>44994</v>
      </c>
      <c r="C2992" s="2" t="s">
        <v>3467</v>
      </c>
    </row>
    <row r="2993" spans="2:3">
      <c r="B2993" s="6">
        <v>44995</v>
      </c>
      <c r="C2993" s="2" t="s">
        <v>3468</v>
      </c>
    </row>
    <row r="2994" spans="2:3">
      <c r="B2994" s="6">
        <v>44996</v>
      </c>
      <c r="C2994" s="2" t="s">
        <v>3469</v>
      </c>
    </row>
    <row r="2995" spans="2:3">
      <c r="B2995" s="6">
        <v>44997</v>
      </c>
      <c r="C2995" s="2" t="s">
        <v>3470</v>
      </c>
    </row>
    <row r="2996" spans="2:3">
      <c r="B2996" s="6">
        <v>44998</v>
      </c>
      <c r="C2996" s="2" t="s">
        <v>3471</v>
      </c>
    </row>
    <row r="2997" spans="2:3">
      <c r="B2997" s="6">
        <v>44999</v>
      </c>
      <c r="C2997" s="2" t="s">
        <v>3472</v>
      </c>
    </row>
    <row r="2998" spans="2:3">
      <c r="B2998" s="6">
        <v>45000</v>
      </c>
      <c r="C2998" s="2" t="s">
        <v>3473</v>
      </c>
    </row>
    <row r="2999" spans="2:3">
      <c r="B2999" s="6">
        <v>45001</v>
      </c>
      <c r="C2999" s="2" t="s">
        <v>3474</v>
      </c>
    </row>
    <row r="3000" spans="2:3">
      <c r="B3000" s="6">
        <v>45002</v>
      </c>
      <c r="C3000" s="2" t="s">
        <v>3475</v>
      </c>
    </row>
    <row r="3001" spans="2:3">
      <c r="B3001" s="6">
        <v>45003</v>
      </c>
      <c r="C3001" s="2" t="s">
        <v>3476</v>
      </c>
    </row>
    <row r="3002" spans="2:3">
      <c r="B3002" s="6">
        <v>45004</v>
      </c>
      <c r="C3002" s="2" t="s">
        <v>3477</v>
      </c>
    </row>
    <row r="3003" spans="2:3">
      <c r="B3003" s="6">
        <v>45005</v>
      </c>
      <c r="C3003" s="2" t="s">
        <v>482</v>
      </c>
    </row>
    <row r="3004" spans="2:3">
      <c r="B3004" s="6">
        <v>45006</v>
      </c>
      <c r="C3004" s="2" t="s">
        <v>3478</v>
      </c>
    </row>
    <row r="3005" spans="2:3">
      <c r="B3005" s="6">
        <v>45007</v>
      </c>
      <c r="C3005" s="2" t="s">
        <v>560</v>
      </c>
    </row>
    <row r="3006" spans="2:3">
      <c r="B3006" s="6">
        <v>45008</v>
      </c>
      <c r="C3006" s="2" t="s">
        <v>483</v>
      </c>
    </row>
    <row r="3007" spans="2:3">
      <c r="B3007" s="6">
        <v>45009</v>
      </c>
      <c r="C3007" s="2" t="s">
        <v>3479</v>
      </c>
    </row>
    <row r="3008" spans="2:3">
      <c r="B3008" s="6">
        <v>45010</v>
      </c>
      <c r="C3008" s="2" t="s">
        <v>561</v>
      </c>
    </row>
    <row r="3009" spans="2:3">
      <c r="B3009" s="6">
        <v>45011</v>
      </c>
      <c r="C3009" s="2" t="s">
        <v>484</v>
      </c>
    </row>
    <row r="3010" spans="2:3">
      <c r="B3010" s="6">
        <v>45012</v>
      </c>
      <c r="C3010" s="2" t="s">
        <v>562</v>
      </c>
    </row>
    <row r="3011" spans="2:3">
      <c r="B3011" s="6">
        <v>45013</v>
      </c>
      <c r="C3011" s="2" t="s">
        <v>485</v>
      </c>
    </row>
    <row r="3012" spans="2:3">
      <c r="B3012" s="6">
        <v>45014</v>
      </c>
      <c r="C3012" s="2" t="s">
        <v>3480</v>
      </c>
    </row>
    <row r="3013" spans="2:3">
      <c r="B3013" s="6">
        <v>45015</v>
      </c>
      <c r="C3013" s="2" t="s">
        <v>563</v>
      </c>
    </row>
    <row r="3014" spans="2:3">
      <c r="B3014" s="6">
        <v>45016</v>
      </c>
      <c r="C3014" s="2" t="s">
        <v>3481</v>
      </c>
    </row>
    <row r="3015" spans="2:3">
      <c r="B3015" s="6">
        <v>45017</v>
      </c>
      <c r="C3015" s="2" t="s">
        <v>3482</v>
      </c>
    </row>
    <row r="3016" spans="2:3">
      <c r="B3016" s="6">
        <v>45018</v>
      </c>
      <c r="C3016" s="2" t="s">
        <v>3483</v>
      </c>
    </row>
    <row r="3017" spans="2:3">
      <c r="B3017" s="6">
        <v>45019</v>
      </c>
      <c r="C3017" s="2" t="s">
        <v>3484</v>
      </c>
    </row>
    <row r="3018" spans="2:3">
      <c r="B3018" s="6">
        <v>45020</v>
      </c>
      <c r="C3018" s="2" t="s">
        <v>3485</v>
      </c>
    </row>
    <row r="3019" spans="2:3">
      <c r="B3019" s="6">
        <v>45021</v>
      </c>
      <c r="C3019" s="2" t="s">
        <v>3486</v>
      </c>
    </row>
    <row r="3020" spans="2:3">
      <c r="B3020" s="6">
        <v>45022</v>
      </c>
      <c r="C3020" s="2" t="s">
        <v>3487</v>
      </c>
    </row>
    <row r="3021" spans="2:3">
      <c r="B3021" s="6">
        <v>45023</v>
      </c>
      <c r="C3021" s="2" t="s">
        <v>3488</v>
      </c>
    </row>
    <row r="3022" spans="2:3">
      <c r="B3022" s="6">
        <v>45024</v>
      </c>
      <c r="C3022" s="2" t="s">
        <v>3489</v>
      </c>
    </row>
    <row r="3023" spans="2:3">
      <c r="B3023" s="6">
        <v>45025</v>
      </c>
      <c r="C3023" s="2" t="s">
        <v>3490</v>
      </c>
    </row>
    <row r="3024" spans="2:3">
      <c r="B3024" s="6">
        <v>45026</v>
      </c>
      <c r="C3024" s="2" t="s">
        <v>3491</v>
      </c>
    </row>
    <row r="3025" spans="2:3">
      <c r="B3025" s="6">
        <v>45027</v>
      </c>
      <c r="C3025" s="2" t="s">
        <v>3492</v>
      </c>
    </row>
    <row r="3026" spans="2:3">
      <c r="B3026" s="6">
        <v>45028</v>
      </c>
      <c r="C3026" s="2" t="s">
        <v>767</v>
      </c>
    </row>
    <row r="3027" spans="2:3">
      <c r="B3027" s="6">
        <v>45029</v>
      </c>
      <c r="C3027" s="2" t="s">
        <v>768</v>
      </c>
    </row>
    <row r="3028" spans="2:3">
      <c r="B3028" s="6">
        <v>45030</v>
      </c>
      <c r="C3028" s="2" t="s">
        <v>3493</v>
      </c>
    </row>
    <row r="3029" spans="2:3">
      <c r="B3029" s="6">
        <v>45031</v>
      </c>
      <c r="C3029" s="2" t="s">
        <v>3494</v>
      </c>
    </row>
    <row r="3030" spans="2:3">
      <c r="B3030" s="6">
        <v>45032</v>
      </c>
      <c r="C3030" s="2" t="s">
        <v>769</v>
      </c>
    </row>
    <row r="3031" spans="2:3">
      <c r="B3031" s="6">
        <v>45033</v>
      </c>
      <c r="C3031" s="2" t="s">
        <v>3495</v>
      </c>
    </row>
    <row r="3032" spans="2:3">
      <c r="B3032" s="6">
        <v>45034</v>
      </c>
      <c r="C3032" s="2" t="s">
        <v>3496</v>
      </c>
    </row>
    <row r="3033" spans="2:3">
      <c r="B3033" s="6">
        <v>45035</v>
      </c>
      <c r="C3033" s="2" t="s">
        <v>3497</v>
      </c>
    </row>
    <row r="3034" spans="2:3">
      <c r="B3034" s="6">
        <v>45036</v>
      </c>
      <c r="C3034" s="2" t="s">
        <v>770</v>
      </c>
    </row>
    <row r="3035" spans="2:3">
      <c r="B3035" s="6">
        <v>45037</v>
      </c>
      <c r="C3035" s="2" t="s">
        <v>3498</v>
      </c>
    </row>
    <row r="3036" spans="2:3">
      <c r="B3036" s="6">
        <v>45038</v>
      </c>
      <c r="C3036" s="2" t="s">
        <v>3499</v>
      </c>
    </row>
    <row r="3037" spans="2:3">
      <c r="B3037" s="6">
        <v>45039</v>
      </c>
      <c r="C3037" s="2" t="s">
        <v>3500</v>
      </c>
    </row>
    <row r="3038" spans="2:3">
      <c r="B3038" s="6">
        <v>45040</v>
      </c>
      <c r="C3038" s="2" t="s">
        <v>3501</v>
      </c>
    </row>
    <row r="3039" spans="2:3">
      <c r="B3039" s="6">
        <v>45041</v>
      </c>
      <c r="C3039" s="2" t="s">
        <v>3502</v>
      </c>
    </row>
    <row r="3040" spans="2:3">
      <c r="B3040" s="6">
        <v>45042</v>
      </c>
      <c r="C3040" s="2" t="s">
        <v>3503</v>
      </c>
    </row>
    <row r="3041" spans="2:3">
      <c r="B3041" s="6">
        <v>45043</v>
      </c>
      <c r="C3041" s="2" t="s">
        <v>3504</v>
      </c>
    </row>
    <row r="3042" spans="2:3">
      <c r="B3042" s="6">
        <v>45044</v>
      </c>
      <c r="C3042" s="2" t="s">
        <v>3505</v>
      </c>
    </row>
    <row r="3043" spans="2:3">
      <c r="B3043" s="6">
        <v>45045</v>
      </c>
      <c r="C3043" s="2" t="s">
        <v>3506</v>
      </c>
    </row>
    <row r="3044" spans="2:3">
      <c r="B3044" s="6">
        <v>45046</v>
      </c>
      <c r="C3044" s="2" t="s">
        <v>3507</v>
      </c>
    </row>
    <row r="3045" spans="2:3">
      <c r="B3045" s="6">
        <v>45047</v>
      </c>
      <c r="C3045" s="2" t="s">
        <v>3508</v>
      </c>
    </row>
    <row r="3046" spans="2:3">
      <c r="B3046" s="6">
        <v>45048</v>
      </c>
      <c r="C3046" s="2" t="s">
        <v>3509</v>
      </c>
    </row>
    <row r="3047" spans="2:3">
      <c r="B3047" s="6">
        <v>45049</v>
      </c>
      <c r="C3047" s="2" t="s">
        <v>3510</v>
      </c>
    </row>
    <row r="3048" spans="2:3">
      <c r="B3048" s="6">
        <v>45050</v>
      </c>
      <c r="C3048" s="2" t="s">
        <v>3511</v>
      </c>
    </row>
    <row r="3049" spans="2:3">
      <c r="B3049" s="6">
        <v>45051</v>
      </c>
      <c r="C3049" s="2" t="s">
        <v>3512</v>
      </c>
    </row>
    <row r="3050" spans="2:3">
      <c r="B3050" s="6">
        <v>45052</v>
      </c>
      <c r="C3050" s="2" t="s">
        <v>3513</v>
      </c>
    </row>
    <row r="3051" spans="2:3">
      <c r="B3051" s="6">
        <v>45053</v>
      </c>
      <c r="C3051" s="2" t="s">
        <v>3514</v>
      </c>
    </row>
    <row r="3052" spans="2:3">
      <c r="B3052" s="6">
        <v>45054</v>
      </c>
      <c r="C3052" s="2" t="s">
        <v>3515</v>
      </c>
    </row>
    <row r="3053" spans="2:3">
      <c r="B3053" s="6">
        <v>45055</v>
      </c>
      <c r="C3053" s="2" t="s">
        <v>3516</v>
      </c>
    </row>
    <row r="3054" spans="2:3">
      <c r="B3054" s="6">
        <v>45056</v>
      </c>
      <c r="C3054" s="2" t="s">
        <v>3517</v>
      </c>
    </row>
    <row r="3055" spans="2:3">
      <c r="B3055" s="6">
        <v>45057</v>
      </c>
      <c r="C3055" s="2" t="s">
        <v>3518</v>
      </c>
    </row>
    <row r="3056" spans="2:3">
      <c r="B3056" s="6">
        <v>45058</v>
      </c>
      <c r="C3056" s="2" t="s">
        <v>455</v>
      </c>
    </row>
    <row r="3057" spans="2:3">
      <c r="B3057" s="6">
        <v>45059</v>
      </c>
      <c r="C3057" s="2" t="s">
        <v>3519</v>
      </c>
    </row>
    <row r="3058" spans="2:3">
      <c r="B3058" s="6">
        <v>45060</v>
      </c>
      <c r="C3058" s="2" t="s">
        <v>684</v>
      </c>
    </row>
    <row r="3059" spans="2:3">
      <c r="B3059" s="6">
        <v>45061</v>
      </c>
      <c r="C3059" s="2" t="s">
        <v>3520</v>
      </c>
    </row>
    <row r="3060" spans="2:3">
      <c r="B3060" s="6">
        <v>45062</v>
      </c>
      <c r="C3060" s="2" t="s">
        <v>456</v>
      </c>
    </row>
    <row r="3061" spans="2:3">
      <c r="B3061" s="6">
        <v>45063</v>
      </c>
      <c r="C3061" s="2" t="s">
        <v>677</v>
      </c>
    </row>
    <row r="3062" spans="2:3">
      <c r="B3062" s="6">
        <v>45064</v>
      </c>
      <c r="C3062" s="2" t="s">
        <v>685</v>
      </c>
    </row>
    <row r="3063" spans="2:3">
      <c r="B3063" s="6">
        <v>45065</v>
      </c>
      <c r="C3063" s="2" t="s">
        <v>686</v>
      </c>
    </row>
    <row r="3064" spans="2:3">
      <c r="B3064" s="6">
        <v>45066</v>
      </c>
      <c r="C3064" s="2" t="s">
        <v>457</v>
      </c>
    </row>
    <row r="3065" spans="2:3">
      <c r="B3065" s="6">
        <v>45067</v>
      </c>
      <c r="C3065" s="2" t="s">
        <v>3521</v>
      </c>
    </row>
    <row r="3066" spans="2:3">
      <c r="B3066" s="6">
        <v>45068</v>
      </c>
      <c r="C3066" s="2" t="s">
        <v>3522</v>
      </c>
    </row>
    <row r="3067" spans="2:3">
      <c r="B3067" s="6">
        <v>45069</v>
      </c>
      <c r="C3067" s="2" t="s">
        <v>458</v>
      </c>
    </row>
    <row r="3068" spans="2:3">
      <c r="B3068" s="6">
        <v>45070</v>
      </c>
      <c r="C3068" s="2" t="s">
        <v>3523</v>
      </c>
    </row>
    <row r="3069" spans="2:3">
      <c r="B3069" s="6">
        <v>45071</v>
      </c>
      <c r="C3069" s="2" t="s">
        <v>3524</v>
      </c>
    </row>
    <row r="3070" spans="2:3">
      <c r="B3070" s="6">
        <v>45072</v>
      </c>
      <c r="C3070" s="2" t="s">
        <v>734</v>
      </c>
    </row>
    <row r="3071" spans="2:3">
      <c r="B3071" s="6">
        <v>45073</v>
      </c>
      <c r="C3071" s="2" t="s">
        <v>3525</v>
      </c>
    </row>
    <row r="3072" spans="2:3">
      <c r="B3072" s="6">
        <v>45074</v>
      </c>
      <c r="C3072" s="2" t="s">
        <v>735</v>
      </c>
    </row>
    <row r="3073" spans="2:3">
      <c r="B3073" s="6">
        <v>45075</v>
      </c>
      <c r="C3073" s="2" t="s">
        <v>3526</v>
      </c>
    </row>
    <row r="3074" spans="2:3">
      <c r="B3074" s="6">
        <v>45076</v>
      </c>
      <c r="C3074" s="2" t="s">
        <v>736</v>
      </c>
    </row>
    <row r="3075" spans="2:3">
      <c r="B3075" s="6">
        <v>45077</v>
      </c>
      <c r="C3075" s="2" t="s">
        <v>3527</v>
      </c>
    </row>
    <row r="3076" spans="2:3">
      <c r="B3076" s="6">
        <v>45078</v>
      </c>
      <c r="C3076" s="2" t="s">
        <v>737</v>
      </c>
    </row>
    <row r="3077" spans="2:3">
      <c r="B3077" s="6">
        <v>45079</v>
      </c>
      <c r="C3077" s="2" t="s">
        <v>3528</v>
      </c>
    </row>
    <row r="3078" spans="2:3">
      <c r="B3078" s="6">
        <v>45080</v>
      </c>
      <c r="C3078" s="2" t="s">
        <v>3529</v>
      </c>
    </row>
    <row r="3079" spans="2:3">
      <c r="B3079" s="6">
        <v>45081</v>
      </c>
      <c r="C3079" s="2" t="s">
        <v>3530</v>
      </c>
    </row>
    <row r="3080" spans="2:3">
      <c r="B3080" s="6">
        <v>45082</v>
      </c>
      <c r="C3080" s="2" t="s">
        <v>3531</v>
      </c>
    </row>
    <row r="3081" spans="2:3">
      <c r="B3081" s="6">
        <v>45083</v>
      </c>
      <c r="C3081" s="2" t="s">
        <v>3532</v>
      </c>
    </row>
    <row r="3082" spans="2:3">
      <c r="B3082" s="6">
        <v>45084</v>
      </c>
      <c r="C3082" s="2" t="s">
        <v>3533</v>
      </c>
    </row>
    <row r="3083" spans="2:3">
      <c r="B3083" s="6">
        <v>45085</v>
      </c>
      <c r="C3083" s="2" t="s">
        <v>3534</v>
      </c>
    </row>
    <row r="3084" spans="2:3">
      <c r="B3084" s="6">
        <v>45086</v>
      </c>
      <c r="C3084" s="2" t="s">
        <v>3535</v>
      </c>
    </row>
    <row r="3085" spans="2:3">
      <c r="B3085" s="6">
        <v>45087</v>
      </c>
      <c r="C3085" s="2" t="s">
        <v>3536</v>
      </c>
    </row>
    <row r="3086" spans="2:3">
      <c r="B3086" s="6">
        <v>45088</v>
      </c>
      <c r="C3086" s="2" t="s">
        <v>3537</v>
      </c>
    </row>
    <row r="3087" spans="2:3">
      <c r="B3087" s="6">
        <v>45089</v>
      </c>
      <c r="C3087" s="2" t="s">
        <v>3538</v>
      </c>
    </row>
    <row r="3088" spans="2:3">
      <c r="B3088" s="6">
        <v>45090</v>
      </c>
      <c r="C3088" s="2" t="s">
        <v>3539</v>
      </c>
    </row>
    <row r="3089" spans="2:3">
      <c r="B3089" s="6">
        <v>45091</v>
      </c>
      <c r="C3089" s="2" t="s">
        <v>3540</v>
      </c>
    </row>
    <row r="3090" spans="2:3">
      <c r="B3090" s="6">
        <v>45092</v>
      </c>
      <c r="C3090" s="2" t="s">
        <v>3541</v>
      </c>
    </row>
    <row r="3091" spans="2:3">
      <c r="B3091" s="6">
        <v>45093</v>
      </c>
      <c r="C3091" s="2" t="s">
        <v>3542</v>
      </c>
    </row>
    <row r="3092" spans="2:3">
      <c r="B3092" s="6">
        <v>45094</v>
      </c>
      <c r="C3092" s="2" t="s">
        <v>3543</v>
      </c>
    </row>
    <row r="3093" spans="2:3">
      <c r="B3093" s="6">
        <v>45095</v>
      </c>
      <c r="C3093" s="2" t="s">
        <v>3544</v>
      </c>
    </row>
    <row r="3094" spans="2:3">
      <c r="B3094" s="6">
        <v>45096</v>
      </c>
      <c r="C3094" s="2" t="s">
        <v>3545</v>
      </c>
    </row>
    <row r="3095" spans="2:3">
      <c r="B3095" s="6">
        <v>45097</v>
      </c>
      <c r="C3095" s="2" t="s">
        <v>3546</v>
      </c>
    </row>
    <row r="3096" spans="2:3">
      <c r="B3096" s="6">
        <v>45098</v>
      </c>
      <c r="C3096" s="2" t="s">
        <v>3547</v>
      </c>
    </row>
    <row r="3097" spans="2:3">
      <c r="B3097" s="6">
        <v>45099</v>
      </c>
      <c r="C3097" s="2" t="s">
        <v>3548</v>
      </c>
    </row>
    <row r="3098" spans="2:3">
      <c r="B3098" s="6">
        <v>45100</v>
      </c>
      <c r="C3098" s="2" t="s">
        <v>3549</v>
      </c>
    </row>
    <row r="3099" spans="2:3">
      <c r="B3099" s="6">
        <v>45101</v>
      </c>
      <c r="C3099" s="2" t="s">
        <v>3550</v>
      </c>
    </row>
    <row r="3100" spans="2:3">
      <c r="B3100" s="6">
        <v>45102</v>
      </c>
      <c r="C3100" s="2" t="s">
        <v>3551</v>
      </c>
    </row>
    <row r="3101" spans="2:3">
      <c r="B3101" s="6">
        <v>45103</v>
      </c>
      <c r="C3101" s="2" t="s">
        <v>3552</v>
      </c>
    </row>
    <row r="3102" spans="2:3">
      <c r="B3102" s="6">
        <v>45104</v>
      </c>
      <c r="C3102" s="2" t="s">
        <v>3553</v>
      </c>
    </row>
    <row r="3103" spans="2:3">
      <c r="B3103" s="6">
        <v>45105</v>
      </c>
      <c r="C3103" s="2" t="s">
        <v>3554</v>
      </c>
    </row>
    <row r="3104" spans="2:3">
      <c r="B3104" s="6">
        <v>45106</v>
      </c>
      <c r="C3104" s="2" t="s">
        <v>3555</v>
      </c>
    </row>
    <row r="3105" spans="2:3">
      <c r="B3105" s="6">
        <v>45107</v>
      </c>
      <c r="C3105" s="2" t="s">
        <v>3556</v>
      </c>
    </row>
    <row r="3106" spans="2:3">
      <c r="B3106" s="6">
        <v>45108</v>
      </c>
      <c r="C3106" s="2" t="s">
        <v>3557</v>
      </c>
    </row>
    <row r="3107" spans="2:3">
      <c r="B3107" s="6">
        <v>45109</v>
      </c>
      <c r="C3107" s="2" t="s">
        <v>3558</v>
      </c>
    </row>
    <row r="3108" spans="2:3">
      <c r="B3108" s="6">
        <v>45110</v>
      </c>
      <c r="C3108" s="2" t="s">
        <v>3559</v>
      </c>
    </row>
    <row r="3109" spans="2:3">
      <c r="B3109" s="6">
        <v>45111</v>
      </c>
      <c r="C3109" s="2" t="s">
        <v>3560</v>
      </c>
    </row>
    <row r="3110" spans="2:3">
      <c r="B3110" s="6">
        <v>45112</v>
      </c>
      <c r="C3110" s="2" t="s">
        <v>3561</v>
      </c>
    </row>
    <row r="3111" spans="2:3">
      <c r="B3111" s="6">
        <v>45113</v>
      </c>
      <c r="C3111" s="2" t="s">
        <v>3562</v>
      </c>
    </row>
    <row r="3112" spans="2:3">
      <c r="B3112" s="6">
        <v>45114</v>
      </c>
      <c r="C3112" s="2" t="s">
        <v>3563</v>
      </c>
    </row>
    <row r="3113" spans="2:3">
      <c r="B3113" s="6">
        <v>45115</v>
      </c>
      <c r="C3113" s="2" t="s">
        <v>491</v>
      </c>
    </row>
    <row r="3114" spans="2:3">
      <c r="B3114" s="6">
        <v>45116</v>
      </c>
      <c r="C3114" s="2" t="s">
        <v>3564</v>
      </c>
    </row>
    <row r="3115" spans="2:3">
      <c r="B3115" s="6">
        <v>45117</v>
      </c>
      <c r="C3115" s="2" t="s">
        <v>3565</v>
      </c>
    </row>
    <row r="3116" spans="2:3">
      <c r="B3116" s="6">
        <v>45118</v>
      </c>
      <c r="C3116" s="2" t="s">
        <v>3566</v>
      </c>
    </row>
    <row r="3117" spans="2:3">
      <c r="B3117" s="6">
        <v>45119</v>
      </c>
      <c r="C3117" s="2" t="s">
        <v>492</v>
      </c>
    </row>
    <row r="3118" spans="2:3">
      <c r="B3118" s="6">
        <v>45120</v>
      </c>
      <c r="C3118" s="2" t="s">
        <v>3567</v>
      </c>
    </row>
    <row r="3119" spans="2:3">
      <c r="B3119" s="6">
        <v>45121</v>
      </c>
      <c r="C3119" s="2" t="s">
        <v>493</v>
      </c>
    </row>
    <row r="3120" spans="2:3">
      <c r="B3120" s="6">
        <v>45122</v>
      </c>
      <c r="C3120" s="2" t="s">
        <v>3568</v>
      </c>
    </row>
    <row r="3121" spans="2:3">
      <c r="B3121" s="6">
        <v>45123</v>
      </c>
      <c r="C3121" s="2" t="s">
        <v>3569</v>
      </c>
    </row>
    <row r="3122" spans="2:3">
      <c r="B3122" s="6">
        <v>45124</v>
      </c>
      <c r="C3122" s="2" t="s">
        <v>494</v>
      </c>
    </row>
    <row r="3123" spans="2:3">
      <c r="B3123" s="6">
        <v>45125</v>
      </c>
      <c r="C3123" s="2" t="s">
        <v>3570</v>
      </c>
    </row>
    <row r="3124" spans="2:3">
      <c r="B3124" s="6">
        <v>45126</v>
      </c>
      <c r="C3124" s="2" t="s">
        <v>3571</v>
      </c>
    </row>
    <row r="3125" spans="2:3">
      <c r="B3125" s="6">
        <v>45127</v>
      </c>
      <c r="C3125" s="2" t="s">
        <v>694</v>
      </c>
    </row>
    <row r="3126" spans="2:3">
      <c r="B3126" s="6">
        <v>45128</v>
      </c>
      <c r="C3126" s="2" t="s">
        <v>3572</v>
      </c>
    </row>
    <row r="3127" spans="2:3">
      <c r="B3127" s="6">
        <v>45129</v>
      </c>
      <c r="C3127" s="2" t="s">
        <v>3573</v>
      </c>
    </row>
    <row r="3128" spans="2:3">
      <c r="B3128" s="6">
        <v>45130</v>
      </c>
      <c r="C3128" s="2" t="s">
        <v>3574</v>
      </c>
    </row>
    <row r="3129" spans="2:3">
      <c r="B3129" s="6">
        <v>45131</v>
      </c>
      <c r="C3129" s="2" t="s">
        <v>695</v>
      </c>
    </row>
    <row r="3130" spans="2:3">
      <c r="B3130" s="6">
        <v>45132</v>
      </c>
      <c r="C3130" s="2" t="s">
        <v>3575</v>
      </c>
    </row>
    <row r="3131" spans="2:3">
      <c r="B3131" s="6">
        <v>45133</v>
      </c>
      <c r="C3131" s="2" t="s">
        <v>696</v>
      </c>
    </row>
    <row r="3132" spans="2:3">
      <c r="B3132" s="6">
        <v>45134</v>
      </c>
      <c r="C3132" s="2" t="s">
        <v>3576</v>
      </c>
    </row>
    <row r="3133" spans="2:3">
      <c r="B3133" s="6">
        <v>45135</v>
      </c>
      <c r="C3133" s="2" t="s">
        <v>3577</v>
      </c>
    </row>
    <row r="3134" spans="2:3">
      <c r="B3134" s="6">
        <v>45136</v>
      </c>
      <c r="C3134" s="2" t="s">
        <v>3578</v>
      </c>
    </row>
    <row r="3135" spans="2:3">
      <c r="B3135" s="6">
        <v>45137</v>
      </c>
      <c r="C3135" s="2" t="s">
        <v>697</v>
      </c>
    </row>
    <row r="3136" spans="2:3">
      <c r="B3136" s="6">
        <v>45138</v>
      </c>
      <c r="C3136" s="2" t="s">
        <v>3579</v>
      </c>
    </row>
    <row r="3137" spans="2:3">
      <c r="B3137" s="6">
        <v>45139</v>
      </c>
      <c r="C3137" s="2" t="s">
        <v>3580</v>
      </c>
    </row>
    <row r="3138" spans="2:3">
      <c r="B3138" s="6">
        <v>45140</v>
      </c>
      <c r="C3138" s="2" t="s">
        <v>3581</v>
      </c>
    </row>
    <row r="3139" spans="2:3">
      <c r="B3139" s="6">
        <v>45141</v>
      </c>
      <c r="C3139" s="2" t="s">
        <v>3582</v>
      </c>
    </row>
    <row r="3140" spans="2:3">
      <c r="B3140" s="6">
        <v>45142</v>
      </c>
      <c r="C3140" s="2" t="s">
        <v>3583</v>
      </c>
    </row>
    <row r="3141" spans="2:3">
      <c r="B3141" s="6">
        <v>45143</v>
      </c>
      <c r="C3141" s="2" t="s">
        <v>3584</v>
      </c>
    </row>
    <row r="3142" spans="2:3">
      <c r="B3142" s="6">
        <v>45144</v>
      </c>
      <c r="C3142" s="2" t="s">
        <v>3585</v>
      </c>
    </row>
    <row r="3143" spans="2:3">
      <c r="B3143" s="6">
        <v>45145</v>
      </c>
      <c r="C3143" s="2" t="s">
        <v>3586</v>
      </c>
    </row>
    <row r="3144" spans="2:3">
      <c r="B3144" s="6">
        <v>45146</v>
      </c>
      <c r="C3144" s="2" t="s">
        <v>3587</v>
      </c>
    </row>
    <row r="3145" spans="2:3">
      <c r="B3145" s="6">
        <v>45147</v>
      </c>
      <c r="C3145" s="2" t="s">
        <v>3588</v>
      </c>
    </row>
    <row r="3146" spans="2:3">
      <c r="B3146" s="6">
        <v>45148</v>
      </c>
      <c r="C3146" s="2" t="s">
        <v>3589</v>
      </c>
    </row>
    <row r="3147" spans="2:3">
      <c r="B3147" s="6">
        <v>45149</v>
      </c>
      <c r="C3147" s="2" t="s">
        <v>3590</v>
      </c>
    </row>
    <row r="3148" spans="2:3">
      <c r="B3148" s="6">
        <v>45150</v>
      </c>
      <c r="C3148" s="2" t="s">
        <v>3591</v>
      </c>
    </row>
    <row r="3149" spans="2:3">
      <c r="B3149" s="6">
        <v>45151</v>
      </c>
      <c r="C3149" s="2" t="s">
        <v>3592</v>
      </c>
    </row>
    <row r="3150" spans="2:3">
      <c r="B3150" s="6">
        <v>45152</v>
      </c>
      <c r="C3150" s="2" t="s">
        <v>3593</v>
      </c>
    </row>
    <row r="3151" spans="2:3">
      <c r="B3151" s="6">
        <v>45153</v>
      </c>
      <c r="C3151" s="2" t="s">
        <v>3594</v>
      </c>
    </row>
    <row r="3152" spans="2:3">
      <c r="B3152" s="6">
        <v>45154</v>
      </c>
      <c r="C3152" s="2" t="s">
        <v>3595</v>
      </c>
    </row>
    <row r="3153" spans="2:3">
      <c r="B3153" s="6">
        <v>45155</v>
      </c>
      <c r="C3153" s="2" t="s">
        <v>3596</v>
      </c>
    </row>
    <row r="3154" spans="2:3">
      <c r="B3154" s="6">
        <v>45156</v>
      </c>
      <c r="C3154" s="2" t="s">
        <v>3597</v>
      </c>
    </row>
    <row r="3155" spans="2:3">
      <c r="B3155" s="6">
        <v>45157</v>
      </c>
      <c r="C3155" s="2" t="s">
        <v>3598</v>
      </c>
    </row>
    <row r="3156" spans="2:3">
      <c r="B3156" s="6">
        <v>45158</v>
      </c>
      <c r="C3156" s="2" t="s">
        <v>3599</v>
      </c>
    </row>
    <row r="3157" spans="2:3">
      <c r="B3157" s="6">
        <v>45159</v>
      </c>
      <c r="C3157" s="2" t="s">
        <v>3600</v>
      </c>
    </row>
    <row r="3158" spans="2:3">
      <c r="B3158" s="6">
        <v>45160</v>
      </c>
      <c r="C3158" s="2" t="s">
        <v>3601</v>
      </c>
    </row>
    <row r="3159" spans="2:3">
      <c r="B3159" s="6">
        <v>45161</v>
      </c>
      <c r="C3159" s="2" t="s">
        <v>3602</v>
      </c>
    </row>
    <row r="3160" spans="2:3">
      <c r="B3160" s="6">
        <v>45162</v>
      </c>
      <c r="C3160" s="2" t="s">
        <v>3603</v>
      </c>
    </row>
    <row r="3161" spans="2:3">
      <c r="B3161" s="6">
        <v>45163</v>
      </c>
      <c r="C3161" s="2" t="s">
        <v>3604</v>
      </c>
    </row>
    <row r="3162" spans="2:3">
      <c r="B3162" s="6">
        <v>45164</v>
      </c>
      <c r="C3162" s="2" t="s">
        <v>3605</v>
      </c>
    </row>
    <row r="3163" spans="2:3">
      <c r="B3163" s="6">
        <v>45165</v>
      </c>
      <c r="C3163" s="2" t="s">
        <v>3606</v>
      </c>
    </row>
    <row r="3164" spans="2:3">
      <c r="B3164" s="6">
        <v>45166</v>
      </c>
      <c r="C3164" s="2" t="s">
        <v>302</v>
      </c>
    </row>
    <row r="3165" spans="2:3">
      <c r="B3165" s="6">
        <v>45167</v>
      </c>
      <c r="C3165" s="2" t="s">
        <v>3607</v>
      </c>
    </row>
    <row r="3166" spans="2:3">
      <c r="B3166" s="6">
        <v>45168</v>
      </c>
      <c r="C3166" s="2" t="s">
        <v>3608</v>
      </c>
    </row>
    <row r="3167" spans="2:3">
      <c r="B3167" s="6">
        <v>45169</v>
      </c>
      <c r="C3167" s="2" t="s">
        <v>3609</v>
      </c>
    </row>
    <row r="3168" spans="2:3">
      <c r="B3168" s="6">
        <v>45170</v>
      </c>
      <c r="C3168" s="2" t="s">
        <v>303</v>
      </c>
    </row>
    <row r="3169" spans="2:3">
      <c r="B3169" s="6">
        <v>45171</v>
      </c>
      <c r="C3169" s="2" t="s">
        <v>304</v>
      </c>
    </row>
    <row r="3170" spans="2:3">
      <c r="B3170" s="6">
        <v>45172</v>
      </c>
      <c r="C3170" s="2" t="s">
        <v>3610</v>
      </c>
    </row>
    <row r="3171" spans="2:3">
      <c r="B3171" s="6">
        <v>45173</v>
      </c>
      <c r="C3171" s="2" t="s">
        <v>3611</v>
      </c>
    </row>
    <row r="3172" spans="2:3">
      <c r="B3172" s="6">
        <v>45174</v>
      </c>
      <c r="C3172" s="2" t="s">
        <v>305</v>
      </c>
    </row>
    <row r="3173" spans="2:3">
      <c r="B3173" s="6">
        <v>45175</v>
      </c>
      <c r="C3173" s="2" t="s">
        <v>3612</v>
      </c>
    </row>
    <row r="3174" spans="2:3">
      <c r="B3174" s="6">
        <v>45176</v>
      </c>
      <c r="C3174" s="2" t="s">
        <v>3613</v>
      </c>
    </row>
    <row r="3175" spans="2:3">
      <c r="B3175" s="6">
        <v>45177</v>
      </c>
      <c r="C3175" s="2" t="s">
        <v>3614</v>
      </c>
    </row>
    <row r="3176" spans="2:3">
      <c r="B3176" s="6">
        <v>45178</v>
      </c>
      <c r="C3176" s="2" t="s">
        <v>3615</v>
      </c>
    </row>
    <row r="3177" spans="2:3">
      <c r="B3177" s="6">
        <v>45179</v>
      </c>
      <c r="C3177" s="2" t="s">
        <v>3616</v>
      </c>
    </row>
    <row r="3178" spans="2:3">
      <c r="B3178" s="6">
        <v>45180</v>
      </c>
      <c r="C3178" s="2" t="s">
        <v>3617</v>
      </c>
    </row>
    <row r="3179" spans="2:3">
      <c r="B3179" s="6">
        <v>45181</v>
      </c>
      <c r="C3179" s="2" t="s">
        <v>3618</v>
      </c>
    </row>
    <row r="3180" spans="2:3">
      <c r="B3180" s="6">
        <v>45182</v>
      </c>
      <c r="C3180" s="2" t="s">
        <v>3619</v>
      </c>
    </row>
    <row r="3181" spans="2:3">
      <c r="B3181" s="6">
        <v>45183</v>
      </c>
      <c r="C3181" s="2" t="s">
        <v>3620</v>
      </c>
    </row>
    <row r="3182" spans="2:3">
      <c r="B3182" s="6">
        <v>45184</v>
      </c>
      <c r="C3182" s="2" t="s">
        <v>3621</v>
      </c>
    </row>
    <row r="3183" spans="2:3">
      <c r="B3183" s="6">
        <v>45185</v>
      </c>
      <c r="C3183" s="2" t="s">
        <v>3622</v>
      </c>
    </row>
    <row r="3184" spans="2:3">
      <c r="B3184" s="6">
        <v>45186</v>
      </c>
      <c r="C3184" s="2" t="s">
        <v>3623</v>
      </c>
    </row>
    <row r="3185" spans="2:3">
      <c r="B3185" s="6">
        <v>45187</v>
      </c>
      <c r="C3185" s="2" t="s">
        <v>3624</v>
      </c>
    </row>
    <row r="3186" spans="2:3">
      <c r="B3186" s="6">
        <v>45188</v>
      </c>
      <c r="C3186" s="2" t="s">
        <v>3625</v>
      </c>
    </row>
    <row r="3187" spans="2:3">
      <c r="B3187" s="6">
        <v>45189</v>
      </c>
      <c r="C3187" s="2" t="s">
        <v>3626</v>
      </c>
    </row>
    <row r="3188" spans="2:3">
      <c r="B3188" s="6">
        <v>45190</v>
      </c>
      <c r="C3188" s="2" t="s">
        <v>3627</v>
      </c>
    </row>
    <row r="3189" spans="2:3">
      <c r="B3189" s="6">
        <v>45191</v>
      </c>
      <c r="C3189" s="2" t="s">
        <v>3628</v>
      </c>
    </row>
    <row r="3190" spans="2:3">
      <c r="B3190" s="6">
        <v>45192</v>
      </c>
      <c r="C3190" s="2" t="s">
        <v>3629</v>
      </c>
    </row>
    <row r="3191" spans="2:3">
      <c r="B3191" s="6">
        <v>45193</v>
      </c>
      <c r="C3191" s="2" t="s">
        <v>3630</v>
      </c>
    </row>
    <row r="3192" spans="2:3">
      <c r="B3192" s="6">
        <v>45194</v>
      </c>
      <c r="C3192" s="2" t="s">
        <v>3631</v>
      </c>
    </row>
    <row r="3193" spans="2:3">
      <c r="B3193" s="6">
        <v>45195</v>
      </c>
      <c r="C3193" s="2" t="s">
        <v>3632</v>
      </c>
    </row>
    <row r="3194" spans="2:3">
      <c r="B3194" s="6">
        <v>45196</v>
      </c>
      <c r="C3194" s="2" t="s">
        <v>3633</v>
      </c>
    </row>
    <row r="3195" spans="2:3">
      <c r="B3195" s="6">
        <v>45197</v>
      </c>
      <c r="C3195" s="2" t="s">
        <v>3634</v>
      </c>
    </row>
    <row r="3196" spans="2:3">
      <c r="B3196" s="6">
        <v>45198</v>
      </c>
      <c r="C3196" s="2" t="s">
        <v>3635</v>
      </c>
    </row>
    <row r="3197" spans="2:3">
      <c r="B3197" s="6">
        <v>45199</v>
      </c>
      <c r="C3197" s="2" t="s">
        <v>3636</v>
      </c>
    </row>
    <row r="3198" spans="2:3">
      <c r="B3198" s="6">
        <v>45200</v>
      </c>
      <c r="C3198" s="2" t="s">
        <v>3637</v>
      </c>
    </row>
    <row r="3199" spans="2:3">
      <c r="B3199" s="6">
        <v>45201</v>
      </c>
      <c r="C3199" s="2" t="s">
        <v>3638</v>
      </c>
    </row>
    <row r="3200" spans="2:3">
      <c r="B3200" s="6">
        <v>45202</v>
      </c>
      <c r="C3200" s="2" t="s">
        <v>3639</v>
      </c>
    </row>
    <row r="3201" spans="2:3">
      <c r="B3201" s="6">
        <v>45203</v>
      </c>
      <c r="C3201" s="2" t="s">
        <v>3640</v>
      </c>
    </row>
    <row r="3202" spans="2:3">
      <c r="B3202" s="6">
        <v>45204</v>
      </c>
      <c r="C3202" s="2" t="s">
        <v>3641</v>
      </c>
    </row>
    <row r="3203" spans="2:3">
      <c r="B3203" s="6">
        <v>45205</v>
      </c>
      <c r="C3203" s="2" t="s">
        <v>3642</v>
      </c>
    </row>
    <row r="3204" spans="2:3">
      <c r="B3204" s="6">
        <v>45206</v>
      </c>
      <c r="C3204" s="2" t="s">
        <v>3643</v>
      </c>
    </row>
    <row r="3205" spans="2:3">
      <c r="B3205" s="6">
        <v>45207</v>
      </c>
      <c r="C3205" s="2" t="s">
        <v>3644</v>
      </c>
    </row>
    <row r="3206" spans="2:3">
      <c r="B3206" s="6">
        <v>45208</v>
      </c>
      <c r="C3206" s="2" t="s">
        <v>3645</v>
      </c>
    </row>
    <row r="3207" spans="2:3">
      <c r="B3207" s="6">
        <v>45209</v>
      </c>
      <c r="C3207" s="2" t="s">
        <v>3646</v>
      </c>
    </row>
    <row r="3208" spans="2:3">
      <c r="B3208" s="6">
        <v>45210</v>
      </c>
      <c r="C3208" s="2" t="s">
        <v>3647</v>
      </c>
    </row>
    <row r="3209" spans="2:3">
      <c r="B3209" s="6">
        <v>45211</v>
      </c>
      <c r="C3209" s="2" t="s">
        <v>3648</v>
      </c>
    </row>
    <row r="3210" spans="2:3">
      <c r="B3210" s="6">
        <v>45212</v>
      </c>
      <c r="C3210" s="2" t="s">
        <v>3649</v>
      </c>
    </row>
    <row r="3211" spans="2:3">
      <c r="B3211" s="6">
        <v>45213</v>
      </c>
      <c r="C3211" s="2" t="s">
        <v>3650</v>
      </c>
    </row>
    <row r="3212" spans="2:3">
      <c r="B3212" s="6">
        <v>45214</v>
      </c>
      <c r="C3212" s="2" t="s">
        <v>3651</v>
      </c>
    </row>
    <row r="3213" spans="2:3">
      <c r="B3213" s="6">
        <v>45215</v>
      </c>
      <c r="C3213" s="2" t="s">
        <v>3652</v>
      </c>
    </row>
    <row r="3214" spans="2:3">
      <c r="B3214" s="6">
        <v>45216</v>
      </c>
      <c r="C3214" s="2" t="s">
        <v>3653</v>
      </c>
    </row>
    <row r="3215" spans="2:3">
      <c r="B3215" s="6">
        <v>45217</v>
      </c>
      <c r="C3215" s="2" t="s">
        <v>3654</v>
      </c>
    </row>
    <row r="3216" spans="2:3">
      <c r="B3216" s="6">
        <v>45218</v>
      </c>
      <c r="C3216" s="2" t="s">
        <v>369</v>
      </c>
    </row>
    <row r="3217" spans="2:3">
      <c r="B3217" s="6">
        <v>45219</v>
      </c>
      <c r="C3217" s="2" t="s">
        <v>3655</v>
      </c>
    </row>
    <row r="3218" spans="2:3">
      <c r="B3218" s="6">
        <v>45220</v>
      </c>
      <c r="C3218" s="2" t="s">
        <v>370</v>
      </c>
    </row>
    <row r="3219" spans="2:3">
      <c r="B3219" s="6">
        <v>45221</v>
      </c>
      <c r="C3219" s="2" t="s">
        <v>371</v>
      </c>
    </row>
    <row r="3220" spans="2:3">
      <c r="B3220" s="6">
        <v>45222</v>
      </c>
      <c r="C3220" s="2" t="s">
        <v>3656</v>
      </c>
    </row>
    <row r="3221" spans="2:3">
      <c r="B3221" s="6">
        <v>45223</v>
      </c>
      <c r="C3221" s="2" t="s">
        <v>3657</v>
      </c>
    </row>
    <row r="3222" spans="2:3">
      <c r="B3222" s="6">
        <v>45224</v>
      </c>
      <c r="C3222" s="2" t="s">
        <v>372</v>
      </c>
    </row>
    <row r="3223" spans="2:3">
      <c r="B3223" s="6">
        <v>45225</v>
      </c>
      <c r="C3223" s="2" t="s">
        <v>3658</v>
      </c>
    </row>
    <row r="3224" spans="2:3">
      <c r="B3224" s="6">
        <v>45226</v>
      </c>
      <c r="C3224" s="2" t="s">
        <v>3659</v>
      </c>
    </row>
    <row r="3225" spans="2:3">
      <c r="B3225" s="6">
        <v>45227</v>
      </c>
      <c r="C3225" s="2" t="s">
        <v>3660</v>
      </c>
    </row>
    <row r="3226" spans="2:3">
      <c r="B3226" s="6">
        <v>45228</v>
      </c>
      <c r="C3226" s="2" t="s">
        <v>3661</v>
      </c>
    </row>
    <row r="3227" spans="2:3">
      <c r="B3227" s="6">
        <v>45229</v>
      </c>
      <c r="C3227" s="2" t="s">
        <v>3662</v>
      </c>
    </row>
    <row r="3228" spans="2:3">
      <c r="B3228" s="6">
        <v>45230</v>
      </c>
      <c r="C3228" s="2" t="s">
        <v>3663</v>
      </c>
    </row>
    <row r="3229" spans="2:3">
      <c r="B3229" s="6">
        <v>45231</v>
      </c>
      <c r="C3229" s="2" t="s">
        <v>3664</v>
      </c>
    </row>
    <row r="3230" spans="2:3">
      <c r="B3230" s="6">
        <v>45232</v>
      </c>
      <c r="C3230" s="2" t="s">
        <v>3665</v>
      </c>
    </row>
    <row r="3231" spans="2:3">
      <c r="B3231" s="6">
        <v>45233</v>
      </c>
      <c r="C3231" s="2" t="s">
        <v>3666</v>
      </c>
    </row>
    <row r="3232" spans="2:3">
      <c r="B3232" s="6">
        <v>45234</v>
      </c>
      <c r="C3232" s="2" t="s">
        <v>3667</v>
      </c>
    </row>
    <row r="3233" spans="2:3">
      <c r="B3233" s="6">
        <v>45235</v>
      </c>
      <c r="C3233" s="2" t="s">
        <v>3668</v>
      </c>
    </row>
    <row r="3234" spans="2:3">
      <c r="B3234" s="6">
        <v>45236</v>
      </c>
      <c r="C3234" s="2" t="s">
        <v>3669</v>
      </c>
    </row>
    <row r="3235" spans="2:3">
      <c r="B3235" s="6">
        <v>45237</v>
      </c>
      <c r="C3235" s="2" t="s">
        <v>3670</v>
      </c>
    </row>
    <row r="3236" spans="2:3">
      <c r="B3236" s="6">
        <v>45238</v>
      </c>
      <c r="C3236" s="2" t="s">
        <v>3671</v>
      </c>
    </row>
    <row r="3237" spans="2:3">
      <c r="B3237" s="6">
        <v>45239</v>
      </c>
      <c r="C3237" s="2" t="s">
        <v>3672</v>
      </c>
    </row>
    <row r="3238" spans="2:3">
      <c r="B3238" s="6">
        <v>45240</v>
      </c>
      <c r="C3238" s="2" t="s">
        <v>3673</v>
      </c>
    </row>
    <row r="3239" spans="2:3">
      <c r="B3239" s="6">
        <v>45241</v>
      </c>
      <c r="C3239" s="2" t="s">
        <v>3674</v>
      </c>
    </row>
    <row r="3240" spans="2:3">
      <c r="B3240" s="6">
        <v>45242</v>
      </c>
      <c r="C3240" s="2" t="s">
        <v>3675</v>
      </c>
    </row>
    <row r="3241" spans="2:3">
      <c r="B3241" s="6">
        <v>45243</v>
      </c>
      <c r="C3241" s="2" t="s">
        <v>3676</v>
      </c>
    </row>
    <row r="3242" spans="2:3">
      <c r="B3242" s="6">
        <v>45244</v>
      </c>
      <c r="C3242" s="2" t="s">
        <v>3677</v>
      </c>
    </row>
    <row r="3243" spans="2:3">
      <c r="B3243" s="6">
        <v>45245</v>
      </c>
      <c r="C3243" s="2" t="s">
        <v>3678</v>
      </c>
    </row>
    <row r="3244" spans="2:3">
      <c r="B3244" s="6">
        <v>45246</v>
      </c>
      <c r="C3244" s="2" t="s">
        <v>3679</v>
      </c>
    </row>
    <row r="3245" spans="2:3">
      <c r="B3245" s="6">
        <v>45247</v>
      </c>
      <c r="C3245" s="2" t="s">
        <v>3680</v>
      </c>
    </row>
    <row r="3246" spans="2:3">
      <c r="B3246" s="6">
        <v>45248</v>
      </c>
      <c r="C3246" s="2" t="s">
        <v>3681</v>
      </c>
    </row>
    <row r="3247" spans="2:3">
      <c r="B3247" s="6">
        <v>45249</v>
      </c>
      <c r="C3247" s="2" t="s">
        <v>3682</v>
      </c>
    </row>
    <row r="3248" spans="2:3">
      <c r="B3248" s="6">
        <v>45250</v>
      </c>
      <c r="C3248" s="2" t="s">
        <v>3683</v>
      </c>
    </row>
    <row r="3249" spans="2:3">
      <c r="B3249" s="6">
        <v>45251</v>
      </c>
      <c r="C3249" s="2" t="s">
        <v>3684</v>
      </c>
    </row>
    <row r="3250" spans="2:3">
      <c r="B3250" s="6">
        <v>45252</v>
      </c>
      <c r="C3250" s="2" t="s">
        <v>3685</v>
      </c>
    </row>
    <row r="3251" spans="2:3">
      <c r="B3251" s="6">
        <v>45253</v>
      </c>
      <c r="C3251" s="2" t="s">
        <v>3686</v>
      </c>
    </row>
    <row r="3252" spans="2:3">
      <c r="B3252" s="6">
        <v>45254</v>
      </c>
      <c r="C3252" s="2" t="s">
        <v>3687</v>
      </c>
    </row>
    <row r="3253" spans="2:3">
      <c r="B3253" s="6">
        <v>45255</v>
      </c>
      <c r="C3253" s="2" t="s">
        <v>3688</v>
      </c>
    </row>
    <row r="3254" spans="2:3">
      <c r="B3254" s="6">
        <v>45256</v>
      </c>
      <c r="C3254" s="2" t="s">
        <v>687</v>
      </c>
    </row>
    <row r="3255" spans="2:3">
      <c r="B3255" s="6">
        <v>45257</v>
      </c>
      <c r="C3255" s="2" t="s">
        <v>3689</v>
      </c>
    </row>
    <row r="3256" spans="2:3">
      <c r="B3256" s="6">
        <v>45258</v>
      </c>
      <c r="C3256" s="2" t="s">
        <v>3690</v>
      </c>
    </row>
    <row r="3257" spans="2:3">
      <c r="B3257" s="6">
        <v>45259</v>
      </c>
      <c r="C3257" s="2" t="s">
        <v>3691</v>
      </c>
    </row>
    <row r="3258" spans="2:3">
      <c r="B3258" s="6">
        <v>45260</v>
      </c>
      <c r="C3258" s="2" t="s">
        <v>688</v>
      </c>
    </row>
    <row r="3259" spans="2:3">
      <c r="B3259" s="6">
        <v>45261</v>
      </c>
      <c r="C3259" s="2" t="s">
        <v>463</v>
      </c>
    </row>
    <row r="3260" spans="2:3">
      <c r="B3260" s="6">
        <v>45262</v>
      </c>
      <c r="C3260" s="2" t="s">
        <v>3692</v>
      </c>
    </row>
    <row r="3261" spans="2:3">
      <c r="B3261" s="6">
        <v>45263</v>
      </c>
      <c r="C3261" s="2" t="s">
        <v>3693</v>
      </c>
    </row>
    <row r="3262" spans="2:3">
      <c r="B3262" s="6">
        <v>45264</v>
      </c>
      <c r="C3262" s="2" t="s">
        <v>464</v>
      </c>
    </row>
    <row r="3263" spans="2:3">
      <c r="B3263" s="6">
        <v>45265</v>
      </c>
      <c r="C3263" s="2" t="s">
        <v>3694</v>
      </c>
    </row>
    <row r="3264" spans="2:3">
      <c r="B3264" s="6">
        <v>45266</v>
      </c>
      <c r="C3264" s="2" t="s">
        <v>689</v>
      </c>
    </row>
    <row r="3265" spans="2:3">
      <c r="B3265" s="6">
        <v>45267</v>
      </c>
      <c r="C3265" s="2" t="s">
        <v>3695</v>
      </c>
    </row>
    <row r="3266" spans="2:3">
      <c r="B3266" s="6">
        <v>45268</v>
      </c>
      <c r="C3266" s="2" t="s">
        <v>465</v>
      </c>
    </row>
    <row r="3267" spans="2:3">
      <c r="B3267" s="6">
        <v>45269</v>
      </c>
      <c r="C3267" s="2" t="s">
        <v>3696</v>
      </c>
    </row>
    <row r="3268" spans="2:3">
      <c r="B3268" s="6">
        <v>45270</v>
      </c>
      <c r="C3268" s="2" t="s">
        <v>466</v>
      </c>
    </row>
    <row r="3269" spans="2:3">
      <c r="B3269" s="6">
        <v>45271</v>
      </c>
      <c r="C3269" s="2" t="s">
        <v>3697</v>
      </c>
    </row>
    <row r="3270" spans="2:3">
      <c r="B3270" s="6">
        <v>45272</v>
      </c>
      <c r="C3270" s="2" t="s">
        <v>3698</v>
      </c>
    </row>
    <row r="3271" spans="2:3">
      <c r="B3271" s="6">
        <v>45273</v>
      </c>
      <c r="C3271" s="2" t="s">
        <v>3699</v>
      </c>
    </row>
    <row r="3272" spans="2:3">
      <c r="B3272" s="6">
        <v>45274</v>
      </c>
      <c r="C3272" s="2" t="s">
        <v>3700</v>
      </c>
    </row>
    <row r="3273" spans="2:3">
      <c r="B3273" s="6">
        <v>45275</v>
      </c>
      <c r="C3273" s="2" t="s">
        <v>3701</v>
      </c>
    </row>
    <row r="3274" spans="2:3">
      <c r="B3274" s="6">
        <v>45276</v>
      </c>
      <c r="C3274" s="2" t="s">
        <v>3702</v>
      </c>
    </row>
    <row r="3275" spans="2:3">
      <c r="B3275" s="6">
        <v>45277</v>
      </c>
      <c r="C3275" s="2" t="s">
        <v>3703</v>
      </c>
    </row>
    <row r="3276" spans="2:3">
      <c r="B3276" s="6">
        <v>45278</v>
      </c>
      <c r="C3276" s="2" t="s">
        <v>3704</v>
      </c>
    </row>
    <row r="3277" spans="2:3">
      <c r="B3277" s="6">
        <v>45279</v>
      </c>
      <c r="C3277" s="2" t="s">
        <v>3705</v>
      </c>
    </row>
    <row r="3278" spans="2:3">
      <c r="B3278" s="6">
        <v>45280</v>
      </c>
      <c r="C3278" s="2" t="s">
        <v>3706</v>
      </c>
    </row>
    <row r="3279" spans="2:3">
      <c r="B3279" s="6">
        <v>45281</v>
      </c>
      <c r="C3279" s="2" t="s">
        <v>567</v>
      </c>
    </row>
    <row r="3280" spans="2:3">
      <c r="B3280" s="6">
        <v>45282</v>
      </c>
      <c r="C3280" s="2" t="s">
        <v>3707</v>
      </c>
    </row>
    <row r="3281" spans="2:3">
      <c r="B3281" s="6">
        <v>45283</v>
      </c>
      <c r="C3281" s="2" t="s">
        <v>3708</v>
      </c>
    </row>
    <row r="3282" spans="2:3">
      <c r="B3282" s="6">
        <v>45284</v>
      </c>
      <c r="C3282" s="2" t="s">
        <v>568</v>
      </c>
    </row>
    <row r="3283" spans="2:3">
      <c r="B3283" s="6">
        <v>45285</v>
      </c>
      <c r="C3283" s="2" t="s">
        <v>569</v>
      </c>
    </row>
    <row r="3284" spans="2:3">
      <c r="B3284" s="6">
        <v>45286</v>
      </c>
      <c r="C3284" s="2" t="s">
        <v>3709</v>
      </c>
    </row>
    <row r="3285" spans="2:3">
      <c r="B3285" s="6">
        <v>45287</v>
      </c>
      <c r="C3285" s="2" t="s">
        <v>3710</v>
      </c>
    </row>
    <row r="3286" spans="2:3">
      <c r="B3286" s="6">
        <v>45288</v>
      </c>
      <c r="C3286" s="2" t="s">
        <v>3711</v>
      </c>
    </row>
    <row r="3287" spans="2:3">
      <c r="B3287" s="6">
        <v>45289</v>
      </c>
      <c r="C3287" s="2" t="s">
        <v>570</v>
      </c>
    </row>
    <row r="3288" spans="2:3">
      <c r="B3288" s="6">
        <v>45290</v>
      </c>
      <c r="C3288" s="2" t="s">
        <v>3712</v>
      </c>
    </row>
    <row r="3289" spans="2:3">
      <c r="B3289" s="6">
        <v>45291</v>
      </c>
      <c r="C3289" s="2" t="s">
        <v>3713</v>
      </c>
    </row>
    <row r="3290" spans="2:3">
      <c r="B3290" s="6">
        <v>45292</v>
      </c>
      <c r="C3290" s="2" t="s">
        <v>3714</v>
      </c>
    </row>
    <row r="3291" spans="2:3">
      <c r="B3291" s="6">
        <v>45293</v>
      </c>
      <c r="C3291" s="2" t="s">
        <v>337</v>
      </c>
    </row>
    <row r="3292" spans="2:3">
      <c r="B3292" s="6">
        <v>45294</v>
      </c>
      <c r="C3292" s="2" t="s">
        <v>3715</v>
      </c>
    </row>
    <row r="3293" spans="2:3">
      <c r="B3293" s="6">
        <v>45295</v>
      </c>
      <c r="C3293" s="2" t="s">
        <v>3716</v>
      </c>
    </row>
    <row r="3294" spans="2:3">
      <c r="B3294" s="6">
        <v>45296</v>
      </c>
      <c r="C3294" s="2" t="s">
        <v>338</v>
      </c>
    </row>
    <row r="3295" spans="2:3">
      <c r="B3295" s="6">
        <v>45297</v>
      </c>
      <c r="C3295" s="2" t="s">
        <v>3717</v>
      </c>
    </row>
    <row r="3296" spans="2:3">
      <c r="B3296" s="6">
        <v>45298</v>
      </c>
      <c r="C3296" s="2" t="s">
        <v>3718</v>
      </c>
    </row>
    <row r="3297" spans="2:3">
      <c r="B3297" s="6">
        <v>45299</v>
      </c>
      <c r="C3297" s="2" t="s">
        <v>339</v>
      </c>
    </row>
    <row r="3298" spans="2:3">
      <c r="B3298" s="6">
        <v>45300</v>
      </c>
      <c r="C3298" s="2" t="s">
        <v>314</v>
      </c>
    </row>
    <row r="3299" spans="2:3">
      <c r="B3299" s="6">
        <v>45301</v>
      </c>
      <c r="C3299" s="2" t="s">
        <v>3719</v>
      </c>
    </row>
    <row r="3300" spans="2:3">
      <c r="B3300" s="6">
        <v>45302</v>
      </c>
      <c r="C3300" s="2" t="s">
        <v>340</v>
      </c>
    </row>
    <row r="3301" spans="2:3">
      <c r="B3301" s="6">
        <v>45303</v>
      </c>
      <c r="C3301" s="2" t="s">
        <v>315</v>
      </c>
    </row>
    <row r="3302" spans="2:3">
      <c r="B3302" s="6">
        <v>45304</v>
      </c>
      <c r="C3302" s="2" t="s">
        <v>3720</v>
      </c>
    </row>
    <row r="3303" spans="2:3">
      <c r="B3303" s="6">
        <v>45305</v>
      </c>
      <c r="C3303" s="2" t="s">
        <v>3721</v>
      </c>
    </row>
    <row r="3304" spans="2:3">
      <c r="B3304" s="6">
        <v>45306</v>
      </c>
      <c r="C3304" s="2" t="s">
        <v>316</v>
      </c>
    </row>
    <row r="3305" spans="2:3">
      <c r="B3305" s="6">
        <v>45307</v>
      </c>
      <c r="C3305" s="2" t="s">
        <v>3722</v>
      </c>
    </row>
    <row r="3306" spans="2:3">
      <c r="B3306" s="6">
        <v>45308</v>
      </c>
      <c r="C3306" s="2" t="s">
        <v>317</v>
      </c>
    </row>
    <row r="3307" spans="2:3">
      <c r="B3307" s="6">
        <v>45309</v>
      </c>
      <c r="C3307" s="2" t="s">
        <v>3723</v>
      </c>
    </row>
    <row r="3308" spans="2:3">
      <c r="B3308" s="6">
        <v>45310</v>
      </c>
      <c r="C3308" s="2" t="s">
        <v>3724</v>
      </c>
    </row>
    <row r="3309" spans="2:3">
      <c r="B3309" s="6">
        <v>45311</v>
      </c>
      <c r="C3309" s="2" t="s">
        <v>3725</v>
      </c>
    </row>
    <row r="3310" spans="2:3">
      <c r="B3310" s="6">
        <v>45312</v>
      </c>
      <c r="C3310" s="2" t="s">
        <v>3726</v>
      </c>
    </row>
    <row r="3311" spans="2:3">
      <c r="B3311" s="6">
        <v>45313</v>
      </c>
      <c r="C3311" s="2" t="s">
        <v>3727</v>
      </c>
    </row>
    <row r="3312" spans="2:3">
      <c r="B3312" s="6">
        <v>45314</v>
      </c>
      <c r="C3312" s="2" t="s">
        <v>3728</v>
      </c>
    </row>
    <row r="3313" spans="2:3">
      <c r="B3313" s="6">
        <v>45315</v>
      </c>
      <c r="C3313" s="2" t="s">
        <v>3729</v>
      </c>
    </row>
    <row r="3314" spans="2:3">
      <c r="B3314" s="6">
        <v>45316</v>
      </c>
      <c r="C3314" s="2" t="s">
        <v>3730</v>
      </c>
    </row>
    <row r="3315" spans="2:3">
      <c r="B3315" s="6">
        <v>45317</v>
      </c>
      <c r="C3315" s="2" t="s">
        <v>3731</v>
      </c>
    </row>
    <row r="3316" spans="2:3">
      <c r="B3316" s="6">
        <v>45318</v>
      </c>
      <c r="C3316" s="2" t="s">
        <v>3732</v>
      </c>
    </row>
    <row r="3317" spans="2:3">
      <c r="B3317" s="6">
        <v>45319</v>
      </c>
      <c r="C3317" s="2" t="s">
        <v>3733</v>
      </c>
    </row>
    <row r="3318" spans="2:3">
      <c r="B3318" s="6">
        <v>45320</v>
      </c>
      <c r="C3318" s="2" t="s">
        <v>3734</v>
      </c>
    </row>
    <row r="3319" spans="2:3">
      <c r="B3319" s="6">
        <v>45321</v>
      </c>
      <c r="C3319" s="2" t="s">
        <v>3735</v>
      </c>
    </row>
    <row r="3320" spans="2:3">
      <c r="B3320" s="6">
        <v>45322</v>
      </c>
      <c r="C3320" s="2" t="s">
        <v>3736</v>
      </c>
    </row>
    <row r="3321" spans="2:3">
      <c r="B3321" s="6">
        <v>45323</v>
      </c>
      <c r="C3321" s="2" t="s">
        <v>3737</v>
      </c>
    </row>
    <row r="3322" spans="2:3">
      <c r="B3322" s="6">
        <v>45324</v>
      </c>
      <c r="C3322" s="2" t="s">
        <v>3738</v>
      </c>
    </row>
    <row r="3323" spans="2:3">
      <c r="B3323" s="6">
        <v>45325</v>
      </c>
      <c r="C3323" s="2" t="s">
        <v>3739</v>
      </c>
    </row>
    <row r="3324" spans="2:3">
      <c r="B3324" s="6">
        <v>45326</v>
      </c>
      <c r="C3324" s="2" t="s">
        <v>3740</v>
      </c>
    </row>
    <row r="3325" spans="2:3">
      <c r="B3325" s="6">
        <v>45327</v>
      </c>
      <c r="C3325" s="2" t="s">
        <v>3741</v>
      </c>
    </row>
    <row r="3326" spans="2:3">
      <c r="B3326" s="6">
        <v>45328</v>
      </c>
      <c r="C3326" s="2" t="s">
        <v>3742</v>
      </c>
    </row>
    <row r="3327" spans="2:3">
      <c r="B3327" s="6">
        <v>45329</v>
      </c>
      <c r="C3327" s="2" t="s">
        <v>3743</v>
      </c>
    </row>
    <row r="3328" spans="2:3">
      <c r="B3328" s="6">
        <v>45330</v>
      </c>
      <c r="C3328" s="2" t="s">
        <v>3744</v>
      </c>
    </row>
    <row r="3329" spans="2:3">
      <c r="B3329" s="6">
        <v>45331</v>
      </c>
      <c r="C3329" s="2" t="s">
        <v>752</v>
      </c>
    </row>
    <row r="3330" spans="2:3">
      <c r="B3330" s="6">
        <v>45332</v>
      </c>
      <c r="C3330" s="2" t="s">
        <v>753</v>
      </c>
    </row>
    <row r="3331" spans="2:3">
      <c r="B3331" s="6">
        <v>45333</v>
      </c>
      <c r="C3331" s="2" t="s">
        <v>3745</v>
      </c>
    </row>
    <row r="3332" spans="2:3">
      <c r="B3332" s="6">
        <v>45334</v>
      </c>
      <c r="C3332" s="2" t="s">
        <v>754</v>
      </c>
    </row>
    <row r="3333" spans="2:3">
      <c r="B3333" s="6">
        <v>45335</v>
      </c>
      <c r="C3333" s="2" t="s">
        <v>3746</v>
      </c>
    </row>
    <row r="3334" spans="2:3">
      <c r="B3334" s="6">
        <v>45336</v>
      </c>
      <c r="C3334" s="2" t="s">
        <v>3747</v>
      </c>
    </row>
    <row r="3335" spans="2:3">
      <c r="B3335" s="6">
        <v>45337</v>
      </c>
      <c r="C3335" s="2" t="s">
        <v>755</v>
      </c>
    </row>
    <row r="3336" spans="2:3">
      <c r="B3336" s="6">
        <v>45338</v>
      </c>
      <c r="C3336" s="2" t="s">
        <v>3748</v>
      </c>
    </row>
    <row r="3337" spans="2:3">
      <c r="B3337" s="6">
        <v>45339</v>
      </c>
      <c r="C3337" s="2" t="s">
        <v>3749</v>
      </c>
    </row>
    <row r="3338" spans="2:3">
      <c r="B3338" s="6">
        <v>45340</v>
      </c>
      <c r="C3338" s="2" t="s">
        <v>3750</v>
      </c>
    </row>
    <row r="3339" spans="2:3">
      <c r="B3339" s="6">
        <v>45341</v>
      </c>
      <c r="C3339" s="2" t="s">
        <v>3751</v>
      </c>
    </row>
    <row r="3340" spans="2:3">
      <c r="B3340" s="6">
        <v>45342</v>
      </c>
      <c r="C3340" s="2" t="s">
        <v>3752</v>
      </c>
    </row>
    <row r="3341" spans="2:3">
      <c r="B3341" s="6">
        <v>45343</v>
      </c>
      <c r="C3341" s="2" t="s">
        <v>3753</v>
      </c>
    </row>
    <row r="3342" spans="2:3">
      <c r="B3342" s="6">
        <v>45344</v>
      </c>
      <c r="C3342" s="2" t="s">
        <v>3754</v>
      </c>
    </row>
    <row r="3343" spans="2:3">
      <c r="B3343" s="6">
        <v>45345</v>
      </c>
      <c r="C3343" s="2" t="s">
        <v>3755</v>
      </c>
    </row>
    <row r="3344" spans="2:3">
      <c r="B3344" s="6">
        <v>45346</v>
      </c>
      <c r="C3344" s="2" t="s">
        <v>656</v>
      </c>
    </row>
    <row r="3345" spans="2:3">
      <c r="B3345" s="6">
        <v>45347</v>
      </c>
      <c r="C3345" s="2" t="s">
        <v>3756</v>
      </c>
    </row>
    <row r="3346" spans="2:3">
      <c r="B3346" s="6">
        <v>45348</v>
      </c>
      <c r="C3346" s="2" t="s">
        <v>657</v>
      </c>
    </row>
    <row r="3347" spans="2:3">
      <c r="B3347" s="6">
        <v>45349</v>
      </c>
      <c r="C3347" s="2" t="s">
        <v>3757</v>
      </c>
    </row>
    <row r="3348" spans="2:3">
      <c r="B3348" s="6">
        <v>45350</v>
      </c>
      <c r="C3348" s="2" t="s">
        <v>3758</v>
      </c>
    </row>
    <row r="3349" spans="2:3">
      <c r="B3349" s="6">
        <v>45351</v>
      </c>
      <c r="C3349" s="2" t="s">
        <v>658</v>
      </c>
    </row>
    <row r="3350" spans="2:3">
      <c r="B3350" s="6">
        <v>45352</v>
      </c>
      <c r="C3350" s="2" t="s">
        <v>385</v>
      </c>
    </row>
    <row r="3351" spans="2:3">
      <c r="B3351" s="6">
        <v>45353</v>
      </c>
      <c r="C3351" s="2" t="s">
        <v>3759</v>
      </c>
    </row>
    <row r="3352" spans="2:3">
      <c r="B3352" s="6">
        <v>45354</v>
      </c>
      <c r="C3352" s="2" t="s">
        <v>3760</v>
      </c>
    </row>
    <row r="3353" spans="2:3">
      <c r="B3353" s="6">
        <v>45355</v>
      </c>
      <c r="C3353" s="2" t="s">
        <v>386</v>
      </c>
    </row>
    <row r="3354" spans="2:3">
      <c r="B3354" s="6">
        <v>45356</v>
      </c>
      <c r="C3354" s="2" t="s">
        <v>387</v>
      </c>
    </row>
    <row r="3355" spans="2:3">
      <c r="B3355" s="6">
        <v>45357</v>
      </c>
      <c r="C3355" s="2" t="s">
        <v>3761</v>
      </c>
    </row>
    <row r="3356" spans="2:3">
      <c r="B3356" s="6">
        <v>45358</v>
      </c>
      <c r="C3356" s="2" t="s">
        <v>3762</v>
      </c>
    </row>
    <row r="3357" spans="2:3">
      <c r="B3357" s="6">
        <v>45359</v>
      </c>
      <c r="C3357" s="2" t="s">
        <v>3763</v>
      </c>
    </row>
    <row r="3358" spans="2:3">
      <c r="B3358" s="6">
        <v>45360</v>
      </c>
      <c r="C3358" s="2" t="s">
        <v>388</v>
      </c>
    </row>
    <row r="3359" spans="2:3">
      <c r="B3359" s="6">
        <v>45361</v>
      </c>
      <c r="C3359" s="2" t="s">
        <v>3764</v>
      </c>
    </row>
    <row r="3360" spans="2:3">
      <c r="B3360" s="6">
        <v>45362</v>
      </c>
      <c r="C3360" s="2" t="s">
        <v>3765</v>
      </c>
    </row>
    <row r="3361" spans="2:3">
      <c r="B3361" s="6">
        <v>45363</v>
      </c>
      <c r="C3361" s="2" t="s">
        <v>3766</v>
      </c>
    </row>
    <row r="3362" spans="2:3">
      <c r="B3362" s="6">
        <v>45364</v>
      </c>
      <c r="C3362" s="2" t="s">
        <v>3767</v>
      </c>
    </row>
    <row r="3363" spans="2:3">
      <c r="B3363" s="6">
        <v>45365</v>
      </c>
      <c r="C3363" s="2" t="s">
        <v>3768</v>
      </c>
    </row>
    <row r="3364" spans="2:3">
      <c r="B3364" s="6">
        <v>45366</v>
      </c>
      <c r="C3364" s="2" t="s">
        <v>3769</v>
      </c>
    </row>
    <row r="3365" spans="2:3">
      <c r="B3365" s="6">
        <v>45367</v>
      </c>
      <c r="C3365" s="2" t="s">
        <v>3770</v>
      </c>
    </row>
    <row r="3366" spans="2:3">
      <c r="B3366" s="6">
        <v>45368</v>
      </c>
      <c r="C3366" s="2" t="s">
        <v>3771</v>
      </c>
    </row>
    <row r="3367" spans="2:3">
      <c r="B3367" s="6">
        <v>45369</v>
      </c>
      <c r="C3367" s="2" t="s">
        <v>3772</v>
      </c>
    </row>
    <row r="3368" spans="2:3">
      <c r="B3368" s="6">
        <v>45370</v>
      </c>
      <c r="C3368" s="2" t="s">
        <v>3773</v>
      </c>
    </row>
    <row r="3369" spans="2:3">
      <c r="B3369" s="6">
        <v>45371</v>
      </c>
      <c r="C3369" s="2" t="s">
        <v>3774</v>
      </c>
    </row>
    <row r="3370" spans="2:3">
      <c r="B3370" s="6">
        <v>45372</v>
      </c>
      <c r="C3370" s="2" t="s">
        <v>3775</v>
      </c>
    </row>
    <row r="3371" spans="2:3">
      <c r="B3371" s="6">
        <v>45373</v>
      </c>
      <c r="C3371" s="2" t="s">
        <v>3776</v>
      </c>
    </row>
    <row r="3372" spans="2:3">
      <c r="B3372" s="6">
        <v>45374</v>
      </c>
      <c r="C3372" s="2" t="s">
        <v>3777</v>
      </c>
    </row>
    <row r="3373" spans="2:3">
      <c r="B3373" s="6">
        <v>45375</v>
      </c>
      <c r="C3373" s="2" t="s">
        <v>3778</v>
      </c>
    </row>
    <row r="3374" spans="2:3">
      <c r="B3374" s="6">
        <v>45376</v>
      </c>
      <c r="C3374" s="2" t="s">
        <v>3779</v>
      </c>
    </row>
    <row r="3375" spans="2:3">
      <c r="B3375" s="6">
        <v>45377</v>
      </c>
      <c r="C3375" s="2" t="s">
        <v>3780</v>
      </c>
    </row>
    <row r="3376" spans="2:3">
      <c r="B3376" s="6">
        <v>45378</v>
      </c>
      <c r="C3376" s="2" t="s">
        <v>759</v>
      </c>
    </row>
    <row r="3377" spans="2:3">
      <c r="B3377" s="6">
        <v>45379</v>
      </c>
      <c r="C3377" s="2" t="s">
        <v>3781</v>
      </c>
    </row>
    <row r="3378" spans="2:3">
      <c r="B3378" s="6">
        <v>45380</v>
      </c>
      <c r="C3378" s="2" t="s">
        <v>3782</v>
      </c>
    </row>
    <row r="3379" spans="2:3">
      <c r="B3379" s="6">
        <v>45381</v>
      </c>
      <c r="C3379" s="2" t="s">
        <v>3783</v>
      </c>
    </row>
    <row r="3380" spans="2:3">
      <c r="B3380" s="6">
        <v>45382</v>
      </c>
      <c r="C3380" s="2" t="s">
        <v>760</v>
      </c>
    </row>
    <row r="3381" spans="2:3">
      <c r="B3381" s="6">
        <v>45383</v>
      </c>
      <c r="C3381" s="2" t="s">
        <v>761</v>
      </c>
    </row>
    <row r="3382" spans="2:3">
      <c r="B3382" s="6">
        <v>45384</v>
      </c>
      <c r="C3382" s="2" t="s">
        <v>3784</v>
      </c>
    </row>
    <row r="3383" spans="2:3">
      <c r="B3383" s="6">
        <v>45385</v>
      </c>
      <c r="C3383" s="2" t="s">
        <v>3785</v>
      </c>
    </row>
    <row r="3384" spans="2:3">
      <c r="B3384" s="6">
        <v>45386</v>
      </c>
      <c r="C3384" s="2" t="s">
        <v>3786</v>
      </c>
    </row>
    <row r="3385" spans="2:3">
      <c r="B3385" s="6">
        <v>45387</v>
      </c>
      <c r="C3385" s="2" t="s">
        <v>762</v>
      </c>
    </row>
    <row r="3386" spans="2:3">
      <c r="B3386" s="6">
        <v>45388</v>
      </c>
      <c r="C3386" s="2" t="s">
        <v>3787</v>
      </c>
    </row>
    <row r="3387" spans="2:3">
      <c r="B3387" s="6">
        <v>45389</v>
      </c>
      <c r="C3387" s="2" t="s">
        <v>3788</v>
      </c>
    </row>
    <row r="3388" spans="2:3">
      <c r="B3388" s="6">
        <v>45390</v>
      </c>
      <c r="C3388" s="2" t="s">
        <v>3789</v>
      </c>
    </row>
    <row r="3389" spans="2:3">
      <c r="B3389" s="6">
        <v>45391</v>
      </c>
      <c r="C3389" s="2" t="s">
        <v>3790</v>
      </c>
    </row>
    <row r="3390" spans="2:3">
      <c r="B3390" s="6">
        <v>45392</v>
      </c>
      <c r="C3390" s="2" t="s">
        <v>3791</v>
      </c>
    </row>
    <row r="3391" spans="2:3">
      <c r="B3391" s="6">
        <v>45393</v>
      </c>
      <c r="C3391" s="2" t="s">
        <v>3792</v>
      </c>
    </row>
    <row r="3392" spans="2:3">
      <c r="B3392" s="6">
        <v>45394</v>
      </c>
      <c r="C3392" s="2" t="s">
        <v>3793</v>
      </c>
    </row>
    <row r="3393" spans="2:3">
      <c r="B3393" s="6">
        <v>45395</v>
      </c>
      <c r="C3393" s="2" t="s">
        <v>3794</v>
      </c>
    </row>
    <row r="3394" spans="2:3">
      <c r="B3394" s="6">
        <v>45396</v>
      </c>
      <c r="C3394" s="2" t="s">
        <v>3795</v>
      </c>
    </row>
    <row r="3395" spans="2:3">
      <c r="B3395" s="6">
        <v>45397</v>
      </c>
      <c r="C3395" s="2" t="s">
        <v>3796</v>
      </c>
    </row>
    <row r="3396" spans="2:3">
      <c r="B3396" s="6">
        <v>45398</v>
      </c>
      <c r="C3396" s="2" t="s">
        <v>3797</v>
      </c>
    </row>
    <row r="3397" spans="2:3">
      <c r="B3397" s="6">
        <v>45399</v>
      </c>
      <c r="C3397" s="2" t="s">
        <v>3798</v>
      </c>
    </row>
    <row r="3398" spans="2:3">
      <c r="B3398" s="6">
        <v>45400</v>
      </c>
      <c r="C3398" s="2" t="s">
        <v>3799</v>
      </c>
    </row>
    <row r="3399" spans="2:3">
      <c r="B3399" s="6">
        <v>45401</v>
      </c>
      <c r="C3399" s="2" t="s">
        <v>3800</v>
      </c>
    </row>
    <row r="3400" spans="2:3">
      <c r="B3400" s="6">
        <v>45402</v>
      </c>
      <c r="C3400" s="2" t="s">
        <v>3801</v>
      </c>
    </row>
    <row r="3401" spans="2:3">
      <c r="B3401" s="6">
        <v>45403</v>
      </c>
      <c r="C3401" s="2" t="s">
        <v>3802</v>
      </c>
    </row>
    <row r="3402" spans="2:3">
      <c r="B3402" s="6">
        <v>45404</v>
      </c>
      <c r="C3402" s="2" t="s">
        <v>3803</v>
      </c>
    </row>
    <row r="3403" spans="2:3">
      <c r="B3403" s="6">
        <v>45405</v>
      </c>
      <c r="C3403" s="2" t="s">
        <v>3804</v>
      </c>
    </row>
    <row r="3404" spans="2:3">
      <c r="B3404" s="6">
        <v>45406</v>
      </c>
      <c r="C3404" s="2" t="s">
        <v>3805</v>
      </c>
    </row>
    <row r="3405" spans="2:3">
      <c r="B3405" s="6">
        <v>45407</v>
      </c>
      <c r="C3405" s="2" t="s">
        <v>3806</v>
      </c>
    </row>
    <row r="3406" spans="2:3">
      <c r="B3406" s="6">
        <v>45408</v>
      </c>
      <c r="C3406" s="2" t="s">
        <v>3807</v>
      </c>
    </row>
    <row r="3407" spans="2:3">
      <c r="B3407" s="6">
        <v>45409</v>
      </c>
      <c r="C3407" s="2" t="s">
        <v>3808</v>
      </c>
    </row>
    <row r="3408" spans="2:3">
      <c r="B3408" s="6">
        <v>45410</v>
      </c>
      <c r="C3408" s="2" t="s">
        <v>3809</v>
      </c>
    </row>
    <row r="3409" spans="2:3">
      <c r="B3409" s="6">
        <v>45411</v>
      </c>
      <c r="C3409" s="2" t="s">
        <v>3810</v>
      </c>
    </row>
    <row r="3410" spans="2:3">
      <c r="B3410" s="6">
        <v>45412</v>
      </c>
      <c r="C3410" s="2" t="s">
        <v>3811</v>
      </c>
    </row>
    <row r="3411" spans="2:3">
      <c r="B3411" s="6">
        <v>45413</v>
      </c>
      <c r="C3411" s="2" t="s">
        <v>3812</v>
      </c>
    </row>
    <row r="3412" spans="2:3">
      <c r="B3412" s="6">
        <v>45414</v>
      </c>
      <c r="C3412" s="2" t="s">
        <v>3813</v>
      </c>
    </row>
    <row r="3413" spans="2:3">
      <c r="B3413" s="6">
        <v>45415</v>
      </c>
      <c r="C3413" s="2" t="s">
        <v>3814</v>
      </c>
    </row>
    <row r="3414" spans="2:3">
      <c r="B3414" s="6">
        <v>45416</v>
      </c>
      <c r="C3414" s="2" t="s">
        <v>3815</v>
      </c>
    </row>
    <row r="3415" spans="2:3">
      <c r="B3415" s="6">
        <v>45417</v>
      </c>
      <c r="C3415" s="2" t="s">
        <v>3816</v>
      </c>
    </row>
    <row r="3416" spans="2:3">
      <c r="B3416" s="6">
        <v>45418</v>
      </c>
      <c r="C3416" s="2" t="s">
        <v>3817</v>
      </c>
    </row>
    <row r="3417" spans="2:3">
      <c r="B3417" s="6">
        <v>45419</v>
      </c>
      <c r="C3417" s="2" t="s">
        <v>3818</v>
      </c>
    </row>
    <row r="3418" spans="2:3">
      <c r="B3418" s="6">
        <v>45420</v>
      </c>
      <c r="C3418" s="2" t="s">
        <v>3819</v>
      </c>
    </row>
    <row r="3419" spans="2:3">
      <c r="B3419" s="6">
        <v>45421</v>
      </c>
      <c r="C3419" s="2" t="s">
        <v>3820</v>
      </c>
    </row>
    <row r="3420" spans="2:3">
      <c r="B3420" s="6">
        <v>45422</v>
      </c>
      <c r="C3420" s="2" t="s">
        <v>3821</v>
      </c>
    </row>
    <row r="3421" spans="2:3">
      <c r="B3421" s="6">
        <v>45423</v>
      </c>
      <c r="C3421" s="2" t="s">
        <v>3822</v>
      </c>
    </row>
    <row r="3422" spans="2:3">
      <c r="B3422" s="6">
        <v>45424</v>
      </c>
      <c r="C3422" s="2" t="s">
        <v>3823</v>
      </c>
    </row>
    <row r="3423" spans="2:3">
      <c r="B3423" s="6">
        <v>45425</v>
      </c>
      <c r="C3423" s="2" t="s">
        <v>3824</v>
      </c>
    </row>
    <row r="3424" spans="2:3">
      <c r="B3424" s="6">
        <v>45426</v>
      </c>
      <c r="C3424" s="2" t="s">
        <v>3825</v>
      </c>
    </row>
    <row r="3425" spans="2:3">
      <c r="B3425" s="6">
        <v>45427</v>
      </c>
      <c r="C3425" s="2" t="s">
        <v>3826</v>
      </c>
    </row>
    <row r="3426" spans="2:3">
      <c r="B3426" s="6">
        <v>45428</v>
      </c>
      <c r="C3426" s="2" t="s">
        <v>3827</v>
      </c>
    </row>
    <row r="3427" spans="2:3">
      <c r="B3427" s="6">
        <v>45429</v>
      </c>
      <c r="C3427" s="2" t="s">
        <v>3828</v>
      </c>
    </row>
    <row r="3428" spans="2:3">
      <c r="B3428" s="6">
        <v>45430</v>
      </c>
      <c r="C3428" s="2" t="s">
        <v>3829</v>
      </c>
    </row>
    <row r="3429" spans="2:3">
      <c r="B3429" s="6">
        <v>45431</v>
      </c>
      <c r="C3429" s="2" t="s">
        <v>3830</v>
      </c>
    </row>
    <row r="3430" spans="2:3">
      <c r="B3430" s="6">
        <v>45432</v>
      </c>
      <c r="C3430" s="2" t="s">
        <v>3831</v>
      </c>
    </row>
    <row r="3431" spans="2:3">
      <c r="B3431" s="6">
        <v>45433</v>
      </c>
      <c r="C3431" s="2" t="s">
        <v>3832</v>
      </c>
    </row>
    <row r="3432" spans="2:3">
      <c r="B3432" s="6">
        <v>45434</v>
      </c>
      <c r="C3432" s="2" t="s">
        <v>3833</v>
      </c>
    </row>
    <row r="3433" spans="2:3">
      <c r="B3433" s="6">
        <v>45435</v>
      </c>
      <c r="C3433" s="2" t="s">
        <v>3834</v>
      </c>
    </row>
    <row r="3434" spans="2:3">
      <c r="B3434" s="6">
        <v>45436</v>
      </c>
      <c r="C3434" s="2" t="s">
        <v>3835</v>
      </c>
    </row>
    <row r="3435" spans="2:3">
      <c r="B3435" s="6">
        <v>45437</v>
      </c>
      <c r="C3435" s="2" t="s">
        <v>3836</v>
      </c>
    </row>
    <row r="3436" spans="2:3">
      <c r="B3436" s="6">
        <v>45438</v>
      </c>
      <c r="C3436" s="2" t="s">
        <v>3837</v>
      </c>
    </row>
    <row r="3437" spans="2:3">
      <c r="B3437" s="6">
        <v>45439</v>
      </c>
      <c r="C3437" s="2" t="s">
        <v>3838</v>
      </c>
    </row>
    <row r="3438" spans="2:3">
      <c r="B3438" s="6">
        <v>45440</v>
      </c>
      <c r="C3438" s="2" t="s">
        <v>3839</v>
      </c>
    </row>
    <row r="3439" spans="2:3">
      <c r="B3439" s="6">
        <v>45441</v>
      </c>
      <c r="C3439" s="2" t="s">
        <v>3840</v>
      </c>
    </row>
    <row r="3440" spans="2:3">
      <c r="B3440" s="6">
        <v>45442</v>
      </c>
      <c r="C3440" s="2" t="s">
        <v>3841</v>
      </c>
    </row>
    <row r="3441" spans="2:3">
      <c r="B3441" s="6">
        <v>45443</v>
      </c>
      <c r="C3441" s="2" t="s">
        <v>3842</v>
      </c>
    </row>
    <row r="3442" spans="2:3">
      <c r="B3442" s="6">
        <v>45444</v>
      </c>
      <c r="C3442" s="2" t="s">
        <v>778</v>
      </c>
    </row>
    <row r="3443" spans="2:3">
      <c r="B3443" s="6">
        <v>45445</v>
      </c>
      <c r="C3443" s="2" t="s">
        <v>775</v>
      </c>
    </row>
    <row r="3444" spans="2:3">
      <c r="B3444" s="6">
        <v>45446</v>
      </c>
      <c r="C3444" s="2" t="s">
        <v>3843</v>
      </c>
    </row>
    <row r="3445" spans="2:3">
      <c r="B3445" s="6">
        <v>45447</v>
      </c>
      <c r="C3445" s="2" t="s">
        <v>779</v>
      </c>
    </row>
    <row r="3446" spans="2:3">
      <c r="B3446" s="6">
        <v>45448</v>
      </c>
      <c r="C3446" s="2" t="s">
        <v>3844</v>
      </c>
    </row>
    <row r="3447" spans="2:3">
      <c r="B3447" s="6">
        <v>45449</v>
      </c>
      <c r="C3447" s="2" t="s">
        <v>519</v>
      </c>
    </row>
    <row r="3448" spans="2:3">
      <c r="B3448" s="6">
        <v>45450</v>
      </c>
      <c r="C3448" s="2" t="s">
        <v>3845</v>
      </c>
    </row>
    <row r="3449" spans="2:3">
      <c r="B3449" s="6">
        <v>45451</v>
      </c>
      <c r="C3449" s="2" t="s">
        <v>520</v>
      </c>
    </row>
    <row r="3450" spans="2:3">
      <c r="B3450" s="6">
        <v>45452</v>
      </c>
      <c r="C3450" s="2" t="s">
        <v>776</v>
      </c>
    </row>
    <row r="3451" spans="2:3">
      <c r="B3451" s="6">
        <v>45453</v>
      </c>
      <c r="C3451" s="2" t="s">
        <v>3846</v>
      </c>
    </row>
    <row r="3452" spans="2:3">
      <c r="B3452" s="6">
        <v>45454</v>
      </c>
      <c r="C3452" s="2" t="s">
        <v>521</v>
      </c>
    </row>
    <row r="3453" spans="2:3">
      <c r="B3453" s="6">
        <v>45455</v>
      </c>
      <c r="C3453" s="2" t="s">
        <v>777</v>
      </c>
    </row>
    <row r="3454" spans="2:3">
      <c r="B3454" s="6">
        <v>45456</v>
      </c>
      <c r="C3454" s="2" t="s">
        <v>3847</v>
      </c>
    </row>
    <row r="3455" spans="2:3">
      <c r="B3455" s="6">
        <v>45457</v>
      </c>
      <c r="C3455" s="2" t="s">
        <v>3848</v>
      </c>
    </row>
    <row r="3456" spans="2:3">
      <c r="B3456" s="6">
        <v>45458</v>
      </c>
      <c r="C3456" s="2" t="s">
        <v>522</v>
      </c>
    </row>
    <row r="3457" spans="2:3">
      <c r="B3457" s="6">
        <v>45459</v>
      </c>
      <c r="C3457" s="2" t="s">
        <v>3849</v>
      </c>
    </row>
    <row r="3458" spans="2:3">
      <c r="B3458" s="6">
        <v>45460</v>
      </c>
      <c r="C3458" s="2" t="s">
        <v>3850</v>
      </c>
    </row>
    <row r="3459" spans="2:3">
      <c r="B3459" s="6">
        <v>45461</v>
      </c>
      <c r="C3459" s="2" t="s">
        <v>3851</v>
      </c>
    </row>
    <row r="3460" spans="2:3">
      <c r="B3460" s="6">
        <v>45462</v>
      </c>
      <c r="C3460" s="2" t="s">
        <v>3852</v>
      </c>
    </row>
    <row r="3461" spans="2:3">
      <c r="B3461" s="6">
        <v>45463</v>
      </c>
      <c r="C3461" s="2" t="s">
        <v>3853</v>
      </c>
    </row>
    <row r="3462" spans="2:3">
      <c r="B3462" s="6">
        <v>45464</v>
      </c>
      <c r="C3462" s="2" t="s">
        <v>3854</v>
      </c>
    </row>
    <row r="3463" spans="2:3">
      <c r="B3463" s="6">
        <v>45465</v>
      </c>
      <c r="C3463" s="2" t="s">
        <v>3855</v>
      </c>
    </row>
    <row r="3464" spans="2:3">
      <c r="B3464" s="6">
        <v>45466</v>
      </c>
      <c r="C3464" s="2" t="s">
        <v>3856</v>
      </c>
    </row>
    <row r="3465" spans="2:3">
      <c r="B3465" s="6">
        <v>45467</v>
      </c>
      <c r="C3465" s="2" t="s">
        <v>3857</v>
      </c>
    </row>
    <row r="3466" spans="2:3">
      <c r="B3466" s="6">
        <v>45468</v>
      </c>
      <c r="C3466" s="2" t="s">
        <v>3858</v>
      </c>
    </row>
    <row r="3467" spans="2:3">
      <c r="B3467" s="6">
        <v>45469</v>
      </c>
      <c r="C3467" s="2" t="s">
        <v>3859</v>
      </c>
    </row>
    <row r="3468" spans="2:3">
      <c r="B3468" s="6">
        <v>45470</v>
      </c>
      <c r="C3468" s="2" t="s">
        <v>3860</v>
      </c>
    </row>
    <row r="3469" spans="2:3">
      <c r="B3469" s="6">
        <v>45471</v>
      </c>
      <c r="C3469" s="2" t="s">
        <v>3861</v>
      </c>
    </row>
    <row r="3470" spans="2:3">
      <c r="B3470" s="6">
        <v>45472</v>
      </c>
      <c r="C3470" s="2" t="s">
        <v>3862</v>
      </c>
    </row>
    <row r="3471" spans="2:3">
      <c r="B3471" s="6">
        <v>45473</v>
      </c>
      <c r="C3471" s="2" t="s">
        <v>3863</v>
      </c>
    </row>
    <row r="3472" spans="2:3">
      <c r="B3472" s="6">
        <v>45474</v>
      </c>
      <c r="C3472" s="2" t="s">
        <v>3864</v>
      </c>
    </row>
    <row r="3473" spans="2:3">
      <c r="B3473" s="6">
        <v>45475</v>
      </c>
      <c r="C3473" s="2" t="s">
        <v>3865</v>
      </c>
    </row>
    <row r="3474" spans="2:3">
      <c r="B3474" s="6">
        <v>45476</v>
      </c>
      <c r="C3474" s="2" t="s">
        <v>3866</v>
      </c>
    </row>
    <row r="3475" spans="2:3">
      <c r="B3475" s="6">
        <v>45477</v>
      </c>
      <c r="C3475" s="2" t="s">
        <v>3867</v>
      </c>
    </row>
    <row r="3476" spans="2:3">
      <c r="B3476" s="6">
        <v>45478</v>
      </c>
      <c r="C3476" s="2" t="s">
        <v>3868</v>
      </c>
    </row>
    <row r="3477" spans="2:3">
      <c r="B3477" s="6">
        <v>45479</v>
      </c>
      <c r="C3477" s="2" t="s">
        <v>3869</v>
      </c>
    </row>
    <row r="3478" spans="2:3">
      <c r="B3478" s="6">
        <v>45480</v>
      </c>
      <c r="C3478" s="2" t="s">
        <v>3870</v>
      </c>
    </row>
    <row r="3479" spans="2:3">
      <c r="B3479" s="6">
        <v>45481</v>
      </c>
      <c r="C3479" s="2" t="s">
        <v>3871</v>
      </c>
    </row>
    <row r="3480" spans="2:3">
      <c r="B3480" s="6">
        <v>45482</v>
      </c>
      <c r="C3480" s="2" t="s">
        <v>3872</v>
      </c>
    </row>
    <row r="3481" spans="2:3">
      <c r="B3481" s="6">
        <v>45483</v>
      </c>
      <c r="C3481" s="2" t="s">
        <v>3873</v>
      </c>
    </row>
    <row r="3482" spans="2:3">
      <c r="B3482" s="6">
        <v>45484</v>
      </c>
      <c r="C3482" s="2" t="s">
        <v>3874</v>
      </c>
    </row>
    <row r="3483" spans="2:3">
      <c r="B3483" s="6">
        <v>45485</v>
      </c>
      <c r="C3483" s="2" t="s">
        <v>819</v>
      </c>
    </row>
    <row r="3484" spans="2:3">
      <c r="B3484" s="6">
        <v>45486</v>
      </c>
      <c r="C3484" s="2" t="s">
        <v>3875</v>
      </c>
    </row>
    <row r="3485" spans="2:3">
      <c r="B3485" s="6">
        <v>45487</v>
      </c>
      <c r="C3485" s="2" t="s">
        <v>820</v>
      </c>
    </row>
    <row r="3486" spans="2:3">
      <c r="B3486" s="6">
        <v>45488</v>
      </c>
      <c r="C3486" s="2" t="s">
        <v>3876</v>
      </c>
    </row>
    <row r="3487" spans="2:3">
      <c r="B3487" s="6">
        <v>45489</v>
      </c>
      <c r="C3487" s="2" t="s">
        <v>3877</v>
      </c>
    </row>
    <row r="3488" spans="2:3">
      <c r="B3488" s="6">
        <v>45490</v>
      </c>
      <c r="C3488" s="2" t="s">
        <v>3878</v>
      </c>
    </row>
    <row r="3489" spans="2:3">
      <c r="B3489" s="6">
        <v>45491</v>
      </c>
      <c r="C3489" s="2" t="s">
        <v>290</v>
      </c>
    </row>
    <row r="3490" spans="2:3">
      <c r="B3490" s="6">
        <v>45492</v>
      </c>
      <c r="C3490" s="2" t="s">
        <v>3879</v>
      </c>
    </row>
    <row r="3491" spans="2:3">
      <c r="B3491" s="6">
        <v>45493</v>
      </c>
      <c r="C3491" s="2" t="s">
        <v>3880</v>
      </c>
    </row>
    <row r="3492" spans="2:3">
      <c r="B3492" s="6">
        <v>45494</v>
      </c>
      <c r="C3492" s="2" t="s">
        <v>291</v>
      </c>
    </row>
    <row r="3493" spans="2:3">
      <c r="B3493" s="6">
        <v>45495</v>
      </c>
      <c r="C3493" s="2" t="s">
        <v>821</v>
      </c>
    </row>
    <row r="3494" spans="2:3">
      <c r="B3494" s="6">
        <v>45496</v>
      </c>
      <c r="C3494" s="2" t="s">
        <v>3881</v>
      </c>
    </row>
    <row r="3495" spans="2:3">
      <c r="B3495" s="6">
        <v>45497</v>
      </c>
      <c r="C3495" s="2" t="s">
        <v>3882</v>
      </c>
    </row>
    <row r="3496" spans="2:3">
      <c r="B3496" s="6">
        <v>45498</v>
      </c>
      <c r="C3496" s="2" t="s">
        <v>292</v>
      </c>
    </row>
    <row r="3497" spans="2:3">
      <c r="B3497" s="6">
        <v>45499</v>
      </c>
      <c r="C3497" s="2" t="s">
        <v>3883</v>
      </c>
    </row>
    <row r="3498" spans="2:3">
      <c r="B3498" s="6">
        <v>45500</v>
      </c>
      <c r="C3498" s="2" t="s">
        <v>3884</v>
      </c>
    </row>
    <row r="3499" spans="2:3">
      <c r="B3499" s="6">
        <v>45501</v>
      </c>
      <c r="C3499" s="2" t="s">
        <v>3885</v>
      </c>
    </row>
    <row r="3500" spans="2:3">
      <c r="B3500" s="6">
        <v>45502</v>
      </c>
      <c r="C3500" s="2" t="s">
        <v>293</v>
      </c>
    </row>
    <row r="3501" spans="2:3">
      <c r="B3501" s="6">
        <v>45503</v>
      </c>
      <c r="C3501" s="2" t="s">
        <v>3886</v>
      </c>
    </row>
    <row r="3502" spans="2:3">
      <c r="B3502" s="6">
        <v>45504</v>
      </c>
      <c r="C3502" s="2" t="s">
        <v>3887</v>
      </c>
    </row>
    <row r="3503" spans="2:3">
      <c r="B3503" s="6">
        <v>45505</v>
      </c>
      <c r="C3503" s="2" t="s">
        <v>3888</v>
      </c>
    </row>
    <row r="3504" spans="2:3">
      <c r="B3504" s="6">
        <v>45506</v>
      </c>
      <c r="C3504" s="2" t="s">
        <v>3889</v>
      </c>
    </row>
    <row r="3505" spans="2:3">
      <c r="B3505" s="6">
        <v>45507</v>
      </c>
      <c r="C3505" s="2" t="s">
        <v>669</v>
      </c>
    </row>
    <row r="3506" spans="2:3">
      <c r="B3506" s="6">
        <v>45508</v>
      </c>
      <c r="C3506" s="2" t="s">
        <v>3890</v>
      </c>
    </row>
    <row r="3507" spans="2:3">
      <c r="B3507" s="6">
        <v>45509</v>
      </c>
      <c r="C3507" s="2" t="s">
        <v>670</v>
      </c>
    </row>
    <row r="3508" spans="2:3">
      <c r="B3508" s="6">
        <v>45510</v>
      </c>
      <c r="C3508" s="2" t="s">
        <v>3891</v>
      </c>
    </row>
    <row r="3509" spans="2:3">
      <c r="B3509" s="6">
        <v>45511</v>
      </c>
      <c r="C3509" s="2" t="s">
        <v>671</v>
      </c>
    </row>
    <row r="3510" spans="2:3">
      <c r="B3510" s="6">
        <v>45512</v>
      </c>
      <c r="C3510" s="2" t="s">
        <v>3892</v>
      </c>
    </row>
    <row r="3511" spans="2:3">
      <c r="B3511" s="6">
        <v>45513</v>
      </c>
      <c r="C3511" s="2" t="s">
        <v>3893</v>
      </c>
    </row>
    <row r="3512" spans="2:3">
      <c r="B3512" s="6">
        <v>45514</v>
      </c>
      <c r="C3512" s="2" t="s">
        <v>3894</v>
      </c>
    </row>
    <row r="3513" spans="2:3">
      <c r="B3513" s="6">
        <v>45515</v>
      </c>
      <c r="C3513" s="2" t="s">
        <v>672</v>
      </c>
    </row>
    <row r="3514" spans="2:3">
      <c r="B3514" s="6">
        <v>45516</v>
      </c>
      <c r="C3514" s="2" t="s">
        <v>3895</v>
      </c>
    </row>
    <row r="3515" spans="2:3">
      <c r="B3515" s="6">
        <v>45517</v>
      </c>
      <c r="C3515" s="2" t="s">
        <v>3896</v>
      </c>
    </row>
    <row r="3516" spans="2:3">
      <c r="B3516" s="6">
        <v>45518</v>
      </c>
      <c r="C3516" s="2" t="s">
        <v>3897</v>
      </c>
    </row>
    <row r="3517" spans="2:3">
      <c r="B3517" s="6">
        <v>45519</v>
      </c>
      <c r="C3517" s="2" t="s">
        <v>3898</v>
      </c>
    </row>
    <row r="3518" spans="2:3">
      <c r="B3518" s="6">
        <v>45520</v>
      </c>
      <c r="C3518" s="2" t="s">
        <v>3899</v>
      </c>
    </row>
    <row r="3519" spans="2:3">
      <c r="B3519" s="6">
        <v>45521</v>
      </c>
      <c r="C3519" s="2" t="s">
        <v>3900</v>
      </c>
    </row>
    <row r="3520" spans="2:3">
      <c r="B3520" s="6">
        <v>45522</v>
      </c>
      <c r="C3520" s="2" t="s">
        <v>3901</v>
      </c>
    </row>
    <row r="3521" spans="2:3">
      <c r="B3521" s="6">
        <v>45523</v>
      </c>
      <c r="C3521" s="2" t="s">
        <v>3902</v>
      </c>
    </row>
    <row r="3522" spans="2:3">
      <c r="B3522" s="6">
        <v>45524</v>
      </c>
      <c r="C3522" s="2" t="s">
        <v>3903</v>
      </c>
    </row>
    <row r="3523" spans="2:3">
      <c r="B3523" s="6">
        <v>45525</v>
      </c>
      <c r="C3523" s="2" t="s">
        <v>3904</v>
      </c>
    </row>
    <row r="3524" spans="2:3">
      <c r="B3524" s="6">
        <v>45526</v>
      </c>
      <c r="C3524" s="2" t="s">
        <v>3905</v>
      </c>
    </row>
    <row r="3525" spans="2:3">
      <c r="B3525" s="6">
        <v>45527</v>
      </c>
      <c r="C3525" s="2" t="s">
        <v>3906</v>
      </c>
    </row>
    <row r="3526" spans="2:3">
      <c r="B3526" s="6">
        <v>45528</v>
      </c>
      <c r="C3526" s="2" t="s">
        <v>3907</v>
      </c>
    </row>
    <row r="3527" spans="2:3">
      <c r="B3527" s="6">
        <v>45529</v>
      </c>
      <c r="C3527" s="2" t="s">
        <v>3908</v>
      </c>
    </row>
    <row r="3528" spans="2:3">
      <c r="B3528" s="6">
        <v>45530</v>
      </c>
      <c r="C3528" s="2" t="s">
        <v>3909</v>
      </c>
    </row>
    <row r="3529" spans="2:3">
      <c r="B3529" s="6">
        <v>45531</v>
      </c>
      <c r="C3529" s="2" t="s">
        <v>3910</v>
      </c>
    </row>
    <row r="3530" spans="2:3">
      <c r="B3530" s="6">
        <v>45532</v>
      </c>
      <c r="C3530" s="2" t="s">
        <v>3911</v>
      </c>
    </row>
    <row r="3531" spans="2:3">
      <c r="B3531" s="6">
        <v>45533</v>
      </c>
      <c r="C3531" s="2" t="s">
        <v>3912</v>
      </c>
    </row>
    <row r="3532" spans="2:3">
      <c r="B3532" s="6">
        <v>45534</v>
      </c>
      <c r="C3532" s="2" t="s">
        <v>3913</v>
      </c>
    </row>
    <row r="3533" spans="2:3">
      <c r="B3533" s="6">
        <v>45535</v>
      </c>
      <c r="C3533" s="2" t="s">
        <v>3914</v>
      </c>
    </row>
    <row r="3534" spans="2:3">
      <c r="B3534" s="6">
        <v>45536</v>
      </c>
      <c r="C3534" s="2" t="s">
        <v>3915</v>
      </c>
    </row>
    <row r="3535" spans="2:3">
      <c r="B3535" s="6">
        <v>45537</v>
      </c>
      <c r="C3535" s="2" t="s">
        <v>3916</v>
      </c>
    </row>
    <row r="3536" spans="2:3">
      <c r="B3536" s="6">
        <v>45538</v>
      </c>
      <c r="C3536" s="2" t="s">
        <v>3917</v>
      </c>
    </row>
    <row r="3537" spans="2:3">
      <c r="B3537" s="6">
        <v>45539</v>
      </c>
      <c r="C3537" s="2" t="s">
        <v>3918</v>
      </c>
    </row>
    <row r="3538" spans="2:3">
      <c r="B3538" s="6">
        <v>45540</v>
      </c>
      <c r="C3538" s="2" t="s">
        <v>3919</v>
      </c>
    </row>
    <row r="3539" spans="2:3">
      <c r="B3539" s="6">
        <v>45541</v>
      </c>
      <c r="C3539" s="2" t="s">
        <v>3920</v>
      </c>
    </row>
    <row r="3540" spans="2:3">
      <c r="B3540" s="6">
        <v>45542</v>
      </c>
      <c r="C3540" s="2" t="s">
        <v>3921</v>
      </c>
    </row>
    <row r="3541" spans="2:3">
      <c r="B3541" s="6">
        <v>45543</v>
      </c>
      <c r="C3541" s="2" t="s">
        <v>3922</v>
      </c>
    </row>
    <row r="3542" spans="2:3">
      <c r="B3542" s="6">
        <v>45544</v>
      </c>
      <c r="C3542" s="2" t="s">
        <v>3923</v>
      </c>
    </row>
    <row r="3543" spans="2:3">
      <c r="B3543" s="6">
        <v>45545</v>
      </c>
      <c r="C3543" s="2" t="s">
        <v>3924</v>
      </c>
    </row>
    <row r="3544" spans="2:3">
      <c r="B3544" s="6">
        <v>45546</v>
      </c>
      <c r="C3544" s="2" t="s">
        <v>3925</v>
      </c>
    </row>
    <row r="3545" spans="2:3">
      <c r="B3545" s="6">
        <v>45547</v>
      </c>
      <c r="C3545" s="2" t="s">
        <v>3926</v>
      </c>
    </row>
    <row r="3546" spans="2:3">
      <c r="B3546" s="6">
        <v>45548</v>
      </c>
      <c r="C3546" s="2" t="s">
        <v>3927</v>
      </c>
    </row>
    <row r="3547" spans="2:3">
      <c r="B3547" s="6">
        <v>45549</v>
      </c>
      <c r="C3547" s="2" t="s">
        <v>796</v>
      </c>
    </row>
    <row r="3548" spans="2:3">
      <c r="B3548" s="6">
        <v>45550</v>
      </c>
      <c r="C3548" s="2" t="s">
        <v>3928</v>
      </c>
    </row>
    <row r="3549" spans="2:3">
      <c r="B3549" s="6">
        <v>45551</v>
      </c>
      <c r="C3549" s="2" t="s">
        <v>3929</v>
      </c>
    </row>
    <row r="3550" spans="2:3">
      <c r="B3550" s="6">
        <v>45552</v>
      </c>
      <c r="C3550" s="2" t="s">
        <v>797</v>
      </c>
    </row>
    <row r="3551" spans="2:3">
      <c r="B3551" s="6">
        <v>45553</v>
      </c>
      <c r="C3551" s="2" t="s">
        <v>798</v>
      </c>
    </row>
    <row r="3552" spans="2:3">
      <c r="B3552" s="6">
        <v>45554</v>
      </c>
      <c r="C3552" s="2" t="s">
        <v>799</v>
      </c>
    </row>
    <row r="3553" spans="2:3">
      <c r="B3553" s="6">
        <v>45555</v>
      </c>
      <c r="C3553" s="2" t="s">
        <v>3930</v>
      </c>
    </row>
    <row r="3554" spans="2:3">
      <c r="B3554" s="6">
        <v>45556</v>
      </c>
      <c r="C3554" s="2" t="s">
        <v>3931</v>
      </c>
    </row>
    <row r="3555" spans="2:3">
      <c r="B3555" s="6">
        <v>45557</v>
      </c>
      <c r="C3555" s="2" t="s">
        <v>3932</v>
      </c>
    </row>
    <row r="3556" spans="2:3">
      <c r="B3556" s="6">
        <v>45558</v>
      </c>
      <c r="C3556" s="2" t="s">
        <v>3933</v>
      </c>
    </row>
    <row r="3557" spans="2:3">
      <c r="B3557" s="6">
        <v>45559</v>
      </c>
      <c r="C3557" s="2" t="s">
        <v>3934</v>
      </c>
    </row>
    <row r="3558" spans="2:3">
      <c r="B3558" s="6">
        <v>45560</v>
      </c>
      <c r="C3558" s="2" t="s">
        <v>3935</v>
      </c>
    </row>
    <row r="3559" spans="2:3">
      <c r="B3559" s="6">
        <v>45561</v>
      </c>
      <c r="C3559" s="2" t="s">
        <v>3936</v>
      </c>
    </row>
    <row r="3560" spans="2:3">
      <c r="B3560" s="6">
        <v>45562</v>
      </c>
      <c r="C3560" s="2" t="s">
        <v>3937</v>
      </c>
    </row>
    <row r="3561" spans="2:3">
      <c r="B3561" s="6">
        <v>45563</v>
      </c>
      <c r="C3561" s="2" t="s">
        <v>3938</v>
      </c>
    </row>
    <row r="3562" spans="2:3">
      <c r="B3562" s="6">
        <v>45564</v>
      </c>
      <c r="C3562" s="2" t="s">
        <v>3939</v>
      </c>
    </row>
    <row r="3563" spans="2:3">
      <c r="B3563" s="6">
        <v>45565</v>
      </c>
      <c r="C3563" s="2" t="s">
        <v>3940</v>
      </c>
    </row>
    <row r="3564" spans="2:3">
      <c r="B3564" s="6">
        <v>45566</v>
      </c>
      <c r="C3564" s="2" t="s">
        <v>3941</v>
      </c>
    </row>
    <row r="3565" spans="2:3">
      <c r="B3565" s="6">
        <v>45567</v>
      </c>
      <c r="C3565" s="2" t="s">
        <v>3942</v>
      </c>
    </row>
    <row r="3566" spans="2:3">
      <c r="B3566" s="6">
        <v>45568</v>
      </c>
      <c r="C3566" s="2" t="s">
        <v>3943</v>
      </c>
    </row>
    <row r="3567" spans="2:3">
      <c r="B3567" s="6">
        <v>45569</v>
      </c>
      <c r="C3567" s="2" t="s">
        <v>3944</v>
      </c>
    </row>
    <row r="3568" spans="2:3">
      <c r="B3568" s="6">
        <v>45570</v>
      </c>
      <c r="C3568" s="2" t="s">
        <v>3945</v>
      </c>
    </row>
    <row r="3569" spans="2:3">
      <c r="B3569" s="6">
        <v>45571</v>
      </c>
      <c r="C3569" s="2" t="s">
        <v>3946</v>
      </c>
    </row>
    <row r="3570" spans="2:3">
      <c r="B3570" s="6">
        <v>45572</v>
      </c>
      <c r="C3570" s="2" t="s">
        <v>3947</v>
      </c>
    </row>
    <row r="3571" spans="2:3">
      <c r="B3571" s="6">
        <v>45573</v>
      </c>
      <c r="C3571" s="2" t="s">
        <v>3948</v>
      </c>
    </row>
    <row r="3572" spans="2:3">
      <c r="B3572" s="6">
        <v>45574</v>
      </c>
      <c r="C3572" s="2" t="s">
        <v>3949</v>
      </c>
    </row>
    <row r="3573" spans="2:3">
      <c r="B3573" s="6">
        <v>45575</v>
      </c>
      <c r="C3573" s="2" t="s">
        <v>3950</v>
      </c>
    </row>
    <row r="3574" spans="2:3">
      <c r="B3574" s="6">
        <v>45576</v>
      </c>
      <c r="C3574" s="2" t="s">
        <v>3951</v>
      </c>
    </row>
    <row r="3575" spans="2:3">
      <c r="B3575" s="6">
        <v>45577</v>
      </c>
      <c r="C3575" s="2" t="s">
        <v>3952</v>
      </c>
    </row>
    <row r="3576" spans="2:3">
      <c r="B3576" s="6">
        <v>45578</v>
      </c>
      <c r="C3576" s="2" t="s">
        <v>3953</v>
      </c>
    </row>
    <row r="3577" spans="2:3">
      <c r="B3577" s="6">
        <v>45579</v>
      </c>
      <c r="C3577" s="2" t="s">
        <v>3954</v>
      </c>
    </row>
    <row r="3578" spans="2:3">
      <c r="B3578" s="6">
        <v>45580</v>
      </c>
      <c r="C3578" s="2" t="s">
        <v>3955</v>
      </c>
    </row>
    <row r="3579" spans="2:3">
      <c r="B3579" s="6">
        <v>45581</v>
      </c>
      <c r="C3579" s="2" t="s">
        <v>3956</v>
      </c>
    </row>
    <row r="3580" spans="2:3">
      <c r="B3580" s="6">
        <v>45582</v>
      </c>
      <c r="C3580" s="2" t="s">
        <v>3957</v>
      </c>
    </row>
    <row r="3581" spans="2:3">
      <c r="B3581" s="6">
        <v>45583</v>
      </c>
      <c r="C3581" s="2" t="s">
        <v>3958</v>
      </c>
    </row>
    <row r="3582" spans="2:3">
      <c r="B3582" s="6">
        <v>45584</v>
      </c>
      <c r="C3582" s="2" t="s">
        <v>3959</v>
      </c>
    </row>
    <row r="3583" spans="2:3">
      <c r="B3583" s="6">
        <v>45585</v>
      </c>
      <c r="C3583" s="2" t="s">
        <v>3960</v>
      </c>
    </row>
    <row r="3584" spans="2:3">
      <c r="B3584" s="6">
        <v>45586</v>
      </c>
      <c r="C3584" s="2" t="s">
        <v>3961</v>
      </c>
    </row>
    <row r="3585" spans="2:3">
      <c r="B3585" s="6">
        <v>45587</v>
      </c>
      <c r="C3585" s="2" t="s">
        <v>3962</v>
      </c>
    </row>
    <row r="3586" spans="2:3">
      <c r="B3586" s="6">
        <v>45588</v>
      </c>
      <c r="C3586" s="2" t="s">
        <v>3963</v>
      </c>
    </row>
    <row r="3587" spans="2:3">
      <c r="B3587" s="6">
        <v>45589</v>
      </c>
      <c r="C3587" s="2" t="s">
        <v>3964</v>
      </c>
    </row>
    <row r="3588" spans="2:3">
      <c r="B3588" s="6">
        <v>45590</v>
      </c>
      <c r="C3588" s="2" t="s">
        <v>3965</v>
      </c>
    </row>
    <row r="3589" spans="2:3">
      <c r="B3589" s="6">
        <v>45591</v>
      </c>
      <c r="C3589" s="2" t="s">
        <v>3966</v>
      </c>
    </row>
    <row r="3590" spans="2:3">
      <c r="B3590" s="6">
        <v>45592</v>
      </c>
      <c r="C3590" s="2" t="s">
        <v>3967</v>
      </c>
    </row>
    <row r="3591" spans="2:3">
      <c r="B3591" s="6">
        <v>45593</v>
      </c>
      <c r="C3591" s="2" t="s">
        <v>3968</v>
      </c>
    </row>
    <row r="3592" spans="2:3">
      <c r="B3592" s="6">
        <v>45594</v>
      </c>
      <c r="C3592" s="2" t="s">
        <v>3969</v>
      </c>
    </row>
    <row r="3593" spans="2:3">
      <c r="B3593" s="6">
        <v>45595</v>
      </c>
      <c r="C3593" s="2" t="s">
        <v>3970</v>
      </c>
    </row>
    <row r="3594" spans="2:3">
      <c r="B3594" s="6">
        <v>45596</v>
      </c>
      <c r="C3594" s="2" t="s">
        <v>3971</v>
      </c>
    </row>
    <row r="3595" spans="2:3">
      <c r="B3595" s="6">
        <v>45597</v>
      </c>
      <c r="C3595" s="2" t="s">
        <v>3972</v>
      </c>
    </row>
    <row r="3596" spans="2:3">
      <c r="B3596" s="6">
        <v>45598</v>
      </c>
      <c r="C3596" s="2" t="s">
        <v>3973</v>
      </c>
    </row>
    <row r="3597" spans="2:3">
      <c r="B3597" s="6">
        <v>45599</v>
      </c>
      <c r="C3597" s="2" t="s">
        <v>3974</v>
      </c>
    </row>
    <row r="3598" spans="2:3">
      <c r="B3598" s="6">
        <v>45600</v>
      </c>
      <c r="C3598" s="2" t="s">
        <v>3975</v>
      </c>
    </row>
    <row r="3599" spans="2:3">
      <c r="B3599" s="6">
        <v>45601</v>
      </c>
      <c r="C3599" s="2" t="s">
        <v>3976</v>
      </c>
    </row>
    <row r="3600" spans="2:3">
      <c r="B3600" s="6">
        <v>45602</v>
      </c>
      <c r="C3600" s="2" t="s">
        <v>3977</v>
      </c>
    </row>
    <row r="3601" spans="2:3">
      <c r="B3601" s="6">
        <v>45603</v>
      </c>
      <c r="C3601" s="2" t="s">
        <v>3978</v>
      </c>
    </row>
    <row r="3602" spans="2:3">
      <c r="B3602" s="6">
        <v>45604</v>
      </c>
      <c r="C3602" s="2" t="s">
        <v>3979</v>
      </c>
    </row>
    <row r="3603" spans="2:3">
      <c r="B3603" s="6">
        <v>45605</v>
      </c>
      <c r="C3603" s="2" t="s">
        <v>3980</v>
      </c>
    </row>
    <row r="3604" spans="2:3">
      <c r="B3604" s="6">
        <v>45606</v>
      </c>
      <c r="C3604" s="2" t="s">
        <v>3981</v>
      </c>
    </row>
    <row r="3605" spans="2:3">
      <c r="B3605" s="6">
        <v>45607</v>
      </c>
      <c r="C3605" s="2" t="s">
        <v>3982</v>
      </c>
    </row>
    <row r="3606" spans="2:3">
      <c r="B3606" s="6">
        <v>45608</v>
      </c>
      <c r="C3606" s="2" t="s">
        <v>3983</v>
      </c>
    </row>
    <row r="3607" spans="2:3">
      <c r="B3607" s="6">
        <v>45609</v>
      </c>
      <c r="C3607" s="2" t="s">
        <v>723</v>
      </c>
    </row>
    <row r="3608" spans="2:3">
      <c r="B3608" s="6">
        <v>45610</v>
      </c>
      <c r="C3608" s="2" t="s">
        <v>680</v>
      </c>
    </row>
    <row r="3609" spans="2:3">
      <c r="B3609" s="6">
        <v>45611</v>
      </c>
      <c r="C3609" s="2" t="s">
        <v>3984</v>
      </c>
    </row>
    <row r="3610" spans="2:3">
      <c r="B3610" s="6">
        <v>45612</v>
      </c>
      <c r="C3610" s="2" t="s">
        <v>3985</v>
      </c>
    </row>
    <row r="3611" spans="2:3">
      <c r="B3611" s="6">
        <v>45613</v>
      </c>
      <c r="C3611" s="2" t="s">
        <v>681</v>
      </c>
    </row>
    <row r="3612" spans="2:3">
      <c r="B3612" s="6">
        <v>45614</v>
      </c>
      <c r="C3612" s="2" t="s">
        <v>724</v>
      </c>
    </row>
    <row r="3613" spans="2:3">
      <c r="B3613" s="6">
        <v>45615</v>
      </c>
      <c r="C3613" s="2" t="s">
        <v>3986</v>
      </c>
    </row>
    <row r="3614" spans="2:3">
      <c r="B3614" s="6">
        <v>45616</v>
      </c>
      <c r="C3614" s="2" t="s">
        <v>682</v>
      </c>
    </row>
    <row r="3615" spans="2:3">
      <c r="B3615" s="6">
        <v>45617</v>
      </c>
      <c r="C3615" s="2" t="s">
        <v>725</v>
      </c>
    </row>
    <row r="3616" spans="2:3">
      <c r="B3616" s="6">
        <v>45618</v>
      </c>
      <c r="C3616" s="2" t="s">
        <v>683</v>
      </c>
    </row>
    <row r="3617" spans="2:3">
      <c r="B3617" s="6">
        <v>45619</v>
      </c>
      <c r="C3617" s="2" t="s">
        <v>3987</v>
      </c>
    </row>
    <row r="3618" spans="2:3">
      <c r="B3618" s="6">
        <v>45620</v>
      </c>
      <c r="C3618" s="2" t="s">
        <v>3988</v>
      </c>
    </row>
    <row r="3619" spans="2:3">
      <c r="B3619" s="6">
        <v>45621</v>
      </c>
      <c r="C3619" s="2" t="s">
        <v>3989</v>
      </c>
    </row>
    <row r="3620" spans="2:3">
      <c r="B3620" s="6">
        <v>45622</v>
      </c>
      <c r="C3620" s="2" t="s">
        <v>3990</v>
      </c>
    </row>
    <row r="3621" spans="2:3">
      <c r="B3621" s="6">
        <v>45623</v>
      </c>
      <c r="C3621" s="2" t="s">
        <v>3991</v>
      </c>
    </row>
    <row r="3622" spans="2:3">
      <c r="B3622" s="6">
        <v>45624</v>
      </c>
      <c r="C3622" s="2" t="s">
        <v>3992</v>
      </c>
    </row>
    <row r="3623" spans="2:3">
      <c r="B3623" s="6">
        <v>45625</v>
      </c>
      <c r="C3623" s="2" t="s">
        <v>3993</v>
      </c>
    </row>
    <row r="3624" spans="2:3">
      <c r="B3624" s="6">
        <v>45626</v>
      </c>
      <c r="C3624" s="2" t="s">
        <v>811</v>
      </c>
    </row>
    <row r="3625" spans="2:3">
      <c r="B3625" s="6">
        <v>45627</v>
      </c>
      <c r="C3625" s="2" t="s">
        <v>812</v>
      </c>
    </row>
    <row r="3626" spans="2:3">
      <c r="B3626" s="6">
        <v>45628</v>
      </c>
      <c r="C3626" s="2" t="s">
        <v>813</v>
      </c>
    </row>
    <row r="3627" spans="2:3">
      <c r="B3627" s="6">
        <v>45629</v>
      </c>
      <c r="C3627" s="2" t="s">
        <v>3994</v>
      </c>
    </row>
    <row r="3628" spans="2:3">
      <c r="B3628" s="6">
        <v>45630</v>
      </c>
      <c r="C3628" s="2" t="s">
        <v>3995</v>
      </c>
    </row>
    <row r="3629" spans="2:3">
      <c r="B3629" s="6">
        <v>45631</v>
      </c>
      <c r="C3629" s="2" t="s">
        <v>814</v>
      </c>
    </row>
    <row r="3630" spans="2:3">
      <c r="B3630" s="6">
        <v>45632</v>
      </c>
      <c r="C3630" s="2" t="s">
        <v>3996</v>
      </c>
    </row>
    <row r="3631" spans="2:3">
      <c r="B3631" s="6">
        <v>45633</v>
      </c>
      <c r="C3631" s="2" t="s">
        <v>3997</v>
      </c>
    </row>
    <row r="3632" spans="2:3">
      <c r="B3632" s="6">
        <v>45634</v>
      </c>
      <c r="C3632" s="2" t="s">
        <v>3998</v>
      </c>
    </row>
    <row r="3633" spans="2:3">
      <c r="B3633" s="6">
        <v>45635</v>
      </c>
      <c r="C3633" s="2" t="s">
        <v>3999</v>
      </c>
    </row>
    <row r="3634" spans="2:3">
      <c r="B3634" s="6">
        <v>45636</v>
      </c>
      <c r="C3634" s="2" t="s">
        <v>4000</v>
      </c>
    </row>
    <row r="3635" spans="2:3">
      <c r="B3635" s="6">
        <v>45637</v>
      </c>
      <c r="C3635" s="2" t="s">
        <v>4001</v>
      </c>
    </row>
    <row r="3636" spans="2:3">
      <c r="B3636" s="6">
        <v>45638</v>
      </c>
      <c r="C3636" s="2" t="s">
        <v>4002</v>
      </c>
    </row>
    <row r="3637" spans="2:3">
      <c r="B3637" s="6">
        <v>45639</v>
      </c>
      <c r="C3637" s="2" t="s">
        <v>4003</v>
      </c>
    </row>
    <row r="3638" spans="2:3">
      <c r="B3638" s="6">
        <v>45640</v>
      </c>
      <c r="C3638" s="2" t="s">
        <v>4004</v>
      </c>
    </row>
    <row r="3639" spans="2:3">
      <c r="B3639" s="6">
        <v>45641</v>
      </c>
      <c r="C3639" s="2" t="s">
        <v>4005</v>
      </c>
    </row>
    <row r="3640" spans="2:3">
      <c r="B3640" s="6">
        <v>45642</v>
      </c>
      <c r="C3640" s="2" t="s">
        <v>4006</v>
      </c>
    </row>
    <row r="3641" spans="2:3">
      <c r="B3641" s="6">
        <v>45643</v>
      </c>
      <c r="C3641" s="2" t="s">
        <v>4007</v>
      </c>
    </row>
    <row r="3642" spans="2:3">
      <c r="B3642" s="6">
        <v>45644</v>
      </c>
      <c r="C3642" s="2" t="s">
        <v>4008</v>
      </c>
    </row>
    <row r="3643" spans="2:3">
      <c r="B3643" s="6">
        <v>45645</v>
      </c>
      <c r="C3643" s="2" t="s">
        <v>4009</v>
      </c>
    </row>
    <row r="3644" spans="2:3">
      <c r="B3644" s="6">
        <v>45646</v>
      </c>
      <c r="C3644" s="2" t="s">
        <v>4010</v>
      </c>
    </row>
    <row r="3645" spans="2:3">
      <c r="B3645" s="6">
        <v>45647</v>
      </c>
      <c r="C3645" s="2" t="s">
        <v>4011</v>
      </c>
    </row>
    <row r="3646" spans="2:3">
      <c r="B3646" s="6">
        <v>45648</v>
      </c>
      <c r="C3646" s="2" t="s">
        <v>607</v>
      </c>
    </row>
    <row r="3647" spans="2:3">
      <c r="B3647" s="6">
        <v>45649</v>
      </c>
      <c r="C3647" s="2" t="s">
        <v>4012</v>
      </c>
    </row>
    <row r="3648" spans="2:3">
      <c r="B3648" s="6">
        <v>45650</v>
      </c>
      <c r="C3648" s="2" t="s">
        <v>608</v>
      </c>
    </row>
    <row r="3649" spans="2:3">
      <c r="B3649" s="6">
        <v>45651</v>
      </c>
      <c r="C3649" s="2" t="s">
        <v>4013</v>
      </c>
    </row>
    <row r="3650" spans="2:3">
      <c r="B3650" s="6">
        <v>45652</v>
      </c>
      <c r="C3650" s="2" t="s">
        <v>4014</v>
      </c>
    </row>
    <row r="3651" spans="2:3">
      <c r="B3651" s="6">
        <v>45653</v>
      </c>
      <c r="C3651" s="2" t="s">
        <v>609</v>
      </c>
    </row>
    <row r="3652" spans="2:3">
      <c r="B3652" s="6">
        <v>45654</v>
      </c>
      <c r="C3652" s="2" t="s">
        <v>652</v>
      </c>
    </row>
    <row r="3653" spans="2:3">
      <c r="B3653" s="6">
        <v>45655</v>
      </c>
      <c r="C3653" s="2" t="s">
        <v>4015</v>
      </c>
    </row>
    <row r="3654" spans="2:3">
      <c r="B3654" s="6">
        <v>45656</v>
      </c>
      <c r="C3654" s="2" t="s">
        <v>4016</v>
      </c>
    </row>
    <row r="3655" spans="2:3">
      <c r="B3655" s="6">
        <v>45657</v>
      </c>
      <c r="C3655" s="2" t="s">
        <v>610</v>
      </c>
    </row>
    <row r="3656" spans="2:3">
      <c r="B3656" s="6">
        <v>45658</v>
      </c>
      <c r="C3656" s="2" t="s">
        <v>4017</v>
      </c>
    </row>
    <row r="3657" spans="2:3">
      <c r="B3657" s="6">
        <v>45659</v>
      </c>
      <c r="C3657" s="2" t="s">
        <v>4018</v>
      </c>
    </row>
    <row r="3658" spans="2:3">
      <c r="B3658" s="6">
        <v>45660</v>
      </c>
      <c r="C3658" s="2" t="s">
        <v>653</v>
      </c>
    </row>
    <row r="3659" spans="2:3">
      <c r="B3659" s="6">
        <v>45661</v>
      </c>
      <c r="C3659" s="2" t="s">
        <v>4019</v>
      </c>
    </row>
    <row r="3660" spans="2:3">
      <c r="B3660" s="6">
        <v>45662</v>
      </c>
      <c r="C3660" s="2" t="s">
        <v>4020</v>
      </c>
    </row>
    <row r="3661" spans="2:3">
      <c r="B3661" s="6">
        <v>45663</v>
      </c>
      <c r="C3661" s="2" t="s">
        <v>4021</v>
      </c>
    </row>
    <row r="3662" spans="2:3">
      <c r="B3662" s="6">
        <v>45664</v>
      </c>
      <c r="C3662" s="2" t="s">
        <v>4022</v>
      </c>
    </row>
    <row r="3663" spans="2:3">
      <c r="B3663" s="6">
        <v>45665</v>
      </c>
      <c r="C3663" s="2" t="s">
        <v>4023</v>
      </c>
    </row>
    <row r="3664" spans="2:3">
      <c r="B3664" s="6">
        <v>45666</v>
      </c>
      <c r="C3664" s="2" t="s">
        <v>4024</v>
      </c>
    </row>
    <row r="3665" spans="2:3">
      <c r="B3665" s="6">
        <v>45667</v>
      </c>
      <c r="C3665" s="2" t="s">
        <v>4025</v>
      </c>
    </row>
    <row r="3666" spans="2:3">
      <c r="B3666" s="6">
        <v>45668</v>
      </c>
      <c r="C3666" s="2" t="s">
        <v>4026</v>
      </c>
    </row>
    <row r="3667" spans="2:3">
      <c r="B3667" s="6">
        <v>45669</v>
      </c>
      <c r="C3667" s="2" t="s">
        <v>4027</v>
      </c>
    </row>
    <row r="3668" spans="2:3">
      <c r="B3668" s="6">
        <v>45670</v>
      </c>
      <c r="C3668" s="2" t="s">
        <v>4028</v>
      </c>
    </row>
    <row r="3669" spans="2:3">
      <c r="B3669" s="6">
        <v>45671</v>
      </c>
      <c r="C3669" s="2" t="s">
        <v>4029</v>
      </c>
    </row>
    <row r="3670" spans="2:3">
      <c r="B3670" s="6">
        <v>45672</v>
      </c>
      <c r="C3670" s="2" t="s">
        <v>4030</v>
      </c>
    </row>
    <row r="3671" spans="2:3">
      <c r="B3671" s="6">
        <v>45673</v>
      </c>
      <c r="C3671" s="2" t="s">
        <v>4031</v>
      </c>
    </row>
    <row r="3672" spans="2:3">
      <c r="B3672" s="6">
        <v>45674</v>
      </c>
      <c r="C3672" s="2" t="s">
        <v>4032</v>
      </c>
    </row>
    <row r="3673" spans="2:3">
      <c r="B3673" s="6">
        <v>45675</v>
      </c>
      <c r="C3673" s="2" t="s">
        <v>4033</v>
      </c>
    </row>
    <row r="3674" spans="2:3">
      <c r="B3674" s="6">
        <v>45676</v>
      </c>
      <c r="C3674" s="2" t="s">
        <v>4034</v>
      </c>
    </row>
    <row r="3675" spans="2:3">
      <c r="B3675" s="6">
        <v>45677</v>
      </c>
      <c r="C3675" s="2" t="s">
        <v>4035</v>
      </c>
    </row>
    <row r="3676" spans="2:3">
      <c r="B3676" s="6">
        <v>45678</v>
      </c>
      <c r="C3676" s="2" t="s">
        <v>4036</v>
      </c>
    </row>
    <row r="3677" spans="2:3">
      <c r="B3677" s="6">
        <v>45679</v>
      </c>
      <c r="C3677" s="2" t="s">
        <v>4037</v>
      </c>
    </row>
    <row r="3678" spans="2:3">
      <c r="B3678" s="6">
        <v>45680</v>
      </c>
      <c r="C3678" s="2" t="s">
        <v>4038</v>
      </c>
    </row>
    <row r="3679" spans="2:3">
      <c r="B3679" s="6">
        <v>45681</v>
      </c>
      <c r="C3679" s="2" t="s">
        <v>4039</v>
      </c>
    </row>
    <row r="3680" spans="2:3">
      <c r="B3680" s="6">
        <v>45682</v>
      </c>
      <c r="C3680" s="2" t="s">
        <v>590</v>
      </c>
    </row>
    <row r="3681" spans="2:3">
      <c r="B3681" s="6">
        <v>45683</v>
      </c>
      <c r="C3681" s="2" t="s">
        <v>591</v>
      </c>
    </row>
    <row r="3682" spans="2:3">
      <c r="B3682" s="6">
        <v>45684</v>
      </c>
      <c r="C3682" s="2" t="s">
        <v>4040</v>
      </c>
    </row>
    <row r="3683" spans="2:3">
      <c r="B3683" s="6">
        <v>45685</v>
      </c>
      <c r="C3683" s="2" t="s">
        <v>4041</v>
      </c>
    </row>
    <row r="3684" spans="2:3">
      <c r="B3684" s="6">
        <v>45686</v>
      </c>
      <c r="C3684" s="2" t="s">
        <v>592</v>
      </c>
    </row>
    <row r="3685" spans="2:3">
      <c r="B3685" s="6">
        <v>45687</v>
      </c>
      <c r="C3685" s="2" t="s">
        <v>678</v>
      </c>
    </row>
    <row r="3686" spans="2:3">
      <c r="B3686" s="6">
        <v>45688</v>
      </c>
      <c r="C3686" s="2" t="s">
        <v>593</v>
      </c>
    </row>
    <row r="3687" spans="2:3">
      <c r="B3687" s="6">
        <v>45689</v>
      </c>
      <c r="C3687" s="2" t="s">
        <v>4042</v>
      </c>
    </row>
    <row r="3688" spans="2:3">
      <c r="B3688" s="6">
        <v>45690</v>
      </c>
      <c r="C3688" s="2" t="s">
        <v>4043</v>
      </c>
    </row>
    <row r="3689" spans="2:3">
      <c r="B3689" s="6">
        <v>45691</v>
      </c>
      <c r="C3689" s="2" t="s">
        <v>4044</v>
      </c>
    </row>
    <row r="3690" spans="2:3">
      <c r="B3690" s="6">
        <v>45692</v>
      </c>
      <c r="C3690" s="2" t="s">
        <v>679</v>
      </c>
    </row>
    <row r="3691" spans="2:3">
      <c r="B3691" s="6">
        <v>45693</v>
      </c>
      <c r="C3691" s="2" t="s">
        <v>4045</v>
      </c>
    </row>
    <row r="3692" spans="2:3">
      <c r="B3692" s="6">
        <v>45694</v>
      </c>
      <c r="C3692" s="2" t="s">
        <v>4046</v>
      </c>
    </row>
    <row r="3693" spans="2:3">
      <c r="B3693" s="6">
        <v>45695</v>
      </c>
      <c r="C3693" s="2" t="s">
        <v>4047</v>
      </c>
    </row>
    <row r="3694" spans="2:3">
      <c r="B3694" s="6">
        <v>45696</v>
      </c>
      <c r="C3694" s="2" t="s">
        <v>4048</v>
      </c>
    </row>
    <row r="3695" spans="2:3">
      <c r="B3695" s="6">
        <v>45697</v>
      </c>
      <c r="C3695" s="2" t="s">
        <v>4049</v>
      </c>
    </row>
    <row r="3696" spans="2:3">
      <c r="B3696" s="6">
        <v>45698</v>
      </c>
      <c r="C3696" s="2" t="s">
        <v>4050</v>
      </c>
    </row>
    <row r="3697" spans="2:3">
      <c r="B3697" s="6">
        <v>45699</v>
      </c>
      <c r="C3697" s="2" t="s">
        <v>4051</v>
      </c>
    </row>
    <row r="3698" spans="2:3">
      <c r="B3698" s="6">
        <v>45700</v>
      </c>
      <c r="C3698" s="2" t="s">
        <v>4052</v>
      </c>
    </row>
    <row r="3699" spans="2:3">
      <c r="B3699" s="6">
        <v>45701</v>
      </c>
      <c r="C3699" s="2" t="s">
        <v>4053</v>
      </c>
    </row>
    <row r="3700" spans="2:3">
      <c r="B3700" s="6">
        <v>45702</v>
      </c>
      <c r="C3700" s="2" t="s">
        <v>4054</v>
      </c>
    </row>
    <row r="3701" spans="2:3">
      <c r="B3701" s="6">
        <v>45703</v>
      </c>
      <c r="C3701" s="2" t="s">
        <v>4055</v>
      </c>
    </row>
    <row r="3702" spans="2:3">
      <c r="B3702" s="6">
        <v>45704</v>
      </c>
      <c r="C3702" s="2" t="s">
        <v>4056</v>
      </c>
    </row>
    <row r="3703" spans="2:3">
      <c r="B3703" s="6">
        <v>45705</v>
      </c>
      <c r="C3703" s="2" t="s">
        <v>4057</v>
      </c>
    </row>
    <row r="3704" spans="2:3">
      <c r="B3704" s="6">
        <v>45706</v>
      </c>
      <c r="C3704" s="2" t="s">
        <v>4058</v>
      </c>
    </row>
    <row r="3705" spans="2:3">
      <c r="B3705" s="6">
        <v>45707</v>
      </c>
      <c r="C3705" s="2" t="s">
        <v>4059</v>
      </c>
    </row>
    <row r="3706" spans="2:3">
      <c r="B3706" s="6">
        <v>45708</v>
      </c>
      <c r="C3706" s="2" t="s">
        <v>4060</v>
      </c>
    </row>
    <row r="3707" spans="2:3">
      <c r="B3707" s="6">
        <v>45709</v>
      </c>
      <c r="C3707" s="2" t="s">
        <v>4061</v>
      </c>
    </row>
    <row r="3708" spans="2:3">
      <c r="B3708" s="6">
        <v>45710</v>
      </c>
      <c r="C3708" s="2" t="s">
        <v>4062</v>
      </c>
    </row>
    <row r="3709" spans="2:3">
      <c r="B3709" s="6">
        <v>45711</v>
      </c>
      <c r="C3709" s="2" t="s">
        <v>4063</v>
      </c>
    </row>
    <row r="3710" spans="2:3">
      <c r="B3710" s="6">
        <v>45712</v>
      </c>
      <c r="C3710" s="2" t="s">
        <v>4064</v>
      </c>
    </row>
    <row r="3711" spans="2:3">
      <c r="B3711" s="6">
        <v>45713</v>
      </c>
      <c r="C3711" s="2" t="s">
        <v>4065</v>
      </c>
    </row>
    <row r="3712" spans="2:3">
      <c r="B3712" s="6">
        <v>45714</v>
      </c>
      <c r="C3712" s="2" t="s">
        <v>4066</v>
      </c>
    </row>
    <row r="3713" spans="2:3">
      <c r="B3713" s="6">
        <v>45715</v>
      </c>
      <c r="C3713" s="2" t="s">
        <v>4067</v>
      </c>
    </row>
    <row r="3714" spans="2:3">
      <c r="B3714" s="6">
        <v>45716</v>
      </c>
      <c r="C3714" s="2" t="s">
        <v>4068</v>
      </c>
    </row>
    <row r="3715" spans="2:3">
      <c r="B3715" s="6">
        <v>45717</v>
      </c>
      <c r="C3715" s="2" t="s">
        <v>4069</v>
      </c>
    </row>
    <row r="3716" spans="2:3">
      <c r="B3716" s="6">
        <v>45718</v>
      </c>
      <c r="C3716" s="2" t="s">
        <v>4070</v>
      </c>
    </row>
    <row r="3717" spans="2:3">
      <c r="B3717" s="6">
        <v>45719</v>
      </c>
      <c r="C3717" s="2" t="s">
        <v>4071</v>
      </c>
    </row>
    <row r="3718" spans="2:3">
      <c r="B3718" s="6">
        <v>45720</v>
      </c>
      <c r="C3718" s="2" t="s">
        <v>4072</v>
      </c>
    </row>
    <row r="3719" spans="2:3">
      <c r="B3719" s="6">
        <v>45721</v>
      </c>
      <c r="C3719" s="2" t="s">
        <v>4073</v>
      </c>
    </row>
    <row r="3720" spans="2:3">
      <c r="B3720" s="6">
        <v>45722</v>
      </c>
      <c r="C3720" s="2" t="s">
        <v>4074</v>
      </c>
    </row>
    <row r="3721" spans="2:3">
      <c r="B3721" s="6">
        <v>45723</v>
      </c>
      <c r="C3721" s="2" t="s">
        <v>4075</v>
      </c>
    </row>
    <row r="3722" spans="2:3">
      <c r="B3722" s="6">
        <v>45724</v>
      </c>
      <c r="C3722" s="2" t="s">
        <v>4076</v>
      </c>
    </row>
    <row r="3723" spans="2:3">
      <c r="B3723" s="6">
        <v>45725</v>
      </c>
      <c r="C3723" s="2" t="s">
        <v>4077</v>
      </c>
    </row>
    <row r="3724" spans="2:3">
      <c r="B3724" s="6">
        <v>45726</v>
      </c>
      <c r="C3724" s="2" t="s">
        <v>4078</v>
      </c>
    </row>
    <row r="3725" spans="2:3">
      <c r="B3725" s="6">
        <v>45727</v>
      </c>
      <c r="C3725" s="2" t="s">
        <v>4079</v>
      </c>
    </row>
    <row r="3726" spans="2:3">
      <c r="B3726" s="6">
        <v>45728</v>
      </c>
      <c r="C3726" s="2" t="s">
        <v>4080</v>
      </c>
    </row>
    <row r="3727" spans="2:3">
      <c r="B3727" s="6">
        <v>45729</v>
      </c>
      <c r="C3727" s="2" t="s">
        <v>4081</v>
      </c>
    </row>
    <row r="3728" spans="2:3">
      <c r="B3728" s="6">
        <v>45730</v>
      </c>
      <c r="C3728" s="2" t="s">
        <v>4082</v>
      </c>
    </row>
    <row r="3729" spans="2:3">
      <c r="B3729" s="6">
        <v>45731</v>
      </c>
      <c r="C3729" s="2" t="s">
        <v>815</v>
      </c>
    </row>
    <row r="3730" spans="2:3">
      <c r="B3730" s="6">
        <v>45732</v>
      </c>
      <c r="C3730" s="2" t="s">
        <v>4083</v>
      </c>
    </row>
    <row r="3731" spans="2:3">
      <c r="B3731" s="6">
        <v>45733</v>
      </c>
      <c r="C3731" s="2" t="s">
        <v>4084</v>
      </c>
    </row>
    <row r="3732" spans="2:3">
      <c r="B3732" s="6">
        <v>45734</v>
      </c>
      <c r="C3732" s="2" t="s">
        <v>4085</v>
      </c>
    </row>
    <row r="3733" spans="2:3">
      <c r="B3733" s="6">
        <v>45735</v>
      </c>
      <c r="C3733" s="2" t="s">
        <v>816</v>
      </c>
    </row>
    <row r="3734" spans="2:3">
      <c r="B3734" s="6">
        <v>45736</v>
      </c>
      <c r="C3734" s="2" t="s">
        <v>4086</v>
      </c>
    </row>
    <row r="3735" spans="2:3">
      <c r="B3735" s="6">
        <v>45737</v>
      </c>
      <c r="C3735" s="2" t="s">
        <v>4087</v>
      </c>
    </row>
    <row r="3736" spans="2:3">
      <c r="B3736" s="6">
        <v>45738</v>
      </c>
      <c r="C3736" s="2" t="s">
        <v>817</v>
      </c>
    </row>
    <row r="3737" spans="2:3">
      <c r="B3737" s="6">
        <v>45739</v>
      </c>
      <c r="C3737" s="2" t="s">
        <v>4088</v>
      </c>
    </row>
    <row r="3738" spans="2:3">
      <c r="B3738" s="6">
        <v>45740</v>
      </c>
      <c r="C3738" s="2" t="s">
        <v>571</v>
      </c>
    </row>
    <row r="3739" spans="2:3">
      <c r="B3739" s="6">
        <v>45741</v>
      </c>
      <c r="C3739" s="2" t="s">
        <v>818</v>
      </c>
    </row>
    <row r="3740" spans="2:3">
      <c r="B3740" s="6">
        <v>45742</v>
      </c>
      <c r="C3740" s="2" t="s">
        <v>572</v>
      </c>
    </row>
    <row r="3741" spans="2:3">
      <c r="B3741" s="6">
        <v>45743</v>
      </c>
      <c r="C3741" s="2" t="s">
        <v>4089</v>
      </c>
    </row>
    <row r="3742" spans="2:3">
      <c r="B3742" s="6">
        <v>45744</v>
      </c>
      <c r="C3742" s="2" t="s">
        <v>4090</v>
      </c>
    </row>
    <row r="3743" spans="2:3">
      <c r="B3743" s="6">
        <v>45745</v>
      </c>
      <c r="C3743" s="2" t="s">
        <v>573</v>
      </c>
    </row>
    <row r="3744" spans="2:3">
      <c r="B3744" s="6">
        <v>45746</v>
      </c>
      <c r="C3744" s="2" t="s">
        <v>4091</v>
      </c>
    </row>
    <row r="3745" spans="2:3">
      <c r="B3745" s="6">
        <v>45747</v>
      </c>
      <c r="C3745" s="2" t="s">
        <v>4092</v>
      </c>
    </row>
    <row r="3746" spans="2:3">
      <c r="B3746" s="6">
        <v>45748</v>
      </c>
      <c r="C3746" s="2" t="s">
        <v>574</v>
      </c>
    </row>
    <row r="3747" spans="2:3">
      <c r="B3747" s="6">
        <v>45749</v>
      </c>
      <c r="C3747" s="2" t="s">
        <v>621</v>
      </c>
    </row>
    <row r="3748" spans="2:3">
      <c r="B3748" s="6">
        <v>45750</v>
      </c>
      <c r="C3748" s="2" t="s">
        <v>4093</v>
      </c>
    </row>
    <row r="3749" spans="2:3">
      <c r="B3749" s="6">
        <v>45751</v>
      </c>
      <c r="C3749" s="2" t="s">
        <v>4094</v>
      </c>
    </row>
    <row r="3750" spans="2:3">
      <c r="B3750" s="6">
        <v>45752</v>
      </c>
      <c r="C3750" s="2" t="s">
        <v>4095</v>
      </c>
    </row>
    <row r="3751" spans="2:3">
      <c r="B3751" s="6">
        <v>45753</v>
      </c>
      <c r="C3751" s="2" t="s">
        <v>622</v>
      </c>
    </row>
    <row r="3752" spans="2:3">
      <c r="B3752" s="6">
        <v>45754</v>
      </c>
      <c r="C3752" s="2" t="s">
        <v>4096</v>
      </c>
    </row>
    <row r="3753" spans="2:3">
      <c r="B3753" s="6">
        <v>45755</v>
      </c>
      <c r="C3753" s="2" t="s">
        <v>623</v>
      </c>
    </row>
    <row r="3754" spans="2:3">
      <c r="B3754" s="6">
        <v>45756</v>
      </c>
      <c r="C3754" s="2" t="s">
        <v>4097</v>
      </c>
    </row>
    <row r="3755" spans="2:3">
      <c r="B3755" s="6">
        <v>45757</v>
      </c>
      <c r="C3755" s="2" t="s">
        <v>624</v>
      </c>
    </row>
    <row r="3756" spans="2:3">
      <c r="B3756" s="6">
        <v>45758</v>
      </c>
      <c r="C3756" s="2" t="s">
        <v>4098</v>
      </c>
    </row>
    <row r="3757" spans="2:3">
      <c r="B3757" s="6">
        <v>45759</v>
      </c>
      <c r="C3757" s="2" t="s">
        <v>4099</v>
      </c>
    </row>
    <row r="3758" spans="2:3">
      <c r="B3758" s="6">
        <v>45760</v>
      </c>
      <c r="C3758" s="2" t="s">
        <v>4100</v>
      </c>
    </row>
    <row r="3759" spans="2:3">
      <c r="B3759" s="6">
        <v>45761</v>
      </c>
      <c r="C3759" s="2" t="s">
        <v>4101</v>
      </c>
    </row>
    <row r="3760" spans="2:3">
      <c r="B3760" s="6">
        <v>45762</v>
      </c>
      <c r="C3760" s="2" t="s">
        <v>4102</v>
      </c>
    </row>
    <row r="3761" spans="2:3">
      <c r="B3761" s="6">
        <v>45763</v>
      </c>
      <c r="C3761" s="2" t="s">
        <v>4103</v>
      </c>
    </row>
    <row r="3762" spans="2:3">
      <c r="B3762" s="6">
        <v>45764</v>
      </c>
      <c r="C3762" s="2" t="s">
        <v>4104</v>
      </c>
    </row>
    <row r="3763" spans="2:3">
      <c r="B3763" s="6">
        <v>45765</v>
      </c>
      <c r="C3763" s="2" t="s">
        <v>4105</v>
      </c>
    </row>
    <row r="3764" spans="2:3">
      <c r="B3764" s="6">
        <v>45766</v>
      </c>
      <c r="C3764" s="2" t="s">
        <v>4106</v>
      </c>
    </row>
    <row r="3765" spans="2:3">
      <c r="B3765" s="6">
        <v>45767</v>
      </c>
      <c r="C3765" s="2" t="s">
        <v>4107</v>
      </c>
    </row>
    <row r="3766" spans="2:3">
      <c r="B3766" s="6">
        <v>45768</v>
      </c>
      <c r="C3766" s="2" t="s">
        <v>804</v>
      </c>
    </row>
    <row r="3767" spans="2:3">
      <c r="B3767" s="6">
        <v>45769</v>
      </c>
      <c r="C3767" s="2" t="s">
        <v>4108</v>
      </c>
    </row>
    <row r="3768" spans="2:3">
      <c r="B3768" s="6">
        <v>45770</v>
      </c>
      <c r="C3768" s="2" t="s">
        <v>805</v>
      </c>
    </row>
    <row r="3769" spans="2:3">
      <c r="B3769" s="6">
        <v>45771</v>
      </c>
      <c r="C3769" s="2" t="s">
        <v>4109</v>
      </c>
    </row>
    <row r="3770" spans="2:3">
      <c r="B3770" s="6">
        <v>45772</v>
      </c>
      <c r="C3770" s="2" t="s">
        <v>4110</v>
      </c>
    </row>
    <row r="3771" spans="2:3">
      <c r="B3771" s="6">
        <v>45773</v>
      </c>
      <c r="C3771" s="2" t="s">
        <v>4111</v>
      </c>
    </row>
    <row r="3772" spans="2:3">
      <c r="B3772" s="6">
        <v>45774</v>
      </c>
      <c r="C3772" s="2" t="s">
        <v>806</v>
      </c>
    </row>
    <row r="3773" spans="2:3">
      <c r="B3773" s="6">
        <v>45775</v>
      </c>
      <c r="C3773" s="2" t="s">
        <v>4112</v>
      </c>
    </row>
    <row r="3774" spans="2:3">
      <c r="B3774" s="6">
        <v>45776</v>
      </c>
      <c r="C3774" s="2" t="s">
        <v>673</v>
      </c>
    </row>
    <row r="3775" spans="2:3">
      <c r="B3775" s="6">
        <v>45777</v>
      </c>
      <c r="C3775" s="2" t="s">
        <v>4113</v>
      </c>
    </row>
    <row r="3776" spans="2:3">
      <c r="B3776" s="6">
        <v>45778</v>
      </c>
      <c r="C3776" s="2" t="s">
        <v>4114</v>
      </c>
    </row>
    <row r="3777" spans="2:3">
      <c r="B3777" s="6">
        <v>45779</v>
      </c>
      <c r="C3777" s="2" t="s">
        <v>4115</v>
      </c>
    </row>
    <row r="3778" spans="2:3">
      <c r="B3778" s="6">
        <v>45780</v>
      </c>
      <c r="C3778" s="2" t="s">
        <v>674</v>
      </c>
    </row>
    <row r="3779" spans="2:3">
      <c r="B3779" s="6">
        <v>45781</v>
      </c>
      <c r="C3779" s="2" t="s">
        <v>4116</v>
      </c>
    </row>
    <row r="3780" spans="2:3">
      <c r="B3780" s="6">
        <v>45782</v>
      </c>
      <c r="C3780" s="2" t="s">
        <v>675</v>
      </c>
    </row>
    <row r="3781" spans="2:3">
      <c r="B3781" s="6">
        <v>45783</v>
      </c>
      <c r="C3781" s="2" t="s">
        <v>676</v>
      </c>
    </row>
    <row r="3782" spans="2:3">
      <c r="B3782" s="6">
        <v>45784</v>
      </c>
      <c r="C3782" s="2" t="s">
        <v>4117</v>
      </c>
    </row>
    <row r="3783" spans="2:3">
      <c r="B3783" s="6">
        <v>45785</v>
      </c>
      <c r="C3783" s="2" t="s">
        <v>4118</v>
      </c>
    </row>
    <row r="3784" spans="2:3">
      <c r="B3784" s="6">
        <v>45786</v>
      </c>
      <c r="C3784" s="2" t="s">
        <v>4119</v>
      </c>
    </row>
    <row r="3785" spans="2:3">
      <c r="B3785" s="6">
        <v>45787</v>
      </c>
      <c r="C3785" s="2" t="s">
        <v>4120</v>
      </c>
    </row>
    <row r="3786" spans="2:3">
      <c r="B3786" s="6">
        <v>45788</v>
      </c>
      <c r="C3786" s="2" t="s">
        <v>4121</v>
      </c>
    </row>
    <row r="3787" spans="2:3">
      <c r="B3787" s="6">
        <v>45789</v>
      </c>
      <c r="C3787" s="2" t="s">
        <v>4122</v>
      </c>
    </row>
    <row r="3788" spans="2:3">
      <c r="B3788" s="6">
        <v>45790</v>
      </c>
      <c r="C3788" s="2" t="s">
        <v>4123</v>
      </c>
    </row>
    <row r="3789" spans="2:3">
      <c r="B3789" s="6">
        <v>45791</v>
      </c>
      <c r="C3789" s="2" t="s">
        <v>4124</v>
      </c>
    </row>
    <row r="3790" spans="2:3">
      <c r="B3790" s="6">
        <v>45792</v>
      </c>
      <c r="C3790" s="2" t="s">
        <v>4125</v>
      </c>
    </row>
    <row r="3791" spans="2:3">
      <c r="B3791" s="6">
        <v>45793</v>
      </c>
      <c r="C3791" s="2" t="s">
        <v>4126</v>
      </c>
    </row>
    <row r="3792" spans="2:3">
      <c r="B3792" s="6">
        <v>45794</v>
      </c>
      <c r="C3792" s="2" t="s">
        <v>4127</v>
      </c>
    </row>
    <row r="3793" spans="2:3">
      <c r="B3793" s="6">
        <v>45795</v>
      </c>
      <c r="C3793" s="2" t="s">
        <v>4128</v>
      </c>
    </row>
    <row r="3794" spans="2:3">
      <c r="B3794" s="6">
        <v>45796</v>
      </c>
      <c r="C3794" s="2" t="s">
        <v>4129</v>
      </c>
    </row>
    <row r="3795" spans="2:3">
      <c r="B3795" s="6">
        <v>45797</v>
      </c>
      <c r="C3795" s="2" t="s">
        <v>4130</v>
      </c>
    </row>
    <row r="3796" spans="2:3">
      <c r="B3796" s="6">
        <v>45798</v>
      </c>
      <c r="C3796" s="2" t="s">
        <v>4131</v>
      </c>
    </row>
    <row r="3797" spans="2:3">
      <c r="B3797" s="6">
        <v>45799</v>
      </c>
      <c r="C3797" s="2" t="s">
        <v>4132</v>
      </c>
    </row>
    <row r="3798" spans="2:3">
      <c r="B3798" s="6">
        <v>45800</v>
      </c>
      <c r="C3798" s="2" t="s">
        <v>4133</v>
      </c>
    </row>
    <row r="3799" spans="2:3">
      <c r="B3799" s="6">
        <v>45801</v>
      </c>
      <c r="C3799" s="2" t="s">
        <v>4134</v>
      </c>
    </row>
    <row r="3800" spans="2:3">
      <c r="B3800" s="6">
        <v>45802</v>
      </c>
      <c r="C3800" s="2" t="s">
        <v>4135</v>
      </c>
    </row>
    <row r="3801" spans="2:3">
      <c r="B3801" s="6">
        <v>45803</v>
      </c>
      <c r="C3801" s="2" t="s">
        <v>4136</v>
      </c>
    </row>
    <row r="3802" spans="2:3">
      <c r="B3802" s="6">
        <v>45804</v>
      </c>
      <c r="C3802" s="2" t="s">
        <v>4137</v>
      </c>
    </row>
    <row r="3803" spans="2:3">
      <c r="B3803" s="6">
        <v>45805</v>
      </c>
      <c r="C3803" s="2" t="s">
        <v>4138</v>
      </c>
    </row>
    <row r="3804" spans="2:3">
      <c r="B3804" s="6">
        <v>45806</v>
      </c>
      <c r="C3804" s="2" t="s">
        <v>4139</v>
      </c>
    </row>
    <row r="3805" spans="2:3">
      <c r="B3805" s="6">
        <v>45807</v>
      </c>
      <c r="C3805" s="2" t="s">
        <v>4140</v>
      </c>
    </row>
    <row r="3806" spans="2:3">
      <c r="B3806" s="6">
        <v>45808</v>
      </c>
      <c r="C3806" s="2" t="s">
        <v>4141</v>
      </c>
    </row>
    <row r="3807" spans="2:3">
      <c r="B3807" s="6">
        <v>45809</v>
      </c>
      <c r="C3807" s="2" t="s">
        <v>4142</v>
      </c>
    </row>
    <row r="3808" spans="2:3">
      <c r="B3808" s="6">
        <v>45810</v>
      </c>
      <c r="C3808" s="2" t="s">
        <v>4143</v>
      </c>
    </row>
    <row r="3809" spans="2:3">
      <c r="B3809" s="6">
        <v>45811</v>
      </c>
      <c r="C3809" s="2" t="s">
        <v>4144</v>
      </c>
    </row>
    <row r="3810" spans="2:3">
      <c r="B3810" s="6">
        <v>45812</v>
      </c>
      <c r="C3810" s="2" t="s">
        <v>4145</v>
      </c>
    </row>
    <row r="3811" spans="2:3">
      <c r="B3811" s="6">
        <v>45813</v>
      </c>
      <c r="C3811" s="2" t="s">
        <v>4146</v>
      </c>
    </row>
    <row r="3812" spans="2:3">
      <c r="B3812" s="6">
        <v>45814</v>
      </c>
      <c r="C3812" s="2" t="s">
        <v>4147</v>
      </c>
    </row>
    <row r="3813" spans="2:3">
      <c r="B3813" s="6">
        <v>45815</v>
      </c>
      <c r="C3813" s="2" t="s">
        <v>4148</v>
      </c>
    </row>
    <row r="3814" spans="2:3">
      <c r="B3814" s="6">
        <v>45816</v>
      </c>
      <c r="C3814" s="2" t="s">
        <v>4149</v>
      </c>
    </row>
    <row r="3815" spans="2:3">
      <c r="B3815" s="6">
        <v>45817</v>
      </c>
      <c r="C3815" s="2" t="s">
        <v>4150</v>
      </c>
    </row>
    <row r="3816" spans="2:3">
      <c r="B3816" s="6">
        <v>45818</v>
      </c>
      <c r="C3816" s="2" t="s">
        <v>4151</v>
      </c>
    </row>
    <row r="3817" spans="2:3">
      <c r="B3817" s="6">
        <v>45819</v>
      </c>
      <c r="C3817" s="2" t="s">
        <v>4152</v>
      </c>
    </row>
    <row r="3818" spans="2:3">
      <c r="B3818" s="6">
        <v>45820</v>
      </c>
      <c r="C3818" s="2" t="s">
        <v>4153</v>
      </c>
    </row>
    <row r="3819" spans="2:3">
      <c r="B3819" s="6">
        <v>45821</v>
      </c>
      <c r="C3819" s="2" t="s">
        <v>4154</v>
      </c>
    </row>
    <row r="3820" spans="2:3">
      <c r="B3820" s="6">
        <v>45822</v>
      </c>
      <c r="C3820" s="2" t="s">
        <v>4155</v>
      </c>
    </row>
    <row r="3821" spans="2:3">
      <c r="B3821" s="6">
        <v>45823</v>
      </c>
      <c r="C3821" s="2" t="s">
        <v>4156</v>
      </c>
    </row>
    <row r="3822" spans="2:3">
      <c r="B3822" s="6">
        <v>45824</v>
      </c>
      <c r="C3822" s="2" t="s">
        <v>4157</v>
      </c>
    </row>
    <row r="3823" spans="2:3">
      <c r="B3823" s="6">
        <v>45825</v>
      </c>
      <c r="C3823" s="2" t="s">
        <v>4158</v>
      </c>
    </row>
    <row r="3824" spans="2:3">
      <c r="B3824" s="6">
        <v>45826</v>
      </c>
      <c r="C3824" s="2" t="s">
        <v>4159</v>
      </c>
    </row>
    <row r="3825" spans="2:3">
      <c r="B3825" s="6">
        <v>45827</v>
      </c>
      <c r="C3825" s="2" t="s">
        <v>4160</v>
      </c>
    </row>
    <row r="3826" spans="2:3">
      <c r="B3826" s="6">
        <v>45828</v>
      </c>
      <c r="C3826" s="2" t="s">
        <v>4161</v>
      </c>
    </row>
    <row r="3827" spans="2:3">
      <c r="B3827" s="6">
        <v>45829</v>
      </c>
      <c r="C3827" s="2" t="s">
        <v>4162</v>
      </c>
    </row>
    <row r="3828" spans="2:3">
      <c r="B3828" s="6">
        <v>45830</v>
      </c>
      <c r="C3828" s="2" t="s">
        <v>4163</v>
      </c>
    </row>
    <row r="3829" spans="2:3">
      <c r="B3829" s="6">
        <v>45831</v>
      </c>
      <c r="C3829" s="2" t="s">
        <v>4164</v>
      </c>
    </row>
    <row r="3830" spans="2:3">
      <c r="B3830" s="6">
        <v>45832</v>
      </c>
      <c r="C3830" s="2" t="s">
        <v>826</v>
      </c>
    </row>
    <row r="3831" spans="2:3">
      <c r="B3831" s="6">
        <v>45833</v>
      </c>
      <c r="C3831" s="2" t="s">
        <v>4165</v>
      </c>
    </row>
    <row r="3832" spans="2:3">
      <c r="B3832" s="6">
        <v>45834</v>
      </c>
      <c r="C3832" s="2" t="s">
        <v>827</v>
      </c>
    </row>
    <row r="3833" spans="2:3">
      <c r="B3833" s="6">
        <v>45835</v>
      </c>
      <c r="C3833" s="2" t="s">
        <v>4166</v>
      </c>
    </row>
    <row r="3834" spans="2:3">
      <c r="B3834" s="6">
        <v>45836</v>
      </c>
      <c r="C3834" s="2" t="s">
        <v>828</v>
      </c>
    </row>
    <row r="3835" spans="2:3">
      <c r="B3835" s="6">
        <v>45837</v>
      </c>
      <c r="C3835" s="2" t="s">
        <v>341</v>
      </c>
    </row>
    <row r="3836" spans="2:3">
      <c r="B3836" s="6">
        <v>45838</v>
      </c>
      <c r="C3836" s="2" t="s">
        <v>829</v>
      </c>
    </row>
    <row r="3837" spans="2:3">
      <c r="B3837" s="6">
        <v>45839</v>
      </c>
      <c r="C3837" s="2" t="s">
        <v>4167</v>
      </c>
    </row>
    <row r="3838" spans="2:3">
      <c r="B3838" s="6">
        <v>45840</v>
      </c>
      <c r="C3838" s="2" t="s">
        <v>342</v>
      </c>
    </row>
    <row r="3839" spans="2:3">
      <c r="B3839" s="6">
        <v>45841</v>
      </c>
      <c r="C3839" s="2" t="s">
        <v>4168</v>
      </c>
    </row>
    <row r="3840" spans="2:3">
      <c r="B3840" s="6">
        <v>45842</v>
      </c>
      <c r="C3840" s="2" t="s">
        <v>4169</v>
      </c>
    </row>
    <row r="3841" spans="2:3">
      <c r="B3841" s="6">
        <v>45843</v>
      </c>
      <c r="C3841" s="2" t="s">
        <v>343</v>
      </c>
    </row>
    <row r="3842" spans="2:3">
      <c r="B3842" s="6">
        <v>45844</v>
      </c>
      <c r="C3842" s="2" t="s">
        <v>4170</v>
      </c>
    </row>
    <row r="3843" spans="2:3">
      <c r="B3843" s="6">
        <v>45845</v>
      </c>
      <c r="C3843" s="2" t="s">
        <v>4171</v>
      </c>
    </row>
    <row r="3844" spans="2:3">
      <c r="B3844" s="6">
        <v>45846</v>
      </c>
      <c r="C3844" s="2" t="s">
        <v>344</v>
      </c>
    </row>
    <row r="3845" spans="2:3">
      <c r="B3845" s="6">
        <v>45847</v>
      </c>
      <c r="C3845" s="2" t="s">
        <v>4172</v>
      </c>
    </row>
    <row r="3846" spans="2:3">
      <c r="B3846" s="6">
        <v>45848</v>
      </c>
      <c r="C3846" s="2" t="s">
        <v>4173</v>
      </c>
    </row>
    <row r="3847" spans="2:3">
      <c r="B3847" s="6">
        <v>45849</v>
      </c>
      <c r="C3847" s="2" t="s">
        <v>4174</v>
      </c>
    </row>
    <row r="3848" spans="2:3">
      <c r="B3848" s="6">
        <v>45850</v>
      </c>
      <c r="C3848" s="2" t="s">
        <v>690</v>
      </c>
    </row>
    <row r="3849" spans="2:3">
      <c r="B3849" s="6">
        <v>45851</v>
      </c>
      <c r="C3849" s="2" t="s">
        <v>4175</v>
      </c>
    </row>
    <row r="3850" spans="2:3">
      <c r="B3850" s="6">
        <v>45852</v>
      </c>
      <c r="C3850" s="2" t="s">
        <v>691</v>
      </c>
    </row>
    <row r="3851" spans="2:3">
      <c r="B3851" s="6">
        <v>45853</v>
      </c>
      <c r="C3851" s="2" t="s">
        <v>4176</v>
      </c>
    </row>
    <row r="3852" spans="2:3">
      <c r="B3852" s="6">
        <v>45854</v>
      </c>
      <c r="C3852" s="2" t="s">
        <v>784</v>
      </c>
    </row>
    <row r="3853" spans="2:3">
      <c r="B3853" s="6">
        <v>45855</v>
      </c>
      <c r="C3853" s="2" t="s">
        <v>692</v>
      </c>
    </row>
    <row r="3854" spans="2:3">
      <c r="B3854" s="6">
        <v>45856</v>
      </c>
      <c r="C3854" s="2" t="s">
        <v>785</v>
      </c>
    </row>
    <row r="3855" spans="2:3">
      <c r="B3855" s="6">
        <v>45857</v>
      </c>
      <c r="C3855" s="2" t="s">
        <v>4177</v>
      </c>
    </row>
    <row r="3856" spans="2:3">
      <c r="B3856" s="6">
        <v>45858</v>
      </c>
      <c r="C3856" s="2" t="s">
        <v>786</v>
      </c>
    </row>
    <row r="3857" spans="2:3">
      <c r="B3857" s="6">
        <v>45859</v>
      </c>
      <c r="C3857" s="2" t="s">
        <v>693</v>
      </c>
    </row>
    <row r="3858" spans="2:3">
      <c r="B3858" s="6">
        <v>45860</v>
      </c>
      <c r="C3858" s="2" t="s">
        <v>4178</v>
      </c>
    </row>
    <row r="3859" spans="2:3">
      <c r="B3859" s="6">
        <v>45861</v>
      </c>
      <c r="C3859" s="2" t="s">
        <v>787</v>
      </c>
    </row>
    <row r="3860" spans="2:3">
      <c r="B3860" s="6">
        <v>45862</v>
      </c>
      <c r="C3860" s="2" t="s">
        <v>4179</v>
      </c>
    </row>
    <row r="3861" spans="2:3">
      <c r="B3861" s="6">
        <v>45863</v>
      </c>
      <c r="C3861" s="2" t="s">
        <v>4180</v>
      </c>
    </row>
    <row r="3862" spans="2:3">
      <c r="B3862" s="6">
        <v>45864</v>
      </c>
      <c r="C3862" s="2" t="s">
        <v>4181</v>
      </c>
    </row>
    <row r="3863" spans="2:3">
      <c r="B3863" s="6">
        <v>45865</v>
      </c>
      <c r="C3863" s="2" t="s">
        <v>4182</v>
      </c>
    </row>
    <row r="3864" spans="2:3">
      <c r="B3864" s="6">
        <v>45866</v>
      </c>
      <c r="C3864" s="2" t="s">
        <v>4183</v>
      </c>
    </row>
    <row r="3865" spans="2:3">
      <c r="B3865" s="6">
        <v>45867</v>
      </c>
      <c r="C3865" s="2" t="s">
        <v>4184</v>
      </c>
    </row>
    <row r="3866" spans="2:3">
      <c r="B3866" s="6">
        <v>45868</v>
      </c>
      <c r="C3866" s="2" t="s">
        <v>4185</v>
      </c>
    </row>
    <row r="3867" spans="2:3">
      <c r="B3867" s="6">
        <v>45869</v>
      </c>
      <c r="C3867" s="2" t="s">
        <v>4186</v>
      </c>
    </row>
    <row r="3868" spans="2:3">
      <c r="B3868" s="6">
        <v>45870</v>
      </c>
      <c r="C3868" s="2" t="s">
        <v>4187</v>
      </c>
    </row>
    <row r="3869" spans="2:3">
      <c r="B3869" s="6">
        <v>45871</v>
      </c>
      <c r="C3869" s="2" t="s">
        <v>4188</v>
      </c>
    </row>
    <row r="3870" spans="2:3">
      <c r="B3870" s="6">
        <v>45872</v>
      </c>
      <c r="C3870" s="2" t="s">
        <v>4189</v>
      </c>
    </row>
    <row r="3871" spans="2:3">
      <c r="B3871" s="6">
        <v>45873</v>
      </c>
      <c r="C3871" s="2" t="s">
        <v>4190</v>
      </c>
    </row>
    <row r="3872" spans="2:3">
      <c r="B3872" s="6">
        <v>45874</v>
      </c>
      <c r="C3872" s="2" t="s">
        <v>4191</v>
      </c>
    </row>
    <row r="3873" spans="2:3">
      <c r="B3873" s="6">
        <v>45875</v>
      </c>
      <c r="C3873" s="2" t="s">
        <v>4192</v>
      </c>
    </row>
    <row r="3874" spans="2:3">
      <c r="B3874" s="6">
        <v>45876</v>
      </c>
      <c r="C3874" s="2" t="s">
        <v>4193</v>
      </c>
    </row>
    <row r="3875" spans="2:3">
      <c r="B3875" s="6">
        <v>45877</v>
      </c>
      <c r="C3875" s="2" t="s">
        <v>4194</v>
      </c>
    </row>
    <row r="3876" spans="2:3">
      <c r="B3876" s="6">
        <v>45878</v>
      </c>
      <c r="C3876" s="2" t="s">
        <v>4195</v>
      </c>
    </row>
    <row r="3877" spans="2:3">
      <c r="B3877" s="6">
        <v>45879</v>
      </c>
      <c r="C3877" s="2" t="s">
        <v>4196</v>
      </c>
    </row>
    <row r="3878" spans="2:3">
      <c r="B3878" s="6">
        <v>45880</v>
      </c>
      <c r="C3878" s="2" t="s">
        <v>4197</v>
      </c>
    </row>
    <row r="3879" spans="2:3">
      <c r="B3879" s="6">
        <v>45881</v>
      </c>
      <c r="C3879" s="2" t="s">
        <v>4198</v>
      </c>
    </row>
    <row r="3880" spans="2:3">
      <c r="B3880" s="6">
        <v>45882</v>
      </c>
      <c r="C3880" s="2" t="s">
        <v>4199</v>
      </c>
    </row>
    <row r="3881" spans="2:3">
      <c r="B3881" s="6">
        <v>45883</v>
      </c>
      <c r="C3881" s="2" t="s">
        <v>4200</v>
      </c>
    </row>
    <row r="3882" spans="2:3">
      <c r="B3882" s="6">
        <v>45884</v>
      </c>
      <c r="C3882" s="2" t="s">
        <v>4201</v>
      </c>
    </row>
    <row r="3883" spans="2:3">
      <c r="B3883" s="6">
        <v>45885</v>
      </c>
      <c r="C3883" s="2" t="s">
        <v>4202</v>
      </c>
    </row>
    <row r="3884" spans="2:3">
      <c r="B3884" s="6">
        <v>45886</v>
      </c>
      <c r="C3884" s="2" t="s">
        <v>4203</v>
      </c>
    </row>
    <row r="3885" spans="2:3">
      <c r="B3885" s="6">
        <v>45887</v>
      </c>
      <c r="C3885" s="2" t="s">
        <v>4204</v>
      </c>
    </row>
    <row r="3886" spans="2:3">
      <c r="B3886" s="6">
        <v>45888</v>
      </c>
      <c r="C3886" s="2" t="s">
        <v>4205</v>
      </c>
    </row>
    <row r="3887" spans="2:3">
      <c r="B3887" s="6">
        <v>45889</v>
      </c>
      <c r="C3887" s="2" t="s">
        <v>4206</v>
      </c>
    </row>
    <row r="3888" spans="2:3">
      <c r="B3888" s="6">
        <v>45890</v>
      </c>
      <c r="C3888" s="2" t="s">
        <v>4207</v>
      </c>
    </row>
    <row r="3889" spans="2:3">
      <c r="B3889" s="6">
        <v>45891</v>
      </c>
      <c r="C3889" s="2" t="s">
        <v>4208</v>
      </c>
    </row>
    <row r="3890" spans="2:3">
      <c r="B3890" s="6">
        <v>45892</v>
      </c>
      <c r="C3890" s="2" t="s">
        <v>4209</v>
      </c>
    </row>
    <row r="3891" spans="2:3">
      <c r="B3891" s="6">
        <v>45893</v>
      </c>
      <c r="C3891" s="2" t="s">
        <v>4210</v>
      </c>
    </row>
    <row r="3892" spans="2:3">
      <c r="B3892" s="6">
        <v>45894</v>
      </c>
      <c r="C3892" s="2" t="s">
        <v>4211</v>
      </c>
    </row>
    <row r="3893" spans="2:3">
      <c r="B3893" s="6">
        <v>45895</v>
      </c>
      <c r="C3893" s="2" t="s">
        <v>4212</v>
      </c>
    </row>
    <row r="3894" spans="2:3">
      <c r="B3894" s="6">
        <v>45896</v>
      </c>
      <c r="C3894" s="2" t="s">
        <v>556</v>
      </c>
    </row>
    <row r="3895" spans="2:3">
      <c r="B3895" s="6">
        <v>45897</v>
      </c>
      <c r="C3895" s="2" t="s">
        <v>557</v>
      </c>
    </row>
    <row r="3896" spans="2:3">
      <c r="B3896" s="6">
        <v>45898</v>
      </c>
      <c r="C3896" s="2" t="s">
        <v>4213</v>
      </c>
    </row>
    <row r="3897" spans="2:3">
      <c r="B3897" s="6">
        <v>45899</v>
      </c>
      <c r="C3897" s="2" t="s">
        <v>558</v>
      </c>
    </row>
    <row r="3898" spans="2:3">
      <c r="B3898" s="6">
        <v>45900</v>
      </c>
      <c r="C3898" s="2" t="s">
        <v>4214</v>
      </c>
    </row>
    <row r="3899" spans="2:3">
      <c r="B3899" s="6">
        <v>45901</v>
      </c>
      <c r="C3899" s="2" t="s">
        <v>4215</v>
      </c>
    </row>
    <row r="3900" spans="2:3">
      <c r="B3900" s="6">
        <v>45902</v>
      </c>
      <c r="C3900" s="2" t="s">
        <v>559</v>
      </c>
    </row>
    <row r="3901" spans="2:3">
      <c r="B3901" s="6">
        <v>45903</v>
      </c>
      <c r="C3901" s="2" t="s">
        <v>4216</v>
      </c>
    </row>
    <row r="3902" spans="2:3">
      <c r="B3902" s="6">
        <v>45904</v>
      </c>
      <c r="C3902" s="2" t="s">
        <v>4217</v>
      </c>
    </row>
    <row r="3903" spans="2:3">
      <c r="B3903" s="6">
        <v>45905</v>
      </c>
      <c r="C3903" s="2" t="s">
        <v>4218</v>
      </c>
    </row>
    <row r="3904" spans="2:3">
      <c r="B3904" s="6">
        <v>45906</v>
      </c>
      <c r="C3904" s="2" t="s">
        <v>4219</v>
      </c>
    </row>
    <row r="3905" spans="2:3">
      <c r="B3905" s="6">
        <v>45907</v>
      </c>
      <c r="C3905" s="2" t="s">
        <v>4220</v>
      </c>
    </row>
    <row r="3906" spans="2:3">
      <c r="B3906" s="6">
        <v>45908</v>
      </c>
      <c r="C3906" s="2" t="s">
        <v>4221</v>
      </c>
    </row>
    <row r="3907" spans="2:3">
      <c r="B3907" s="6">
        <v>45909</v>
      </c>
      <c r="C3907" s="2" t="s">
        <v>4222</v>
      </c>
    </row>
    <row r="3908" spans="2:3">
      <c r="B3908" s="6">
        <v>45910</v>
      </c>
      <c r="C3908" s="2" t="s">
        <v>4223</v>
      </c>
    </row>
    <row r="3909" spans="2:3">
      <c r="B3909" s="6">
        <v>45911</v>
      </c>
      <c r="C3909" s="2" t="s">
        <v>4224</v>
      </c>
    </row>
    <row r="3910" spans="2:3">
      <c r="B3910" s="6">
        <v>45912</v>
      </c>
      <c r="C3910" s="2" t="s">
        <v>4225</v>
      </c>
    </row>
    <row r="3911" spans="2:3">
      <c r="B3911" s="6">
        <v>45913</v>
      </c>
      <c r="C3911" s="2" t="s">
        <v>4226</v>
      </c>
    </row>
    <row r="3912" spans="2:3">
      <c r="B3912" s="6">
        <v>45914</v>
      </c>
      <c r="C3912" s="2" t="s">
        <v>4227</v>
      </c>
    </row>
    <row r="3913" spans="2:3">
      <c r="B3913" s="6">
        <v>45915</v>
      </c>
      <c r="C3913" s="2" t="s">
        <v>4228</v>
      </c>
    </row>
    <row r="3914" spans="2:3">
      <c r="B3914" s="6">
        <v>45916</v>
      </c>
      <c r="C3914" s="2" t="s">
        <v>4229</v>
      </c>
    </row>
    <row r="3915" spans="2:3">
      <c r="B3915" s="6">
        <v>45917</v>
      </c>
      <c r="C3915" s="2" t="s">
        <v>377</v>
      </c>
    </row>
    <row r="3916" spans="2:3">
      <c r="B3916" s="6">
        <v>45918</v>
      </c>
      <c r="C3916" s="2" t="s">
        <v>378</v>
      </c>
    </row>
    <row r="3917" spans="2:3">
      <c r="B3917" s="6">
        <v>45919</v>
      </c>
      <c r="C3917" s="2" t="s">
        <v>379</v>
      </c>
    </row>
    <row r="3918" spans="2:3">
      <c r="B3918" s="6">
        <v>45920</v>
      </c>
      <c r="C3918" s="2" t="s">
        <v>380</v>
      </c>
    </row>
    <row r="3919" spans="2:3">
      <c r="B3919" s="6">
        <v>45921</v>
      </c>
      <c r="C3919" s="2" t="s">
        <v>4230</v>
      </c>
    </row>
    <row r="3920" spans="2:3">
      <c r="B3920" s="6">
        <v>45922</v>
      </c>
      <c r="C3920" s="2" t="s">
        <v>4231</v>
      </c>
    </row>
    <row r="3921" spans="2:3">
      <c r="B3921" s="6">
        <v>45923</v>
      </c>
      <c r="C3921" s="2" t="s">
        <v>597</v>
      </c>
    </row>
    <row r="3922" spans="2:3">
      <c r="B3922" s="6">
        <v>45924</v>
      </c>
      <c r="C3922" s="2" t="s">
        <v>4232</v>
      </c>
    </row>
    <row r="3923" spans="2:3">
      <c r="B3923" s="6">
        <v>45925</v>
      </c>
      <c r="C3923" s="2" t="s">
        <v>4233</v>
      </c>
    </row>
    <row r="3924" spans="2:3">
      <c r="B3924" s="6">
        <v>45926</v>
      </c>
      <c r="C3924" s="2" t="s">
        <v>598</v>
      </c>
    </row>
    <row r="3925" spans="2:3">
      <c r="B3925" s="6">
        <v>45927</v>
      </c>
      <c r="C3925" s="2" t="s">
        <v>4234</v>
      </c>
    </row>
    <row r="3926" spans="2:3">
      <c r="B3926" s="6">
        <v>45928</v>
      </c>
      <c r="C3926" s="2" t="s">
        <v>4235</v>
      </c>
    </row>
    <row r="3927" spans="2:3">
      <c r="B3927" s="6">
        <v>45929</v>
      </c>
      <c r="C3927" s="2" t="s">
        <v>4236</v>
      </c>
    </row>
    <row r="3928" spans="2:3">
      <c r="B3928" s="6">
        <v>45930</v>
      </c>
      <c r="C3928" s="2" t="s">
        <v>4237</v>
      </c>
    </row>
    <row r="3929" spans="2:3">
      <c r="B3929" s="6">
        <v>45931</v>
      </c>
      <c r="C3929" s="2" t="s">
        <v>4238</v>
      </c>
    </row>
    <row r="3930" spans="2:3">
      <c r="B3930" s="6">
        <v>45932</v>
      </c>
      <c r="C3930" s="2" t="s">
        <v>4239</v>
      </c>
    </row>
    <row r="3931" spans="2:3">
      <c r="B3931" s="6">
        <v>45933</v>
      </c>
      <c r="C3931" s="2" t="s">
        <v>4240</v>
      </c>
    </row>
    <row r="3932" spans="2:3">
      <c r="B3932" s="6">
        <v>45934</v>
      </c>
      <c r="C3932" s="2" t="s">
        <v>4241</v>
      </c>
    </row>
    <row r="3933" spans="2:3">
      <c r="B3933" s="6">
        <v>45935</v>
      </c>
      <c r="C3933" s="2" t="s">
        <v>4242</v>
      </c>
    </row>
    <row r="3934" spans="2:3">
      <c r="B3934" s="6">
        <v>45936</v>
      </c>
      <c r="C3934" s="2" t="s">
        <v>4243</v>
      </c>
    </row>
    <row r="3935" spans="2:3">
      <c r="B3935" s="6">
        <v>45937</v>
      </c>
      <c r="C3935" s="2" t="s">
        <v>4244</v>
      </c>
    </row>
    <row r="3936" spans="2:3">
      <c r="B3936" s="6">
        <v>45938</v>
      </c>
      <c r="C3936" s="2" t="s">
        <v>4245</v>
      </c>
    </row>
    <row r="3937" spans="2:3">
      <c r="B3937" s="6">
        <v>45939</v>
      </c>
      <c r="C3937" s="2" t="s">
        <v>4246</v>
      </c>
    </row>
    <row r="3938" spans="2:3">
      <c r="B3938" s="6">
        <v>45940</v>
      </c>
      <c r="C3938" s="2" t="s">
        <v>4247</v>
      </c>
    </row>
    <row r="3939" spans="2:3">
      <c r="B3939" s="6">
        <v>45941</v>
      </c>
      <c r="C3939" s="2" t="s">
        <v>4248</v>
      </c>
    </row>
    <row r="3940" spans="2:3">
      <c r="B3940" s="6">
        <v>45942</v>
      </c>
      <c r="C3940" s="2" t="s">
        <v>4249</v>
      </c>
    </row>
    <row r="3941" spans="2:3">
      <c r="B3941" s="6">
        <v>45943</v>
      </c>
      <c r="C3941" s="2" t="s">
        <v>4250</v>
      </c>
    </row>
    <row r="3942" spans="2:3">
      <c r="B3942" s="6">
        <v>45944</v>
      </c>
      <c r="C3942" s="2" t="s">
        <v>4251</v>
      </c>
    </row>
    <row r="3943" spans="2:3">
      <c r="B3943" s="6">
        <v>45945</v>
      </c>
      <c r="C3943" s="2" t="s">
        <v>4252</v>
      </c>
    </row>
    <row r="3944" spans="2:3">
      <c r="B3944" s="6">
        <v>45946</v>
      </c>
      <c r="C3944" s="2" t="s">
        <v>4253</v>
      </c>
    </row>
    <row r="3945" spans="2:3">
      <c r="B3945" s="6">
        <v>45947</v>
      </c>
      <c r="C3945" s="2" t="s">
        <v>4254</v>
      </c>
    </row>
    <row r="3946" spans="2:3">
      <c r="B3946" s="6">
        <v>45948</v>
      </c>
      <c r="C3946" s="2" t="s">
        <v>4255</v>
      </c>
    </row>
    <row r="3947" spans="2:3">
      <c r="B3947" s="6">
        <v>45949</v>
      </c>
      <c r="C3947" s="2" t="s">
        <v>4256</v>
      </c>
    </row>
    <row r="3948" spans="2:3">
      <c r="B3948" s="6">
        <v>45950</v>
      </c>
      <c r="C3948" s="2" t="s">
        <v>4257</v>
      </c>
    </row>
    <row r="3949" spans="2:3">
      <c r="B3949" s="6">
        <v>45951</v>
      </c>
      <c r="C3949" s="2" t="s">
        <v>4258</v>
      </c>
    </row>
    <row r="3950" spans="2:3">
      <c r="B3950" s="6">
        <v>45952</v>
      </c>
      <c r="C3950" s="2" t="s">
        <v>4259</v>
      </c>
    </row>
    <row r="3951" spans="2:3">
      <c r="B3951" s="6">
        <v>45953</v>
      </c>
      <c r="C3951" s="2" t="s">
        <v>4260</v>
      </c>
    </row>
    <row r="3952" spans="2:3">
      <c r="B3952" s="6">
        <v>45954</v>
      </c>
      <c r="C3952" s="2" t="s">
        <v>4261</v>
      </c>
    </row>
    <row r="3953" spans="2:3">
      <c r="B3953" s="6">
        <v>45955</v>
      </c>
      <c r="C3953" s="2" t="s">
        <v>4262</v>
      </c>
    </row>
    <row r="3954" spans="2:3">
      <c r="B3954" s="6">
        <v>45956</v>
      </c>
      <c r="C3954" s="2" t="s">
        <v>4263</v>
      </c>
    </row>
    <row r="3955" spans="2:3">
      <c r="B3955" s="6">
        <v>45957</v>
      </c>
      <c r="C3955" s="2" t="s">
        <v>4264</v>
      </c>
    </row>
    <row r="3956" spans="2:3">
      <c r="B3956" s="6">
        <v>45958</v>
      </c>
      <c r="C3956" s="2" t="s">
        <v>4265</v>
      </c>
    </row>
    <row r="3957" spans="2:3">
      <c r="B3957" s="6">
        <v>45959</v>
      </c>
      <c r="C3957" s="2" t="s">
        <v>4266</v>
      </c>
    </row>
    <row r="3958" spans="2:3">
      <c r="B3958" s="6">
        <v>45960</v>
      </c>
      <c r="C3958" s="2" t="s">
        <v>4267</v>
      </c>
    </row>
    <row r="3959" spans="2:3">
      <c r="B3959" s="6">
        <v>45961</v>
      </c>
      <c r="C3959" s="2" t="s">
        <v>4268</v>
      </c>
    </row>
    <row r="3960" spans="2:3">
      <c r="B3960" s="6">
        <v>45962</v>
      </c>
      <c r="C3960" s="2" t="s">
        <v>4269</v>
      </c>
    </row>
    <row r="3961" spans="2:3">
      <c r="B3961" s="6">
        <v>45963</v>
      </c>
      <c r="C3961" s="2" t="s">
        <v>4270</v>
      </c>
    </row>
    <row r="3962" spans="2:3">
      <c r="B3962" s="6">
        <v>45964</v>
      </c>
      <c r="C3962" s="2" t="s">
        <v>4271</v>
      </c>
    </row>
    <row r="3963" spans="2:3">
      <c r="B3963" s="6">
        <v>45965</v>
      </c>
      <c r="C3963" s="2" t="s">
        <v>4272</v>
      </c>
    </row>
    <row r="3964" spans="2:3">
      <c r="B3964" s="6">
        <v>45966</v>
      </c>
      <c r="C3964" s="2" t="s">
        <v>4273</v>
      </c>
    </row>
    <row r="3965" spans="2:3">
      <c r="B3965" s="6">
        <v>45967</v>
      </c>
      <c r="C3965" s="2" t="s">
        <v>4274</v>
      </c>
    </row>
    <row r="3966" spans="2:3">
      <c r="B3966" s="6">
        <v>45968</v>
      </c>
      <c r="C3966" s="2" t="s">
        <v>4275</v>
      </c>
    </row>
    <row r="3967" spans="2:3">
      <c r="B3967" s="6">
        <v>45969</v>
      </c>
      <c r="C3967" s="2" t="s">
        <v>4276</v>
      </c>
    </row>
    <row r="3968" spans="2:3">
      <c r="B3968" s="6">
        <v>45970</v>
      </c>
      <c r="C3968" s="2" t="s">
        <v>4277</v>
      </c>
    </row>
    <row r="3969" spans="2:3">
      <c r="B3969" s="6">
        <v>45971</v>
      </c>
      <c r="C3969" s="2" t="s">
        <v>4278</v>
      </c>
    </row>
    <row r="3970" spans="2:3">
      <c r="B3970" s="6">
        <v>45972</v>
      </c>
      <c r="C3970" s="2" t="s">
        <v>4279</v>
      </c>
    </row>
    <row r="3971" spans="2:3">
      <c r="B3971" s="6">
        <v>45973</v>
      </c>
      <c r="C3971" s="2" t="s">
        <v>4280</v>
      </c>
    </row>
    <row r="3972" spans="2:3">
      <c r="B3972" s="6">
        <v>45974</v>
      </c>
      <c r="C3972" s="2" t="s">
        <v>4281</v>
      </c>
    </row>
    <row r="3973" spans="2:3">
      <c r="B3973" s="6">
        <v>45975</v>
      </c>
      <c r="C3973" s="2" t="s">
        <v>4282</v>
      </c>
    </row>
    <row r="3974" spans="2:3">
      <c r="B3974" s="6">
        <v>45976</v>
      </c>
      <c r="C3974" s="2" t="s">
        <v>4283</v>
      </c>
    </row>
    <row r="3975" spans="2:3">
      <c r="B3975" s="6">
        <v>45977</v>
      </c>
      <c r="C3975" s="2" t="s">
        <v>4284</v>
      </c>
    </row>
    <row r="3976" spans="2:3">
      <c r="B3976" s="6">
        <v>45978</v>
      </c>
      <c r="C3976" s="2" t="s">
        <v>4285</v>
      </c>
    </row>
    <row r="3977" spans="2:3">
      <c r="B3977" s="6">
        <v>45979</v>
      </c>
      <c r="C3977" s="2" t="s">
        <v>4286</v>
      </c>
    </row>
    <row r="3978" spans="2:3">
      <c r="B3978" s="6">
        <v>45980</v>
      </c>
      <c r="C3978" s="2" t="s">
        <v>345</v>
      </c>
    </row>
    <row r="3979" spans="2:3">
      <c r="B3979" s="6">
        <v>45981</v>
      </c>
      <c r="C3979" s="2" t="s">
        <v>346</v>
      </c>
    </row>
    <row r="3980" spans="2:3">
      <c r="B3980" s="6">
        <v>45982</v>
      </c>
      <c r="C3980" s="2" t="s">
        <v>4287</v>
      </c>
    </row>
    <row r="3981" spans="2:3">
      <c r="B3981" s="6">
        <v>45983</v>
      </c>
      <c r="C3981" s="2" t="s">
        <v>4288</v>
      </c>
    </row>
    <row r="3982" spans="2:3">
      <c r="B3982" s="6">
        <v>45984</v>
      </c>
      <c r="C3982" s="2" t="s">
        <v>347</v>
      </c>
    </row>
    <row r="3983" spans="2:3">
      <c r="B3983" s="6">
        <v>45985</v>
      </c>
      <c r="C3983" s="2" t="s">
        <v>348</v>
      </c>
    </row>
    <row r="3984" spans="2:3">
      <c r="B3984" s="6">
        <v>45986</v>
      </c>
      <c r="C3984" s="2" t="s">
        <v>4289</v>
      </c>
    </row>
    <row r="3985" spans="2:3">
      <c r="B3985" s="6">
        <v>45987</v>
      </c>
      <c r="C3985" s="2" t="s">
        <v>4290</v>
      </c>
    </row>
    <row r="3986" spans="2:3">
      <c r="B3986" s="6">
        <v>45988</v>
      </c>
      <c r="C3986" s="2" t="s">
        <v>4291</v>
      </c>
    </row>
    <row r="3987" spans="2:3">
      <c r="B3987" s="6">
        <v>45989</v>
      </c>
      <c r="C3987" s="2" t="s">
        <v>4292</v>
      </c>
    </row>
    <row r="3988" spans="2:3">
      <c r="B3988" s="6">
        <v>45990</v>
      </c>
      <c r="C3988" s="2" t="s">
        <v>4293</v>
      </c>
    </row>
    <row r="3989" spans="2:3">
      <c r="B3989" s="6">
        <v>45991</v>
      </c>
      <c r="C3989" s="2" t="s">
        <v>4294</v>
      </c>
    </row>
    <row r="3990" spans="2:3">
      <c r="B3990" s="6">
        <v>45992</v>
      </c>
      <c r="C3990" s="2" t="s">
        <v>4295</v>
      </c>
    </row>
    <row r="3991" spans="2:3">
      <c r="B3991" s="6">
        <v>45993</v>
      </c>
      <c r="C3991" s="2" t="s">
        <v>4296</v>
      </c>
    </row>
    <row r="3992" spans="2:3">
      <c r="B3992" s="6">
        <v>45994</v>
      </c>
      <c r="C3992" s="2" t="s">
        <v>730</v>
      </c>
    </row>
    <row r="3993" spans="2:3">
      <c r="B3993" s="6">
        <v>45995</v>
      </c>
      <c r="C3993" s="2" t="s">
        <v>4297</v>
      </c>
    </row>
    <row r="3994" spans="2:3">
      <c r="B3994" s="6">
        <v>45996</v>
      </c>
      <c r="C3994" s="2" t="s">
        <v>731</v>
      </c>
    </row>
    <row r="3995" spans="2:3">
      <c r="B3995" s="6">
        <v>45997</v>
      </c>
      <c r="C3995" s="2" t="s">
        <v>4298</v>
      </c>
    </row>
    <row r="3996" spans="2:3">
      <c r="B3996" s="6">
        <v>45998</v>
      </c>
      <c r="C3996" s="2" t="s">
        <v>4299</v>
      </c>
    </row>
    <row r="3997" spans="2:3">
      <c r="B3997" s="6">
        <v>45999</v>
      </c>
      <c r="C3997" s="2" t="s">
        <v>732</v>
      </c>
    </row>
    <row r="3998" spans="2:3">
      <c r="B3998" s="6">
        <v>46000</v>
      </c>
      <c r="C3998" s="2" t="s">
        <v>733</v>
      </c>
    </row>
    <row r="3999" spans="2:3">
      <c r="B3999" s="6">
        <v>46001</v>
      </c>
      <c r="C3999" s="2" t="s">
        <v>4300</v>
      </c>
    </row>
    <row r="4000" spans="2:3">
      <c r="B4000" s="6">
        <v>46002</v>
      </c>
      <c r="C4000" s="2" t="s">
        <v>4301</v>
      </c>
    </row>
    <row r="4001" spans="2:3">
      <c r="B4001" s="6">
        <v>46003</v>
      </c>
      <c r="C4001" s="2" t="s">
        <v>4302</v>
      </c>
    </row>
    <row r="4002" spans="2:3">
      <c r="B4002" s="6">
        <v>46004</v>
      </c>
      <c r="C4002" s="2" t="s">
        <v>4303</v>
      </c>
    </row>
    <row r="4003" spans="2:3">
      <c r="B4003" s="6">
        <v>46005</v>
      </c>
      <c r="C4003" s="2" t="s">
        <v>4304</v>
      </c>
    </row>
    <row r="4004" spans="2:3">
      <c r="B4004" s="6">
        <v>46006</v>
      </c>
      <c r="C4004" s="2" t="s">
        <v>4305</v>
      </c>
    </row>
    <row r="4005" spans="2:3">
      <c r="B4005" s="6">
        <v>46007</v>
      </c>
      <c r="C4005" s="2" t="s">
        <v>4306</v>
      </c>
    </row>
    <row r="4006" spans="2:3">
      <c r="B4006" s="6">
        <v>46008</v>
      </c>
      <c r="C4006" s="2" t="s">
        <v>4307</v>
      </c>
    </row>
    <row r="4007" spans="2:3">
      <c r="B4007" s="6">
        <v>46009</v>
      </c>
      <c r="C4007" s="2" t="s">
        <v>4308</v>
      </c>
    </row>
    <row r="4008" spans="2:3">
      <c r="B4008" s="6">
        <v>46010</v>
      </c>
      <c r="C4008" s="2" t="s">
        <v>4309</v>
      </c>
    </row>
    <row r="4009" spans="2:3">
      <c r="B4009" s="6">
        <v>46011</v>
      </c>
      <c r="C4009" s="2" t="s">
        <v>4310</v>
      </c>
    </row>
    <row r="4010" spans="2:3">
      <c r="B4010" s="6">
        <v>46012</v>
      </c>
      <c r="C4010" s="2" t="s">
        <v>4311</v>
      </c>
    </row>
    <row r="4011" spans="2:3">
      <c r="B4011" s="6">
        <v>46013</v>
      </c>
      <c r="C4011" s="2" t="s">
        <v>4312</v>
      </c>
    </row>
    <row r="4012" spans="2:3">
      <c r="B4012" s="6">
        <v>46014</v>
      </c>
      <c r="C4012" s="2" t="s">
        <v>4313</v>
      </c>
    </row>
    <row r="4013" spans="2:3">
      <c r="B4013" s="6">
        <v>46015</v>
      </c>
      <c r="C4013" s="2" t="s">
        <v>4314</v>
      </c>
    </row>
    <row r="4014" spans="2:3">
      <c r="B4014" s="6">
        <v>46016</v>
      </c>
      <c r="C4014" s="2" t="s">
        <v>4315</v>
      </c>
    </row>
    <row r="4015" spans="2:3">
      <c r="B4015" s="6">
        <v>46017</v>
      </c>
      <c r="C4015" s="2" t="s">
        <v>4316</v>
      </c>
    </row>
    <row r="4016" spans="2:3">
      <c r="B4016" s="6">
        <v>46018</v>
      </c>
      <c r="C4016" s="2" t="s">
        <v>4317</v>
      </c>
    </row>
    <row r="4017" spans="2:3">
      <c r="B4017" s="6">
        <v>46019</v>
      </c>
      <c r="C4017" s="2" t="s">
        <v>4318</v>
      </c>
    </row>
    <row r="4018" spans="2:3">
      <c r="B4018" s="6">
        <v>46020</v>
      </c>
      <c r="C4018" s="2" t="s">
        <v>4319</v>
      </c>
    </row>
    <row r="4019" spans="2:3">
      <c r="B4019" s="6">
        <v>46021</v>
      </c>
      <c r="C4019" s="2" t="s">
        <v>4320</v>
      </c>
    </row>
    <row r="4020" spans="2:3">
      <c r="B4020" s="6">
        <v>46022</v>
      </c>
      <c r="C4020" s="2" t="s">
        <v>4321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7D5EA-0F50-4AC3-9C23-1B391831A271}">
  <dimension ref="A1:X423"/>
  <sheetViews>
    <sheetView topLeftCell="A403" workbookViewId="0">
      <selection activeCell="D422" sqref="D422"/>
    </sheetView>
  </sheetViews>
  <sheetFormatPr defaultRowHeight="15"/>
  <cols>
    <col min="1" max="1" width="45" customWidth="1"/>
    <col min="2" max="2" width="31" customWidth="1"/>
    <col min="3" max="3" width="31.42578125" customWidth="1"/>
    <col min="4" max="4" width="36.5703125" bestFit="1" customWidth="1"/>
    <col min="5" max="5" width="15.42578125" bestFit="1" customWidth="1"/>
  </cols>
  <sheetData>
    <row r="1" spans="1:24" ht="18.75">
      <c r="A1" s="101" t="s">
        <v>4322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</row>
    <row r="2" spans="1:24" ht="29.25">
      <c r="A2" s="15" t="s">
        <v>4323</v>
      </c>
      <c r="B2" t="s">
        <v>4324</v>
      </c>
      <c r="C2" s="16" t="s">
        <v>4325</v>
      </c>
      <c r="D2" s="16" t="s">
        <v>16</v>
      </c>
    </row>
    <row r="3" spans="1:24">
      <c r="C3" s="17" t="s">
        <v>38</v>
      </c>
      <c r="D3" s="17" t="str" cm="1">
        <f t="array" ref="D3">_xlfn.XLOOKUP(C3,SALES!$D$1:$D$161,SALES!$B$1:$B$161,"NOT FOUND",0,1)</f>
        <v>Nothing</v>
      </c>
    </row>
    <row r="5" spans="1:24" ht="29.25">
      <c r="A5" s="15" t="s">
        <v>4326</v>
      </c>
      <c r="C5" s="19" t="s">
        <v>4325</v>
      </c>
      <c r="D5" s="19" t="s">
        <v>16</v>
      </c>
      <c r="E5" s="19" t="s">
        <v>4327</v>
      </c>
      <c r="F5" s="19" t="s">
        <v>4328</v>
      </c>
      <c r="G5" s="19" t="s">
        <v>4329</v>
      </c>
    </row>
    <row r="6" spans="1:24">
      <c r="C6" s="18" t="s">
        <v>209</v>
      </c>
      <c r="D6" s="20" t="str" cm="1">
        <f t="array" aca="1" ref="D6:H6" ca="1">_xlfn.XLOOKUP(C6,SALES!$D$1:$D$161, SALES!$F$1:$F$161 : SALES!$B$1,"No Matching Data",0,1)</f>
        <v>Realme</v>
      </c>
      <c r="E6" s="20" t="str">
        <f ca="1"/>
        <v>Realme GT Neo3</v>
      </c>
      <c r="F6" s="20" t="str">
        <f ca="1"/>
        <v>S1117</v>
      </c>
      <c r="G6" s="20">
        <f ca="1"/>
        <v>1</v>
      </c>
      <c r="H6">
        <f ca="1"/>
        <v>78139</v>
      </c>
    </row>
    <row r="8" spans="1:24" ht="29.25">
      <c r="A8" s="15" t="s">
        <v>4330</v>
      </c>
      <c r="C8" s="23" t="s">
        <v>4325</v>
      </c>
      <c r="D8" s="23" t="s">
        <v>4331</v>
      </c>
      <c r="E8" s="23" t="s">
        <v>4332</v>
      </c>
      <c r="F8" s="23" t="s">
        <v>4333</v>
      </c>
    </row>
    <row r="9" spans="1:24">
      <c r="C9" s="21" t="s">
        <v>175</v>
      </c>
      <c r="D9" s="21">
        <f>MATCH(C9,SALES!$D$1:$D$161,0)</f>
        <v>98</v>
      </c>
      <c r="E9" s="22" t="str" cm="1">
        <f t="array" ref="E9">INDEX(SALES!H:H, D9)</f>
        <v>Hyderabad</v>
      </c>
      <c r="F9" s="21" t="str" cm="1">
        <f t="array" ref="F9">INDEX(SALES!I:I,'Assignment _A'!D9,0)</f>
        <v>Kerala</v>
      </c>
    </row>
    <row r="11" spans="1:24" ht="29.25">
      <c r="A11" s="15" t="s">
        <v>4334</v>
      </c>
      <c r="B11" t="s">
        <v>4335</v>
      </c>
      <c r="C11" s="1" cm="1">
        <f t="array" ref="C11">_xlfn.XLOOKUP("Nothing Phone 2"&amp;"Hyderabad",SALES!C:C&amp;SALES!H:H,SALES!M:M,"NOOOOOO",0,1)</f>
        <v>44039</v>
      </c>
      <c r="D11" s="1" cm="1">
        <f t="array" ref="D11:D12">_xlfn._xlws.FILTER(SALES!$M$2:$M$161,(SALES!$C$2:$C$161="Nothing Phone 2")*(SALES!$H$2:$H$161="Hyderabad"))</f>
        <v>44039</v>
      </c>
    </row>
    <row r="12" spans="1:24">
      <c r="D12" s="1">
        <v>42703</v>
      </c>
    </row>
    <row r="15" spans="1:24" ht="29.25">
      <c r="A15" s="15" t="s">
        <v>4336</v>
      </c>
      <c r="C15">
        <f>_xlfn.XLOOKUP(MAX(SALES!E:E),SALES!E:E,(SALES!Q:Q),"NO DATA",0,1)</f>
        <v>22</v>
      </c>
    </row>
    <row r="18" spans="1:5" ht="29.25">
      <c r="A18" s="15" t="s">
        <v>4337</v>
      </c>
      <c r="C18" s="35" t="s">
        <v>4338</v>
      </c>
      <c r="D18" s="35" t="s">
        <v>4339</v>
      </c>
    </row>
    <row r="19" spans="1:5">
      <c r="C19" s="35" t="s">
        <v>65</v>
      </c>
      <c r="D19" s="35">
        <f>AVERAGEIF(Sales[BRAND_NAME],C19,Sales[PRICE_PER_UNIT])</f>
        <v>82926.350000000006</v>
      </c>
    </row>
    <row r="22" spans="1:5" ht="29.25">
      <c r="A22" s="15" t="s">
        <v>4340</v>
      </c>
      <c r="C22" s="38" t="s">
        <v>4341</v>
      </c>
      <c r="D22" s="38" t="s">
        <v>4342</v>
      </c>
    </row>
    <row r="23" spans="1:5">
      <c r="C23" s="37" t="s">
        <v>100</v>
      </c>
      <c r="D23" s="36" t="str">
        <f ca="1">VLOOKUP(C23,Sales[PRODUCT_NAME]:Sales[SALEID],2,TRUE)</f>
        <v>S1071</v>
      </c>
    </row>
    <row r="24" spans="1:5">
      <c r="D24" t="str">
        <f ca="1">VLOOKUP(C23,Sales[PRODUCT_NAME]:Sales[SALEID],2,TRUE)</f>
        <v>S1071</v>
      </c>
    </row>
    <row r="26" spans="1:5" ht="29.25">
      <c r="A26" s="15" t="s">
        <v>4343</v>
      </c>
      <c r="C26" s="39" t="s">
        <v>4344</v>
      </c>
      <c r="D26" s="40" t="s">
        <v>4345</v>
      </c>
      <c r="E26" s="41"/>
    </row>
    <row r="27" spans="1:5">
      <c r="C27" s="42">
        <v>44423</v>
      </c>
      <c r="D27" s="43" cm="1">
        <f t="array" aca="1" ref="D27:E27" ca="1">_xlfn._xlws.FILTER(Sales[ORDERDATE]:Sales[SHIPEDDATE],Sales[ORDERDATE]=C27,"NOTHING")</f>
        <v>44423</v>
      </c>
      <c r="E27" s="44">
        <f ca="1"/>
        <v>44424</v>
      </c>
    </row>
    <row r="32" spans="1:5" ht="29.25">
      <c r="A32" s="15" t="s">
        <v>4346</v>
      </c>
      <c r="C32" s="45" t="s">
        <v>4347</v>
      </c>
      <c r="D32" s="45" t="s">
        <v>4348</v>
      </c>
    </row>
    <row r="33" spans="1:4">
      <c r="C33" s="45" t="s">
        <v>4349</v>
      </c>
      <c r="D33" s="45" t="str">
        <f>_xlfn.XLOOKUP(C33,Sales[PRODUCT_NAME],Sales[SALEID],"No Matching",1,1)</f>
        <v>S1152</v>
      </c>
    </row>
    <row r="34" spans="1:4">
      <c r="C34" t="s">
        <v>4350</v>
      </c>
      <c r="D34" s="45" t="str">
        <f>_xlfn.XLOOKUP("*"&amp; C34 &amp; "*",Sales[PRODUCT_NAME],Sales[SALEID],"No Matching",2)</f>
        <v>S1037</v>
      </c>
    </row>
    <row r="38" spans="1:4" ht="29.25">
      <c r="A38" s="15" t="s">
        <v>4351</v>
      </c>
      <c r="C38" t="s">
        <v>4333</v>
      </c>
      <c r="D38" t="s">
        <v>4352</v>
      </c>
    </row>
    <row r="39" spans="1:4">
      <c r="C39" t="s">
        <v>4</v>
      </c>
      <c r="D39" t="str" cm="1">
        <f t="array" ref="D39:D69">_xlfn._xlws.FILTER(Sales[SALEID],Sales[STATE]=C39,"NO DATA with state ")</f>
        <v>S1001</v>
      </c>
    </row>
    <row r="40" spans="1:4">
      <c r="D40" t="str">
        <v>S1131</v>
      </c>
    </row>
    <row r="41" spans="1:4">
      <c r="D41" t="str">
        <v>S1067</v>
      </c>
    </row>
    <row r="42" spans="1:4">
      <c r="D42" t="str">
        <v>S1104</v>
      </c>
    </row>
    <row r="43" spans="1:4">
      <c r="D43" t="str">
        <v>S1152</v>
      </c>
    </row>
    <row r="44" spans="1:4">
      <c r="D44" t="str">
        <v>S1010</v>
      </c>
    </row>
    <row r="45" spans="1:4">
      <c r="D45" t="str">
        <v>S1056</v>
      </c>
    </row>
    <row r="46" spans="1:4">
      <c r="D46" t="str">
        <v>S1124</v>
      </c>
    </row>
    <row r="47" spans="1:4">
      <c r="D47" t="str">
        <v>S1025</v>
      </c>
    </row>
    <row r="48" spans="1:4">
      <c r="D48" t="str">
        <v>S1123</v>
      </c>
    </row>
    <row r="49" spans="4:4">
      <c r="D49" t="str">
        <v>S1076</v>
      </c>
    </row>
    <row r="50" spans="4:4">
      <c r="D50" t="str">
        <v>S1097</v>
      </c>
    </row>
    <row r="51" spans="4:4">
      <c r="D51" t="str">
        <v>S1118</v>
      </c>
    </row>
    <row r="52" spans="4:4">
      <c r="D52" t="str">
        <v>S1160</v>
      </c>
    </row>
    <row r="53" spans="4:4">
      <c r="D53" t="str">
        <v>S1146</v>
      </c>
    </row>
    <row r="54" spans="4:4">
      <c r="D54" t="str">
        <v>S1004</v>
      </c>
    </row>
    <row r="55" spans="4:4">
      <c r="D55" t="str">
        <v>S1114</v>
      </c>
    </row>
    <row r="56" spans="4:4">
      <c r="D56" t="str">
        <v>S1057</v>
      </c>
    </row>
    <row r="57" spans="4:4">
      <c r="D57" t="str">
        <v>S1107</v>
      </c>
    </row>
    <row r="58" spans="4:4">
      <c r="D58" t="str">
        <v>S1109</v>
      </c>
    </row>
    <row r="59" spans="4:4">
      <c r="D59" t="str">
        <v>S1112</v>
      </c>
    </row>
    <row r="60" spans="4:4">
      <c r="D60" t="str">
        <v>S1069</v>
      </c>
    </row>
    <row r="61" spans="4:4">
      <c r="D61" t="str">
        <v>S1081</v>
      </c>
    </row>
    <row r="62" spans="4:4">
      <c r="D62" t="str">
        <v>S1148</v>
      </c>
    </row>
    <row r="63" spans="4:4">
      <c r="D63" t="str">
        <v>S1095</v>
      </c>
    </row>
    <row r="64" spans="4:4">
      <c r="D64" t="str">
        <v>S1117</v>
      </c>
    </row>
    <row r="65" spans="1:4">
      <c r="D65" t="str">
        <v>S1080</v>
      </c>
    </row>
    <row r="66" spans="1:4">
      <c r="D66" t="str">
        <v>S1154</v>
      </c>
    </row>
    <row r="67" spans="1:4">
      <c r="D67" t="str">
        <v>S1147</v>
      </c>
    </row>
    <row r="68" spans="1:4">
      <c r="D68" t="str">
        <v>S1017</v>
      </c>
    </row>
    <row r="69" spans="1:4">
      <c r="D69" t="str">
        <v>S1153</v>
      </c>
    </row>
    <row r="73" spans="1:4" ht="29.25">
      <c r="A73" s="15" t="s">
        <v>4353</v>
      </c>
      <c r="C73" t="s">
        <v>4354</v>
      </c>
      <c r="D73" t="s">
        <v>4355</v>
      </c>
    </row>
    <row r="74" spans="1:4">
      <c r="C74" t="s">
        <v>32</v>
      </c>
      <c r="D74" t="str" cm="1">
        <f t="array" ref="D74">TEXT(MAX(_xlfn._xlws.FILTER(Sales[DELIVERY],Sales[BRAND_NAME]=C74," No Delivery Dates")),"DD-MM-YYYY")</f>
        <v>21-11-2024</v>
      </c>
    </row>
    <row r="77" spans="1:4" ht="29.25">
      <c r="A77" s="15" t="s">
        <v>4356</v>
      </c>
      <c r="C77" t="b" cm="1">
        <f t="array" ref="C77:C236">_xlfn.XLOOKUP(Sales[SALEID],Sales[SALEID],TBL_SALE_ID[SALEID]=Sales[SALEID],"Not matching",0,1)</f>
        <v>1</v>
      </c>
      <c r="D77" t="b" cm="1">
        <f t="array" ref="D77:D78">_xlfn.UNIQUE(_xlfn.ANCHORARRAY(C77))</f>
        <v>1</v>
      </c>
    </row>
    <row r="78" spans="1:4">
      <c r="C78" t="b">
        <v>1</v>
      </c>
      <c r="D78" t="b">
        <v>0</v>
      </c>
    </row>
    <row r="79" spans="1:4">
      <c r="C79" t="b">
        <v>1</v>
      </c>
    </row>
    <row r="80" spans="1:4">
      <c r="C80" t="b">
        <v>1</v>
      </c>
    </row>
    <row r="81" spans="3:3">
      <c r="C81" t="b">
        <v>1</v>
      </c>
    </row>
    <row r="82" spans="3:3">
      <c r="C82" t="b">
        <v>1</v>
      </c>
    </row>
    <row r="83" spans="3:3">
      <c r="C83" t="b">
        <v>1</v>
      </c>
    </row>
    <row r="84" spans="3:3">
      <c r="C84" t="b">
        <v>1</v>
      </c>
    </row>
    <row r="85" spans="3:3">
      <c r="C85" t="b">
        <v>1</v>
      </c>
    </row>
    <row r="86" spans="3:3">
      <c r="C86" t="b">
        <v>1</v>
      </c>
    </row>
    <row r="87" spans="3:3">
      <c r="C87" t="b">
        <v>1</v>
      </c>
    </row>
    <row r="88" spans="3:3">
      <c r="C88" t="b">
        <v>1</v>
      </c>
    </row>
    <row r="89" spans="3:3">
      <c r="C89" t="b">
        <v>1</v>
      </c>
    </row>
    <row r="90" spans="3:3">
      <c r="C90" t="b">
        <v>1</v>
      </c>
    </row>
    <row r="91" spans="3:3">
      <c r="C91" s="50" t="b">
        <v>0</v>
      </c>
    </row>
    <row r="92" spans="3:3">
      <c r="C92" t="b">
        <v>1</v>
      </c>
    </row>
    <row r="93" spans="3:3">
      <c r="C93" t="b">
        <v>1</v>
      </c>
    </row>
    <row r="94" spans="3:3">
      <c r="C94" t="b">
        <v>1</v>
      </c>
    </row>
    <row r="95" spans="3:3">
      <c r="C95" t="b">
        <v>1</v>
      </c>
    </row>
    <row r="96" spans="3:3">
      <c r="C96" t="b">
        <v>1</v>
      </c>
    </row>
    <row r="97" spans="3:3">
      <c r="C97" t="b">
        <v>1</v>
      </c>
    </row>
    <row r="98" spans="3:3">
      <c r="C98" t="b">
        <v>1</v>
      </c>
    </row>
    <row r="99" spans="3:3">
      <c r="C99" t="b">
        <v>1</v>
      </c>
    </row>
    <row r="100" spans="3:3">
      <c r="C100" t="b">
        <v>1</v>
      </c>
    </row>
    <row r="101" spans="3:3">
      <c r="C101" t="b">
        <v>1</v>
      </c>
    </row>
    <row r="102" spans="3:3">
      <c r="C102" t="b">
        <v>1</v>
      </c>
    </row>
    <row r="103" spans="3:3">
      <c r="C103" s="50" t="b">
        <v>0</v>
      </c>
    </row>
    <row r="104" spans="3:3">
      <c r="C104" t="b">
        <v>1</v>
      </c>
    </row>
    <row r="105" spans="3:3">
      <c r="C105" t="b">
        <v>1</v>
      </c>
    </row>
    <row r="106" spans="3:3">
      <c r="C106" t="b">
        <v>1</v>
      </c>
    </row>
    <row r="107" spans="3:3">
      <c r="C107" t="b">
        <v>1</v>
      </c>
    </row>
    <row r="108" spans="3:3">
      <c r="C108" t="b">
        <v>1</v>
      </c>
    </row>
    <row r="109" spans="3:3">
      <c r="C109" t="b">
        <v>1</v>
      </c>
    </row>
    <row r="110" spans="3:3">
      <c r="C110" t="b">
        <v>1</v>
      </c>
    </row>
    <row r="111" spans="3:3">
      <c r="C111" t="b">
        <v>1</v>
      </c>
    </row>
    <row r="112" spans="3:3">
      <c r="C112" t="b">
        <v>1</v>
      </c>
    </row>
    <row r="113" spans="3:3">
      <c r="C113" t="b">
        <v>1</v>
      </c>
    </row>
    <row r="114" spans="3:3">
      <c r="C114" t="b">
        <v>1</v>
      </c>
    </row>
    <row r="115" spans="3:3">
      <c r="C115" t="b">
        <v>1</v>
      </c>
    </row>
    <row r="116" spans="3:3">
      <c r="C116" t="b">
        <v>1</v>
      </c>
    </row>
    <row r="117" spans="3:3">
      <c r="C117" s="50" t="b">
        <v>0</v>
      </c>
    </row>
    <row r="118" spans="3:3">
      <c r="C118" t="b">
        <v>1</v>
      </c>
    </row>
    <row r="119" spans="3:3">
      <c r="C119" t="b">
        <v>1</v>
      </c>
    </row>
    <row r="120" spans="3:3">
      <c r="C120" t="b">
        <v>1</v>
      </c>
    </row>
    <row r="121" spans="3:3">
      <c r="C121" t="b">
        <v>1</v>
      </c>
    </row>
    <row r="122" spans="3:3">
      <c r="C122" t="b">
        <v>1</v>
      </c>
    </row>
    <row r="123" spans="3:3">
      <c r="C123" t="b">
        <v>1</v>
      </c>
    </row>
    <row r="124" spans="3:3">
      <c r="C124" t="b">
        <v>1</v>
      </c>
    </row>
    <row r="125" spans="3:3">
      <c r="C125" t="b">
        <v>1</v>
      </c>
    </row>
    <row r="126" spans="3:3">
      <c r="C126" t="b">
        <v>1</v>
      </c>
    </row>
    <row r="127" spans="3:3">
      <c r="C127" t="b">
        <v>1</v>
      </c>
    </row>
    <row r="128" spans="3:3">
      <c r="C128" t="b">
        <v>1</v>
      </c>
    </row>
    <row r="129" spans="3:3">
      <c r="C129" t="b">
        <v>1</v>
      </c>
    </row>
    <row r="130" spans="3:3">
      <c r="C130" t="b">
        <v>1</v>
      </c>
    </row>
    <row r="131" spans="3:3">
      <c r="C131" t="b">
        <v>1</v>
      </c>
    </row>
    <row r="132" spans="3:3">
      <c r="C132" t="b">
        <v>1</v>
      </c>
    </row>
    <row r="133" spans="3:3">
      <c r="C133" t="b">
        <v>1</v>
      </c>
    </row>
    <row r="134" spans="3:3">
      <c r="C134" t="b">
        <v>1</v>
      </c>
    </row>
    <row r="135" spans="3:3">
      <c r="C135" t="b">
        <v>1</v>
      </c>
    </row>
    <row r="136" spans="3:3">
      <c r="C136" t="b">
        <v>1</v>
      </c>
    </row>
    <row r="137" spans="3:3">
      <c r="C137" t="b">
        <v>1</v>
      </c>
    </row>
    <row r="138" spans="3:3">
      <c r="C138" t="b">
        <v>1</v>
      </c>
    </row>
    <row r="139" spans="3:3">
      <c r="C139" t="b">
        <v>1</v>
      </c>
    </row>
    <row r="140" spans="3:3">
      <c r="C140" t="b">
        <v>1</v>
      </c>
    </row>
    <row r="141" spans="3:3">
      <c r="C141" t="b">
        <v>1</v>
      </c>
    </row>
    <row r="142" spans="3:3">
      <c r="C142" t="b">
        <v>1</v>
      </c>
    </row>
    <row r="143" spans="3:3">
      <c r="C143" t="b">
        <v>1</v>
      </c>
    </row>
    <row r="144" spans="3:3">
      <c r="C144" t="b">
        <v>1</v>
      </c>
    </row>
    <row r="145" spans="3:3">
      <c r="C145" s="50" t="b">
        <v>0</v>
      </c>
    </row>
    <row r="146" spans="3:3">
      <c r="C146" t="b">
        <v>1</v>
      </c>
    </row>
    <row r="147" spans="3:3">
      <c r="C147" t="b">
        <v>1</v>
      </c>
    </row>
    <row r="148" spans="3:3">
      <c r="C148" t="b">
        <v>1</v>
      </c>
    </row>
    <row r="149" spans="3:3">
      <c r="C149" t="b">
        <v>1</v>
      </c>
    </row>
    <row r="150" spans="3:3">
      <c r="C150" t="b">
        <v>1</v>
      </c>
    </row>
    <row r="151" spans="3:3">
      <c r="C151" t="b">
        <v>1</v>
      </c>
    </row>
    <row r="152" spans="3:3">
      <c r="C152" t="b">
        <v>1</v>
      </c>
    </row>
    <row r="153" spans="3:3">
      <c r="C153" t="b">
        <v>1</v>
      </c>
    </row>
    <row r="154" spans="3:3">
      <c r="C154" t="b">
        <v>1</v>
      </c>
    </row>
    <row r="155" spans="3:3">
      <c r="C155" t="b">
        <v>1</v>
      </c>
    </row>
    <row r="156" spans="3:3">
      <c r="C156" t="b">
        <v>1</v>
      </c>
    </row>
    <row r="157" spans="3:3">
      <c r="C157" t="b">
        <v>1</v>
      </c>
    </row>
    <row r="158" spans="3:3">
      <c r="C158" t="b">
        <v>1</v>
      </c>
    </row>
    <row r="159" spans="3:3">
      <c r="C159" t="b">
        <v>1</v>
      </c>
    </row>
    <row r="160" spans="3:3">
      <c r="C160" t="b">
        <v>1</v>
      </c>
    </row>
    <row r="161" spans="3:3">
      <c r="C161" t="b">
        <v>1</v>
      </c>
    </row>
    <row r="162" spans="3:3">
      <c r="C162" t="b">
        <v>1</v>
      </c>
    </row>
    <row r="163" spans="3:3">
      <c r="C163" t="b">
        <v>1</v>
      </c>
    </row>
    <row r="164" spans="3:3">
      <c r="C164" t="b">
        <v>1</v>
      </c>
    </row>
    <row r="165" spans="3:3">
      <c r="C165" t="b">
        <v>1</v>
      </c>
    </row>
    <row r="166" spans="3:3">
      <c r="C166" t="b">
        <v>1</v>
      </c>
    </row>
    <row r="167" spans="3:3">
      <c r="C167" t="b">
        <v>1</v>
      </c>
    </row>
    <row r="168" spans="3:3">
      <c r="C168" t="b">
        <v>1</v>
      </c>
    </row>
    <row r="169" spans="3:3">
      <c r="C169" t="b">
        <v>1</v>
      </c>
    </row>
    <row r="170" spans="3:3">
      <c r="C170" t="b">
        <v>1</v>
      </c>
    </row>
    <row r="171" spans="3:3">
      <c r="C171" t="b">
        <v>1</v>
      </c>
    </row>
    <row r="172" spans="3:3">
      <c r="C172" t="b">
        <v>1</v>
      </c>
    </row>
    <row r="173" spans="3:3">
      <c r="C173" t="b">
        <v>1</v>
      </c>
    </row>
    <row r="174" spans="3:3">
      <c r="C174" t="b">
        <v>1</v>
      </c>
    </row>
    <row r="175" spans="3:3">
      <c r="C175" t="b">
        <v>1</v>
      </c>
    </row>
    <row r="176" spans="3:3">
      <c r="C176" t="b">
        <v>1</v>
      </c>
    </row>
    <row r="177" spans="3:3">
      <c r="C177" t="b">
        <v>1</v>
      </c>
    </row>
    <row r="178" spans="3:3">
      <c r="C178" t="b">
        <v>1</v>
      </c>
    </row>
    <row r="179" spans="3:3">
      <c r="C179" t="b">
        <v>1</v>
      </c>
    </row>
    <row r="180" spans="3:3">
      <c r="C180" t="b">
        <v>1</v>
      </c>
    </row>
    <row r="181" spans="3:3">
      <c r="C181" t="b">
        <v>1</v>
      </c>
    </row>
    <row r="182" spans="3:3">
      <c r="C182" t="b">
        <v>1</v>
      </c>
    </row>
    <row r="183" spans="3:3">
      <c r="C183" t="b">
        <v>1</v>
      </c>
    </row>
    <row r="184" spans="3:3">
      <c r="C184" t="b">
        <v>1</v>
      </c>
    </row>
    <row r="185" spans="3:3">
      <c r="C185" t="b">
        <v>1</v>
      </c>
    </row>
    <row r="186" spans="3:3">
      <c r="C186" t="b">
        <v>1</v>
      </c>
    </row>
    <row r="187" spans="3:3">
      <c r="C187" t="b">
        <v>1</v>
      </c>
    </row>
    <row r="188" spans="3:3">
      <c r="C188" t="b">
        <v>1</v>
      </c>
    </row>
    <row r="189" spans="3:3">
      <c r="C189" t="b">
        <v>1</v>
      </c>
    </row>
    <row r="190" spans="3:3">
      <c r="C190" t="b">
        <v>1</v>
      </c>
    </row>
    <row r="191" spans="3:3">
      <c r="C191" t="b">
        <v>1</v>
      </c>
    </row>
    <row r="192" spans="3:3">
      <c r="C192" t="b">
        <v>1</v>
      </c>
    </row>
    <row r="193" spans="3:3">
      <c r="C193" t="b">
        <v>1</v>
      </c>
    </row>
    <row r="194" spans="3:3">
      <c r="C194" t="b">
        <v>1</v>
      </c>
    </row>
    <row r="195" spans="3:3">
      <c r="C195" t="b">
        <v>1</v>
      </c>
    </row>
    <row r="196" spans="3:3">
      <c r="C196" t="b">
        <v>1</v>
      </c>
    </row>
    <row r="197" spans="3:3">
      <c r="C197" t="b">
        <v>1</v>
      </c>
    </row>
    <row r="198" spans="3:3">
      <c r="C198" t="b">
        <v>1</v>
      </c>
    </row>
    <row r="199" spans="3:3">
      <c r="C199" t="b">
        <v>1</v>
      </c>
    </row>
    <row r="200" spans="3:3">
      <c r="C200" t="b">
        <v>1</v>
      </c>
    </row>
    <row r="201" spans="3:3">
      <c r="C201" t="b">
        <v>1</v>
      </c>
    </row>
    <row r="202" spans="3:3">
      <c r="C202" t="b">
        <v>1</v>
      </c>
    </row>
    <row r="203" spans="3:3">
      <c r="C203" t="b">
        <v>1</v>
      </c>
    </row>
    <row r="204" spans="3:3">
      <c r="C204" t="b">
        <v>1</v>
      </c>
    </row>
    <row r="205" spans="3:3">
      <c r="C205" t="b">
        <v>1</v>
      </c>
    </row>
    <row r="206" spans="3:3">
      <c r="C206" t="b">
        <v>1</v>
      </c>
    </row>
    <row r="207" spans="3:3">
      <c r="C207" t="b">
        <v>1</v>
      </c>
    </row>
    <row r="208" spans="3:3">
      <c r="C208" t="b">
        <v>1</v>
      </c>
    </row>
    <row r="209" spans="3:3">
      <c r="C209" t="b">
        <v>1</v>
      </c>
    </row>
    <row r="210" spans="3:3">
      <c r="C210" t="b">
        <v>1</v>
      </c>
    </row>
    <row r="211" spans="3:3">
      <c r="C211" t="b">
        <v>1</v>
      </c>
    </row>
    <row r="212" spans="3:3">
      <c r="C212" t="b">
        <v>1</v>
      </c>
    </row>
    <row r="213" spans="3:3">
      <c r="C213" t="b">
        <v>1</v>
      </c>
    </row>
    <row r="214" spans="3:3">
      <c r="C214" t="b">
        <v>1</v>
      </c>
    </row>
    <row r="215" spans="3:3">
      <c r="C215" t="b">
        <v>1</v>
      </c>
    </row>
    <row r="216" spans="3:3">
      <c r="C216" t="b">
        <v>1</v>
      </c>
    </row>
    <row r="217" spans="3:3">
      <c r="C217" t="b">
        <v>1</v>
      </c>
    </row>
    <row r="218" spans="3:3">
      <c r="C218" t="b">
        <v>1</v>
      </c>
    </row>
    <row r="219" spans="3:3">
      <c r="C219" t="b">
        <v>1</v>
      </c>
    </row>
    <row r="220" spans="3:3">
      <c r="C220" t="b">
        <v>1</v>
      </c>
    </row>
    <row r="221" spans="3:3">
      <c r="C221" t="b">
        <v>1</v>
      </c>
    </row>
    <row r="222" spans="3:3">
      <c r="C222" t="b">
        <v>1</v>
      </c>
    </row>
    <row r="223" spans="3:3">
      <c r="C223" t="b">
        <v>1</v>
      </c>
    </row>
    <row r="224" spans="3:3">
      <c r="C224" t="b">
        <v>1</v>
      </c>
    </row>
    <row r="225" spans="3:3">
      <c r="C225" t="b">
        <v>1</v>
      </c>
    </row>
    <row r="226" spans="3:3">
      <c r="C226" t="b">
        <v>1</v>
      </c>
    </row>
    <row r="227" spans="3:3">
      <c r="C227" t="b">
        <v>1</v>
      </c>
    </row>
    <row r="228" spans="3:3">
      <c r="C228" t="b">
        <v>1</v>
      </c>
    </row>
    <row r="229" spans="3:3">
      <c r="C229" t="b">
        <v>1</v>
      </c>
    </row>
    <row r="230" spans="3:3">
      <c r="C230" t="b">
        <v>1</v>
      </c>
    </row>
    <row r="231" spans="3:3">
      <c r="C231" t="b">
        <v>1</v>
      </c>
    </row>
    <row r="232" spans="3:3">
      <c r="C232" t="b">
        <v>1</v>
      </c>
    </row>
    <row r="233" spans="3:3">
      <c r="C233" t="b">
        <v>1</v>
      </c>
    </row>
    <row r="234" spans="3:3">
      <c r="C234" t="b">
        <v>1</v>
      </c>
    </row>
    <row r="235" spans="3:3">
      <c r="C235" t="b">
        <v>1</v>
      </c>
    </row>
    <row r="236" spans="3:3">
      <c r="C236" t="b">
        <v>1</v>
      </c>
    </row>
    <row r="242" spans="1:4" ht="29.25">
      <c r="A242" s="15" t="s">
        <v>4357</v>
      </c>
      <c r="C242" s="51" t="s">
        <v>4358</v>
      </c>
      <c r="D242" s="51" t="s">
        <v>4359</v>
      </c>
    </row>
    <row r="243" spans="1:4">
      <c r="C243" s="52" t="s">
        <v>175</v>
      </c>
      <c r="D243" s="53" cm="1">
        <f t="array" ref="D243">_xlfn._xlws.FILTER(Sales[QUANTITY]*Sales[PRICE_PER_UNIT],Sales[SALEID]=C243,"Invalid Sales ID")</f>
        <v>83960</v>
      </c>
    </row>
    <row r="247" spans="1:4" ht="29.25">
      <c r="A247" s="15" t="s">
        <v>4360</v>
      </c>
    </row>
    <row r="248" spans="1:4">
      <c r="C248" t="str" cm="1">
        <f t="array" ref="C248:C407">_xlfn.XLOOKUP(Sales[PRICE_PER_UNIT],Table4[[#All],[PriceGroup]],Table4[[#All],[category ]],"",-1,1)</f>
        <v>MEDIUM</v>
      </c>
    </row>
    <row r="249" spans="1:4">
      <c r="C249" t="str">
        <v>MEDIUM</v>
      </c>
    </row>
    <row r="250" spans="1:4">
      <c r="C250" t="str">
        <v>MEDIUM</v>
      </c>
    </row>
    <row r="251" spans="1:4">
      <c r="A251" t="s">
        <v>4361</v>
      </c>
      <c r="B251" t="s">
        <v>4362</v>
      </c>
      <c r="C251" t="str">
        <v>HIGH</v>
      </c>
    </row>
    <row r="252" spans="1:4">
      <c r="A252">
        <v>75000</v>
      </c>
      <c r="B252" t="s">
        <v>4363</v>
      </c>
      <c r="C252" t="str">
        <v>HIGH</v>
      </c>
    </row>
    <row r="253" spans="1:4">
      <c r="A253">
        <v>50000</v>
      </c>
      <c r="B253" t="s">
        <v>4364</v>
      </c>
      <c r="C253" t="str">
        <v>HIGH</v>
      </c>
    </row>
    <row r="254" spans="1:4">
      <c r="A254">
        <v>0</v>
      </c>
      <c r="B254" t="s">
        <v>4365</v>
      </c>
      <c r="C254" t="str">
        <v>HIGH</v>
      </c>
    </row>
    <row r="255" spans="1:4">
      <c r="C255" t="str">
        <v>LOW</v>
      </c>
    </row>
    <row r="256" spans="1:4">
      <c r="C256" t="str">
        <v>MEDIUM</v>
      </c>
    </row>
    <row r="257" spans="3:3">
      <c r="C257" t="str">
        <v>HIGH</v>
      </c>
    </row>
    <row r="258" spans="3:3">
      <c r="C258" t="str">
        <v>MEDIUM</v>
      </c>
    </row>
    <row r="259" spans="3:3">
      <c r="C259" t="str">
        <v>MEDIUM</v>
      </c>
    </row>
    <row r="260" spans="3:3">
      <c r="C260" t="str">
        <v>HIGH</v>
      </c>
    </row>
    <row r="261" spans="3:3">
      <c r="C261" t="str">
        <v>HIGH</v>
      </c>
    </row>
    <row r="262" spans="3:3">
      <c r="C262" t="str">
        <v>LOW</v>
      </c>
    </row>
    <row r="263" spans="3:3">
      <c r="C263" t="str">
        <v>MEDIUM</v>
      </c>
    </row>
    <row r="264" spans="3:3">
      <c r="C264" t="str">
        <v>LOW</v>
      </c>
    </row>
    <row r="265" spans="3:3">
      <c r="C265" t="str">
        <v>MEDIUM</v>
      </c>
    </row>
    <row r="266" spans="3:3">
      <c r="C266" t="str">
        <v>LOW</v>
      </c>
    </row>
    <row r="267" spans="3:3">
      <c r="C267" t="str">
        <v>HIGH</v>
      </c>
    </row>
    <row r="268" spans="3:3">
      <c r="C268" t="str">
        <v>HIGH</v>
      </c>
    </row>
    <row r="269" spans="3:3">
      <c r="C269" t="str">
        <v>HIGH</v>
      </c>
    </row>
    <row r="270" spans="3:3">
      <c r="C270" t="str">
        <v>HIGH</v>
      </c>
    </row>
    <row r="271" spans="3:3">
      <c r="C271" t="str">
        <v>MEDIUM</v>
      </c>
    </row>
    <row r="272" spans="3:3">
      <c r="C272" t="str">
        <v>HIGH</v>
      </c>
    </row>
    <row r="273" spans="3:3">
      <c r="C273" t="str">
        <v>MEDIUM</v>
      </c>
    </row>
    <row r="274" spans="3:3">
      <c r="C274" t="str">
        <v>HIGH</v>
      </c>
    </row>
    <row r="275" spans="3:3">
      <c r="C275" t="str">
        <v>MEDIUM</v>
      </c>
    </row>
    <row r="276" spans="3:3">
      <c r="C276" t="str">
        <v>LOW</v>
      </c>
    </row>
    <row r="277" spans="3:3">
      <c r="C277" t="str">
        <v>MEDIUM</v>
      </c>
    </row>
    <row r="278" spans="3:3">
      <c r="C278" t="str">
        <v>MEDIUM</v>
      </c>
    </row>
    <row r="279" spans="3:3">
      <c r="C279" t="str">
        <v>MEDIUM</v>
      </c>
    </row>
    <row r="280" spans="3:3">
      <c r="C280" t="str">
        <v>LOW</v>
      </c>
    </row>
    <row r="281" spans="3:3">
      <c r="C281" t="str">
        <v>LOW</v>
      </c>
    </row>
    <row r="282" spans="3:3">
      <c r="C282" t="str">
        <v>MEDIUM</v>
      </c>
    </row>
    <row r="283" spans="3:3">
      <c r="C283" t="str">
        <v>HIGH</v>
      </c>
    </row>
    <row r="284" spans="3:3">
      <c r="C284" t="str">
        <v>MEDIUM</v>
      </c>
    </row>
    <row r="285" spans="3:3">
      <c r="C285" t="str">
        <v>HIGH</v>
      </c>
    </row>
    <row r="286" spans="3:3">
      <c r="C286" t="str">
        <v>MEDIUM</v>
      </c>
    </row>
    <row r="287" spans="3:3">
      <c r="C287" t="str">
        <v>HIGH</v>
      </c>
    </row>
    <row r="288" spans="3:3">
      <c r="C288" t="str">
        <v>LOW</v>
      </c>
    </row>
    <row r="289" spans="3:3">
      <c r="C289" t="str">
        <v>LOW</v>
      </c>
    </row>
    <row r="290" spans="3:3">
      <c r="C290" t="str">
        <v>HIGH</v>
      </c>
    </row>
    <row r="291" spans="3:3">
      <c r="C291" t="str">
        <v>LOW</v>
      </c>
    </row>
    <row r="292" spans="3:3">
      <c r="C292" t="str">
        <v>HIGH</v>
      </c>
    </row>
    <row r="293" spans="3:3">
      <c r="C293" t="str">
        <v>HIGH</v>
      </c>
    </row>
    <row r="294" spans="3:3">
      <c r="C294" t="str">
        <v>HIGH</v>
      </c>
    </row>
    <row r="295" spans="3:3">
      <c r="C295" t="str">
        <v>HIGH</v>
      </c>
    </row>
    <row r="296" spans="3:3">
      <c r="C296" t="str">
        <v>MEDIUM</v>
      </c>
    </row>
    <row r="297" spans="3:3">
      <c r="C297" t="str">
        <v>MEDIUM</v>
      </c>
    </row>
    <row r="298" spans="3:3">
      <c r="C298" t="str">
        <v>HIGH</v>
      </c>
    </row>
    <row r="299" spans="3:3">
      <c r="C299" t="str">
        <v>LOW</v>
      </c>
    </row>
    <row r="300" spans="3:3">
      <c r="C300" t="str">
        <v>LOW</v>
      </c>
    </row>
    <row r="301" spans="3:3">
      <c r="C301" t="str">
        <v>HIGH</v>
      </c>
    </row>
    <row r="302" spans="3:3">
      <c r="C302" t="str">
        <v>HIGH</v>
      </c>
    </row>
    <row r="303" spans="3:3">
      <c r="C303" t="str">
        <v>HIGH</v>
      </c>
    </row>
    <row r="304" spans="3:3">
      <c r="C304" t="str">
        <v>MEDIUM</v>
      </c>
    </row>
    <row r="305" spans="3:3">
      <c r="C305" t="str">
        <v>MEDIUM</v>
      </c>
    </row>
    <row r="306" spans="3:3">
      <c r="C306" t="str">
        <v>HIGH</v>
      </c>
    </row>
    <row r="307" spans="3:3">
      <c r="C307" t="str">
        <v>MEDIUM</v>
      </c>
    </row>
    <row r="308" spans="3:3">
      <c r="C308" t="str">
        <v>HIGH</v>
      </c>
    </row>
    <row r="309" spans="3:3">
      <c r="C309" t="str">
        <v>MEDIUM</v>
      </c>
    </row>
    <row r="310" spans="3:3">
      <c r="C310" t="str">
        <v>MEDIUM</v>
      </c>
    </row>
    <row r="311" spans="3:3">
      <c r="C311" t="str">
        <v>HIGH</v>
      </c>
    </row>
    <row r="312" spans="3:3">
      <c r="C312" t="str">
        <v>LOW</v>
      </c>
    </row>
    <row r="313" spans="3:3">
      <c r="C313" t="str">
        <v>HIGH</v>
      </c>
    </row>
    <row r="314" spans="3:3">
      <c r="C314" t="str">
        <v>LOW</v>
      </c>
    </row>
    <row r="315" spans="3:3">
      <c r="C315" t="str">
        <v>MEDIUM</v>
      </c>
    </row>
    <row r="316" spans="3:3">
      <c r="C316" t="str">
        <v>LOW</v>
      </c>
    </row>
    <row r="317" spans="3:3">
      <c r="C317" t="str">
        <v>LOW</v>
      </c>
    </row>
    <row r="318" spans="3:3">
      <c r="C318" t="str">
        <v>MEDIUM</v>
      </c>
    </row>
    <row r="319" spans="3:3">
      <c r="C319" t="str">
        <v>LOW</v>
      </c>
    </row>
    <row r="320" spans="3:3">
      <c r="C320" t="str">
        <v>MEDIUM</v>
      </c>
    </row>
    <row r="321" spans="3:3">
      <c r="C321" t="str">
        <v>MEDIUM</v>
      </c>
    </row>
    <row r="322" spans="3:3">
      <c r="C322" t="str">
        <v>LOW</v>
      </c>
    </row>
    <row r="323" spans="3:3">
      <c r="C323" t="str">
        <v>HIGH</v>
      </c>
    </row>
    <row r="324" spans="3:3">
      <c r="C324" t="str">
        <v>LOW</v>
      </c>
    </row>
    <row r="325" spans="3:3">
      <c r="C325" t="str">
        <v>HIGH</v>
      </c>
    </row>
    <row r="326" spans="3:3">
      <c r="C326" t="str">
        <v>MEDIUM</v>
      </c>
    </row>
    <row r="327" spans="3:3">
      <c r="C327" t="str">
        <v>HIGH</v>
      </c>
    </row>
    <row r="328" spans="3:3">
      <c r="C328" t="str">
        <v>MEDIUM</v>
      </c>
    </row>
    <row r="329" spans="3:3">
      <c r="C329" t="str">
        <v>HIGH</v>
      </c>
    </row>
    <row r="330" spans="3:3">
      <c r="C330" t="str">
        <v>HIGH</v>
      </c>
    </row>
    <row r="331" spans="3:3">
      <c r="C331" t="str">
        <v>HIGH</v>
      </c>
    </row>
    <row r="332" spans="3:3">
      <c r="C332" t="str">
        <v>LOW</v>
      </c>
    </row>
    <row r="333" spans="3:3">
      <c r="C333" t="str">
        <v>LOW</v>
      </c>
    </row>
    <row r="334" spans="3:3">
      <c r="C334" t="str">
        <v>HIGH</v>
      </c>
    </row>
    <row r="335" spans="3:3">
      <c r="C335" t="str">
        <v>HIGH</v>
      </c>
    </row>
    <row r="336" spans="3:3">
      <c r="C336" t="str">
        <v>MEDIUM</v>
      </c>
    </row>
    <row r="337" spans="3:3">
      <c r="C337" t="str">
        <v>HIGH</v>
      </c>
    </row>
    <row r="338" spans="3:3">
      <c r="C338" t="str">
        <v>HIGH</v>
      </c>
    </row>
    <row r="339" spans="3:3">
      <c r="C339" t="str">
        <v>MEDIUM</v>
      </c>
    </row>
    <row r="340" spans="3:3">
      <c r="C340" t="str">
        <v>MEDIUM</v>
      </c>
    </row>
    <row r="341" spans="3:3">
      <c r="C341" t="str">
        <v>MEDIUM</v>
      </c>
    </row>
    <row r="342" spans="3:3">
      <c r="C342" t="str">
        <v>LOW</v>
      </c>
    </row>
    <row r="343" spans="3:3">
      <c r="C343" t="str">
        <v>MEDIUM</v>
      </c>
    </row>
    <row r="344" spans="3:3">
      <c r="C344" t="str">
        <v>LOW</v>
      </c>
    </row>
    <row r="345" spans="3:3">
      <c r="C345" t="str">
        <v>HIGH</v>
      </c>
    </row>
    <row r="346" spans="3:3">
      <c r="C346" t="str">
        <v>MEDIUM</v>
      </c>
    </row>
    <row r="347" spans="3:3">
      <c r="C347" t="str">
        <v>LOW</v>
      </c>
    </row>
    <row r="348" spans="3:3">
      <c r="C348" t="str">
        <v>LOW</v>
      </c>
    </row>
    <row r="349" spans="3:3">
      <c r="C349" t="str">
        <v>HIGH</v>
      </c>
    </row>
    <row r="350" spans="3:3">
      <c r="C350" t="str">
        <v>MEDIUM</v>
      </c>
    </row>
    <row r="351" spans="3:3">
      <c r="C351" t="str">
        <v>MEDIUM</v>
      </c>
    </row>
    <row r="352" spans="3:3">
      <c r="C352" t="str">
        <v>HIGH</v>
      </c>
    </row>
    <row r="353" spans="3:3">
      <c r="C353" t="str">
        <v>HIGH</v>
      </c>
    </row>
    <row r="354" spans="3:3">
      <c r="C354" t="str">
        <v>HIGH</v>
      </c>
    </row>
    <row r="355" spans="3:3">
      <c r="C355" t="str">
        <v>MEDIUM</v>
      </c>
    </row>
    <row r="356" spans="3:3">
      <c r="C356" t="str">
        <v>HIGH</v>
      </c>
    </row>
    <row r="357" spans="3:3">
      <c r="C357" t="str">
        <v>HIGH</v>
      </c>
    </row>
    <row r="358" spans="3:3">
      <c r="C358" t="str">
        <v>HIGH</v>
      </c>
    </row>
    <row r="359" spans="3:3">
      <c r="C359" t="str">
        <v>LOW</v>
      </c>
    </row>
    <row r="360" spans="3:3">
      <c r="C360" t="str">
        <v>LOW</v>
      </c>
    </row>
    <row r="361" spans="3:3">
      <c r="C361" t="str">
        <v>HIGH</v>
      </c>
    </row>
    <row r="362" spans="3:3">
      <c r="C362" t="str">
        <v>HIGH</v>
      </c>
    </row>
    <row r="363" spans="3:3">
      <c r="C363" t="str">
        <v>HIGH</v>
      </c>
    </row>
    <row r="364" spans="3:3">
      <c r="C364" t="str">
        <v>HIGH</v>
      </c>
    </row>
    <row r="365" spans="3:3">
      <c r="C365" t="str">
        <v>LOW</v>
      </c>
    </row>
    <row r="366" spans="3:3">
      <c r="C366" t="str">
        <v>HIGH</v>
      </c>
    </row>
    <row r="367" spans="3:3">
      <c r="C367" t="str">
        <v>MEDIUM</v>
      </c>
    </row>
    <row r="368" spans="3:3">
      <c r="C368" t="str">
        <v>HIGH</v>
      </c>
    </row>
    <row r="369" spans="3:3">
      <c r="C369" t="str">
        <v>HIGH</v>
      </c>
    </row>
    <row r="370" spans="3:3">
      <c r="C370" t="str">
        <v>MEDIUM</v>
      </c>
    </row>
    <row r="371" spans="3:3">
      <c r="C371" t="str">
        <v>LOW</v>
      </c>
    </row>
    <row r="372" spans="3:3">
      <c r="C372" t="str">
        <v>MEDIUM</v>
      </c>
    </row>
    <row r="373" spans="3:3">
      <c r="C373" t="str">
        <v>HIGH</v>
      </c>
    </row>
    <row r="374" spans="3:3">
      <c r="C374" t="str">
        <v>MEDIUM</v>
      </c>
    </row>
    <row r="375" spans="3:3">
      <c r="C375" t="str">
        <v>LOW</v>
      </c>
    </row>
    <row r="376" spans="3:3">
      <c r="C376" t="str">
        <v>HIGH</v>
      </c>
    </row>
    <row r="377" spans="3:3">
      <c r="C377" t="str">
        <v>MEDIUM</v>
      </c>
    </row>
    <row r="378" spans="3:3">
      <c r="C378" t="str">
        <v>MEDIUM</v>
      </c>
    </row>
    <row r="379" spans="3:3">
      <c r="C379" t="str">
        <v>MEDIUM</v>
      </c>
    </row>
    <row r="380" spans="3:3">
      <c r="C380" t="str">
        <v>HIGH</v>
      </c>
    </row>
    <row r="381" spans="3:3">
      <c r="C381" t="str">
        <v>HIGH</v>
      </c>
    </row>
    <row r="382" spans="3:3">
      <c r="C382" t="str">
        <v>HIGH</v>
      </c>
    </row>
    <row r="383" spans="3:3">
      <c r="C383" t="str">
        <v>LOW</v>
      </c>
    </row>
    <row r="384" spans="3:3">
      <c r="C384" t="str">
        <v>LOW</v>
      </c>
    </row>
    <row r="385" spans="3:3">
      <c r="C385" t="str">
        <v>LOW</v>
      </c>
    </row>
    <row r="386" spans="3:3">
      <c r="C386" t="str">
        <v>LOW</v>
      </c>
    </row>
    <row r="387" spans="3:3">
      <c r="C387" t="str">
        <v>MEDIUM</v>
      </c>
    </row>
    <row r="388" spans="3:3">
      <c r="C388" t="str">
        <v>HIGH</v>
      </c>
    </row>
    <row r="389" spans="3:3">
      <c r="C389" t="str">
        <v>HIGH</v>
      </c>
    </row>
    <row r="390" spans="3:3">
      <c r="C390" t="str">
        <v>MEDIUM</v>
      </c>
    </row>
    <row r="391" spans="3:3">
      <c r="C391" t="str">
        <v>MEDIUM</v>
      </c>
    </row>
    <row r="392" spans="3:3">
      <c r="C392" t="str">
        <v>MEDIUM</v>
      </c>
    </row>
    <row r="393" spans="3:3">
      <c r="C393" t="str">
        <v>MEDIUM</v>
      </c>
    </row>
    <row r="394" spans="3:3">
      <c r="C394" t="str">
        <v>HIGH</v>
      </c>
    </row>
    <row r="395" spans="3:3">
      <c r="C395" t="str">
        <v>HIGH</v>
      </c>
    </row>
    <row r="396" spans="3:3">
      <c r="C396" t="str">
        <v>LOW</v>
      </c>
    </row>
    <row r="397" spans="3:3">
      <c r="C397" t="str">
        <v>LOW</v>
      </c>
    </row>
    <row r="398" spans="3:3">
      <c r="C398" t="str">
        <v>LOW</v>
      </c>
    </row>
    <row r="399" spans="3:3">
      <c r="C399" t="str">
        <v>LOW</v>
      </c>
    </row>
    <row r="400" spans="3:3">
      <c r="C400" t="str">
        <v>MEDIUM</v>
      </c>
    </row>
    <row r="401" spans="1:3">
      <c r="C401" t="str">
        <v>HIGH</v>
      </c>
    </row>
    <row r="402" spans="1:3">
      <c r="C402" t="str">
        <v>MEDIUM</v>
      </c>
    </row>
    <row r="403" spans="1:3">
      <c r="C403" t="str">
        <v>MEDIUM</v>
      </c>
    </row>
    <row r="404" spans="1:3">
      <c r="C404" t="str">
        <v>MEDIUM</v>
      </c>
    </row>
    <row r="405" spans="1:3">
      <c r="C405" t="str">
        <v>HIGH</v>
      </c>
    </row>
    <row r="406" spans="1:3">
      <c r="C406" t="str">
        <v>HIGH</v>
      </c>
    </row>
    <row r="407" spans="1:3">
      <c r="C407" t="str">
        <v>HIGH</v>
      </c>
    </row>
    <row r="413" spans="1:3" ht="29.25">
      <c r="A413" s="15" t="s">
        <v>4366</v>
      </c>
      <c r="B413" s="1">
        <v>20</v>
      </c>
      <c r="C413" s="15" t="str" cm="1">
        <f t="array" ref="C413:C423">_xlfn._xlws.FILTER(Sales[PRODUCT_CTG],Sales[CUSTOMERKEY]=B413,"NULL.")</f>
        <v>Laptop</v>
      </c>
    </row>
    <row r="414" spans="1:3">
      <c r="C414" t="str">
        <v>Laptop</v>
      </c>
    </row>
    <row r="415" spans="1:3">
      <c r="C415" t="str">
        <v>Laptop</v>
      </c>
    </row>
    <row r="416" spans="1:3">
      <c r="C416" t="str">
        <v>Smartphone</v>
      </c>
    </row>
    <row r="417" spans="3:3">
      <c r="C417" t="str">
        <v>Laptop</v>
      </c>
    </row>
    <row r="418" spans="3:3">
      <c r="C418" t="str">
        <v>Smartphone</v>
      </c>
    </row>
    <row r="419" spans="3:3">
      <c r="C419" t="str">
        <v>Laptop</v>
      </c>
    </row>
    <row r="420" spans="3:3">
      <c r="C420" t="str">
        <v>Smartphone</v>
      </c>
    </row>
    <row r="421" spans="3:3">
      <c r="C421" t="str">
        <v>Laptop</v>
      </c>
    </row>
    <row r="422" spans="3:3">
      <c r="C422" t="str">
        <v>Laptop</v>
      </c>
    </row>
    <row r="423" spans="3:3">
      <c r="C423" t="str">
        <v>Smartphone</v>
      </c>
    </row>
  </sheetData>
  <mergeCells count="1">
    <mergeCell ref="A1:X1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7CEC6-7D2C-4637-82E8-24B340B18A2E}">
  <sheetPr filterMode="1"/>
  <dimension ref="A1:Z766"/>
  <sheetViews>
    <sheetView topLeftCell="A757" workbookViewId="0">
      <selection activeCell="D764" sqref="D764"/>
    </sheetView>
  </sheetViews>
  <sheetFormatPr defaultRowHeight="15"/>
  <cols>
    <col min="1" max="1" width="57.7109375" customWidth="1"/>
    <col min="3" max="3" width="36.5703125" bestFit="1" customWidth="1"/>
    <col min="4" max="4" width="25.7109375" bestFit="1" customWidth="1"/>
    <col min="5" max="5" width="36.5703125" bestFit="1" customWidth="1"/>
    <col min="6" max="6" width="9.140625" style="59"/>
  </cols>
  <sheetData>
    <row r="1" spans="1:26" ht="21">
      <c r="A1" s="103" t="s">
        <v>4367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</row>
    <row r="2" spans="1:26" ht="29.25">
      <c r="A2" s="54" t="s">
        <v>4368</v>
      </c>
      <c r="B2" s="55"/>
      <c r="C2" s="55" t="s">
        <v>4369</v>
      </c>
      <c r="D2" s="55" t="s">
        <v>4370</v>
      </c>
      <c r="E2" s="55" t="s">
        <v>4371</v>
      </c>
      <c r="F2" s="55"/>
      <c r="G2" s="55"/>
    </row>
    <row r="3" spans="1:26">
      <c r="A3" s="55"/>
      <c r="B3" s="55"/>
      <c r="C3" s="56">
        <f ca="1">TODAY()</f>
        <v>45987</v>
      </c>
      <c r="D3" s="56">
        <f ca="1">TODAY()+18</f>
        <v>46005</v>
      </c>
      <c r="E3" s="55">
        <f ca="1">_xlfn.DAYS(D3,C3)</f>
        <v>18</v>
      </c>
      <c r="F3" s="55"/>
      <c r="G3" s="55"/>
    </row>
    <row r="4" spans="1:26">
      <c r="A4" s="55"/>
      <c r="B4" s="55"/>
      <c r="C4" s="56">
        <f ca="1">TODAY()-80</f>
        <v>45907</v>
      </c>
      <c r="D4" s="56">
        <f ca="1">TODAY()-70</f>
        <v>45917</v>
      </c>
      <c r="E4" s="55">
        <f ca="1">_xlfn.DAYS(D4,C4)</f>
        <v>10</v>
      </c>
      <c r="F4" s="55"/>
      <c r="G4" s="55"/>
    </row>
    <row r="5" spans="1:26">
      <c r="A5" s="55"/>
      <c r="B5" s="55"/>
      <c r="C5" s="56"/>
      <c r="D5" s="56"/>
      <c r="E5" s="55"/>
      <c r="F5" s="55"/>
      <c r="G5" s="55"/>
    </row>
    <row r="6" spans="1:26">
      <c r="F6"/>
    </row>
    <row r="7" spans="1:26">
      <c r="F7"/>
    </row>
    <row r="8" spans="1:26" ht="29.25">
      <c r="A8" s="57" t="s">
        <v>4372</v>
      </c>
      <c r="B8" s="58"/>
      <c r="C8" s="58" cm="1">
        <f t="array" ref="C8">MAX(ABS(Sales[ORDERDATE]-Sales[SHIPEDDATE]))</f>
        <v>4</v>
      </c>
      <c r="D8" s="58"/>
      <c r="E8" s="58"/>
      <c r="F8" s="58"/>
      <c r="G8" s="58"/>
    </row>
    <row r="9" spans="1:26">
      <c r="F9"/>
    </row>
    <row r="10" spans="1:26">
      <c r="F10"/>
    </row>
    <row r="11" spans="1:26" ht="29.25">
      <c r="A11" t="s">
        <v>4373</v>
      </c>
      <c r="C11" s="15" cm="1">
        <f t="array" ref="C11:C49">_xlfn._xlws.FILTER(Sales[DELIVERY],WEEKDAY(Sales[DELIVERY],2)&gt;=6,"NOTHING")</f>
        <v>45360</v>
      </c>
      <c r="F11"/>
    </row>
    <row r="12" spans="1:26">
      <c r="C12">
        <v>44058</v>
      </c>
      <c r="F12"/>
    </row>
    <row r="13" spans="1:26">
      <c r="C13">
        <v>42343</v>
      </c>
      <c r="F13"/>
    </row>
    <row r="14" spans="1:26">
      <c r="C14">
        <v>42959</v>
      </c>
      <c r="F14"/>
    </row>
    <row r="15" spans="1:26">
      <c r="C15">
        <v>43653</v>
      </c>
      <c r="F15"/>
    </row>
    <row r="16" spans="1:26">
      <c r="C16">
        <v>42183</v>
      </c>
      <c r="F16"/>
    </row>
    <row r="17" spans="3:3" customFormat="1">
      <c r="C17">
        <v>42385</v>
      </c>
    </row>
    <row r="18" spans="3:3" customFormat="1">
      <c r="C18">
        <v>45451</v>
      </c>
    </row>
    <row r="19" spans="3:3" customFormat="1">
      <c r="C19">
        <v>43044</v>
      </c>
    </row>
    <row r="20" spans="3:3" customFormat="1">
      <c r="C20">
        <v>44913</v>
      </c>
    </row>
    <row r="21" spans="3:3" customFormat="1">
      <c r="C21">
        <v>43120</v>
      </c>
    </row>
    <row r="22" spans="3:3" customFormat="1">
      <c r="C22">
        <v>44234</v>
      </c>
    </row>
    <row r="23" spans="3:3" customFormat="1">
      <c r="C23">
        <v>43604</v>
      </c>
    </row>
    <row r="24" spans="3:3" customFormat="1">
      <c r="C24">
        <v>45515</v>
      </c>
    </row>
    <row r="25" spans="3:3" customFormat="1">
      <c r="C25">
        <v>42162</v>
      </c>
    </row>
    <row r="26" spans="3:3" customFormat="1">
      <c r="C26">
        <v>43037</v>
      </c>
    </row>
    <row r="27" spans="3:3" customFormat="1">
      <c r="C27">
        <v>43526</v>
      </c>
    </row>
    <row r="28" spans="3:3" customFormat="1">
      <c r="C28">
        <v>43960</v>
      </c>
    </row>
    <row r="29" spans="3:3" customFormat="1">
      <c r="C29">
        <v>43814</v>
      </c>
    </row>
    <row r="30" spans="3:3" customFormat="1">
      <c r="C30">
        <v>44366</v>
      </c>
    </row>
    <row r="31" spans="3:3" customFormat="1">
      <c r="C31">
        <v>42581</v>
      </c>
    </row>
    <row r="32" spans="3:3" customFormat="1">
      <c r="C32">
        <v>43162</v>
      </c>
    </row>
    <row r="33" spans="3:3" customFormat="1">
      <c r="C33">
        <v>44415</v>
      </c>
    </row>
    <row r="34" spans="3:3" customFormat="1">
      <c r="C34">
        <v>44485</v>
      </c>
    </row>
    <row r="35" spans="3:3" customFormat="1">
      <c r="C35">
        <v>43022</v>
      </c>
    </row>
    <row r="36" spans="3:3" customFormat="1">
      <c r="C36">
        <v>43295</v>
      </c>
    </row>
    <row r="37" spans="3:3" customFormat="1">
      <c r="C37">
        <v>44430</v>
      </c>
    </row>
    <row r="38" spans="3:3" customFormat="1">
      <c r="C38">
        <v>44044</v>
      </c>
    </row>
    <row r="39" spans="3:3" customFormat="1">
      <c r="C39">
        <v>45920</v>
      </c>
    </row>
    <row r="40" spans="3:3" customFormat="1">
      <c r="C40">
        <v>44115</v>
      </c>
    </row>
    <row r="41" spans="3:3" customFormat="1">
      <c r="C41">
        <v>45458</v>
      </c>
    </row>
    <row r="42" spans="3:3" customFormat="1">
      <c r="C42">
        <v>44675</v>
      </c>
    </row>
    <row r="43" spans="3:3" customFormat="1">
      <c r="C43">
        <v>45137</v>
      </c>
    </row>
    <row r="44" spans="3:3" customFormat="1">
      <c r="C44">
        <v>43043</v>
      </c>
    </row>
    <row r="45" spans="3:3" customFormat="1">
      <c r="C45">
        <v>44962</v>
      </c>
    </row>
    <row r="46" spans="3:3" customFormat="1">
      <c r="C46">
        <v>45270</v>
      </c>
    </row>
    <row r="47" spans="3:3" customFormat="1">
      <c r="C47">
        <v>43709</v>
      </c>
    </row>
    <row r="48" spans="3:3" customFormat="1">
      <c r="C48">
        <v>43729</v>
      </c>
    </row>
    <row r="49" spans="1:8">
      <c r="C49">
        <v>42764</v>
      </c>
      <c r="F49"/>
    </row>
    <row r="50" spans="1:8">
      <c r="F50"/>
    </row>
    <row r="51" spans="1:8">
      <c r="F51"/>
    </row>
    <row r="52" spans="1:8">
      <c r="A52" t="s">
        <v>4374</v>
      </c>
      <c r="C52" s="1">
        <f ca="1">TODAY()</f>
        <v>45987</v>
      </c>
      <c r="D52">
        <f ca="1">YEAR(C52)</f>
        <v>2025</v>
      </c>
      <c r="E52">
        <f ca="1">MONTH(C52)</f>
        <v>11</v>
      </c>
      <c r="F52">
        <f ca="1">DAY(C52)</f>
        <v>26</v>
      </c>
      <c r="G52" t="str">
        <f ca="1">"Q"&amp;INT(MONTH(C52-1)/3)+1</f>
        <v>Q4</v>
      </c>
    </row>
    <row r="53" spans="1:8">
      <c r="C53" s="1">
        <f ca="1">TODAY()-150</f>
        <v>45837</v>
      </c>
      <c r="D53">
        <f t="shared" ref="D53:D55" ca="1" si="0">YEAR(C53)</f>
        <v>2025</v>
      </c>
      <c r="E53">
        <f t="shared" ref="E53:E55" ca="1" si="1">MONTH(C53)</f>
        <v>6</v>
      </c>
      <c r="F53">
        <f t="shared" ref="F53:F55" ca="1" si="2">DAY(C53)</f>
        <v>29</v>
      </c>
      <c r="G53" t="str">
        <f t="shared" ref="G53:G55" ca="1" si="3">"Q"&amp;INT(MONTH(C53-1)/3)+1</f>
        <v>Q3</v>
      </c>
    </row>
    <row r="54" spans="1:8">
      <c r="C54" s="1">
        <f ca="1">TODAY()+200</f>
        <v>46187</v>
      </c>
      <c r="D54">
        <f t="shared" ca="1" si="0"/>
        <v>2026</v>
      </c>
      <c r="E54">
        <f t="shared" ca="1" si="1"/>
        <v>6</v>
      </c>
      <c r="F54">
        <f t="shared" ca="1" si="2"/>
        <v>14</v>
      </c>
      <c r="G54" t="str">
        <f t="shared" ca="1" si="3"/>
        <v>Q3</v>
      </c>
    </row>
    <row r="55" spans="1:8">
      <c r="C55" s="1">
        <f ca="1">TODAY()-650</f>
        <v>45337</v>
      </c>
      <c r="D55">
        <f t="shared" ca="1" si="0"/>
        <v>2024</v>
      </c>
      <c r="E55">
        <f t="shared" ca="1" si="1"/>
        <v>2</v>
      </c>
      <c r="F55">
        <f t="shared" ca="1" si="2"/>
        <v>15</v>
      </c>
      <c r="G55" t="str">
        <f t="shared" ca="1" si="3"/>
        <v>Q1</v>
      </c>
    </row>
    <row r="56" spans="1:8">
      <c r="F56"/>
    </row>
    <row r="57" spans="1:8">
      <c r="F57"/>
    </row>
    <row r="58" spans="1:8">
      <c r="C58" s="60" t="s">
        <v>4375</v>
      </c>
      <c r="D58" s="60"/>
      <c r="E58" s="60"/>
      <c r="F58" s="60"/>
      <c r="G58" s="60"/>
      <c r="H58" s="60"/>
    </row>
    <row r="59" spans="1:8">
      <c r="A59" t="s">
        <v>4376</v>
      </c>
      <c r="C59" s="60" cm="1">
        <f t="array" ref="C59:C218">ABS(Sales[ORDERDATE]-Sales[DELIVERY])</f>
        <v>9</v>
      </c>
      <c r="D59" s="62"/>
      <c r="E59" s="61"/>
      <c r="F59" s="61"/>
      <c r="G59" s="60"/>
      <c r="H59" s="60"/>
    </row>
    <row r="60" spans="1:8">
      <c r="C60">
        <v>6</v>
      </c>
    </row>
    <row r="61" spans="1:8">
      <c r="C61">
        <v>6</v>
      </c>
    </row>
    <row r="62" spans="1:8">
      <c r="C62">
        <v>8</v>
      </c>
    </row>
    <row r="63" spans="1:8">
      <c r="C63">
        <v>7</v>
      </c>
    </row>
    <row r="64" spans="1:8">
      <c r="C64">
        <v>8</v>
      </c>
    </row>
    <row r="65" spans="3:3">
      <c r="C65">
        <v>9</v>
      </c>
    </row>
    <row r="66" spans="3:3">
      <c r="C66">
        <v>8</v>
      </c>
    </row>
    <row r="67" spans="3:3">
      <c r="C67">
        <v>5</v>
      </c>
    </row>
    <row r="68" spans="3:3">
      <c r="C68">
        <v>7</v>
      </c>
    </row>
    <row r="69" spans="3:3">
      <c r="C69">
        <v>6</v>
      </c>
    </row>
    <row r="70" spans="3:3">
      <c r="C70">
        <v>8</v>
      </c>
    </row>
    <row r="71" spans="3:3">
      <c r="C71">
        <v>8</v>
      </c>
    </row>
    <row r="72" spans="3:3">
      <c r="C72">
        <v>8</v>
      </c>
    </row>
    <row r="73" spans="3:3">
      <c r="C73">
        <v>8</v>
      </c>
    </row>
    <row r="74" spans="3:3">
      <c r="C74">
        <v>9</v>
      </c>
    </row>
    <row r="75" spans="3:3">
      <c r="C75">
        <v>5</v>
      </c>
    </row>
    <row r="76" spans="3:3">
      <c r="C76">
        <v>10</v>
      </c>
    </row>
    <row r="77" spans="3:3">
      <c r="C77">
        <v>11</v>
      </c>
    </row>
    <row r="78" spans="3:3">
      <c r="C78">
        <v>5</v>
      </c>
    </row>
    <row r="79" spans="3:3">
      <c r="C79">
        <v>8</v>
      </c>
    </row>
    <row r="80" spans="3:3">
      <c r="C80">
        <v>9</v>
      </c>
    </row>
    <row r="81" spans="3:3">
      <c r="C81">
        <v>10</v>
      </c>
    </row>
    <row r="82" spans="3:3">
      <c r="C82">
        <v>7</v>
      </c>
    </row>
    <row r="83" spans="3:3">
      <c r="C83">
        <v>6</v>
      </c>
    </row>
    <row r="84" spans="3:3">
      <c r="C84">
        <v>8</v>
      </c>
    </row>
    <row r="85" spans="3:3">
      <c r="C85">
        <v>6</v>
      </c>
    </row>
    <row r="86" spans="3:3">
      <c r="C86">
        <v>7</v>
      </c>
    </row>
    <row r="87" spans="3:3">
      <c r="C87">
        <v>12</v>
      </c>
    </row>
    <row r="88" spans="3:3">
      <c r="C88">
        <v>8</v>
      </c>
    </row>
    <row r="89" spans="3:3">
      <c r="C89">
        <v>8</v>
      </c>
    </row>
    <row r="90" spans="3:3">
      <c r="C90">
        <v>7</v>
      </c>
    </row>
    <row r="91" spans="3:3">
      <c r="C91">
        <v>8</v>
      </c>
    </row>
    <row r="92" spans="3:3">
      <c r="C92">
        <v>11</v>
      </c>
    </row>
    <row r="93" spans="3:3">
      <c r="C93">
        <v>5</v>
      </c>
    </row>
    <row r="94" spans="3:3">
      <c r="C94">
        <v>8</v>
      </c>
    </row>
    <row r="95" spans="3:3">
      <c r="C95">
        <v>8</v>
      </c>
    </row>
    <row r="96" spans="3:3">
      <c r="C96">
        <v>8</v>
      </c>
    </row>
    <row r="97" spans="3:3">
      <c r="C97">
        <v>6</v>
      </c>
    </row>
    <row r="98" spans="3:3">
      <c r="C98">
        <v>6</v>
      </c>
    </row>
    <row r="99" spans="3:3">
      <c r="C99">
        <v>8</v>
      </c>
    </row>
    <row r="100" spans="3:3">
      <c r="C100">
        <v>5</v>
      </c>
    </row>
    <row r="101" spans="3:3">
      <c r="C101">
        <v>9</v>
      </c>
    </row>
    <row r="102" spans="3:3">
      <c r="C102">
        <v>8</v>
      </c>
    </row>
    <row r="103" spans="3:3">
      <c r="C103">
        <v>11</v>
      </c>
    </row>
    <row r="104" spans="3:3">
      <c r="C104">
        <v>8</v>
      </c>
    </row>
    <row r="105" spans="3:3">
      <c r="C105">
        <v>10</v>
      </c>
    </row>
    <row r="106" spans="3:3">
      <c r="C106">
        <v>8</v>
      </c>
    </row>
    <row r="107" spans="3:3">
      <c r="C107">
        <v>6</v>
      </c>
    </row>
    <row r="108" spans="3:3">
      <c r="C108">
        <v>6</v>
      </c>
    </row>
    <row r="109" spans="3:3">
      <c r="C109">
        <v>9</v>
      </c>
    </row>
    <row r="110" spans="3:3">
      <c r="C110">
        <v>8</v>
      </c>
    </row>
    <row r="111" spans="3:3">
      <c r="C111">
        <v>12</v>
      </c>
    </row>
    <row r="112" spans="3:3">
      <c r="C112">
        <v>7</v>
      </c>
    </row>
    <row r="113" spans="3:3">
      <c r="C113">
        <v>5</v>
      </c>
    </row>
    <row r="114" spans="3:3">
      <c r="C114">
        <v>8</v>
      </c>
    </row>
    <row r="115" spans="3:3">
      <c r="C115">
        <v>8</v>
      </c>
    </row>
    <row r="116" spans="3:3">
      <c r="C116">
        <v>6</v>
      </c>
    </row>
    <row r="117" spans="3:3">
      <c r="C117">
        <v>7</v>
      </c>
    </row>
    <row r="118" spans="3:3">
      <c r="C118">
        <v>9</v>
      </c>
    </row>
    <row r="119" spans="3:3">
      <c r="C119">
        <v>3</v>
      </c>
    </row>
    <row r="120" spans="3:3">
      <c r="C120">
        <v>5</v>
      </c>
    </row>
    <row r="121" spans="3:3">
      <c r="C121">
        <v>10</v>
      </c>
    </row>
    <row r="122" spans="3:3">
      <c r="C122">
        <v>6</v>
      </c>
    </row>
    <row r="123" spans="3:3">
      <c r="C123">
        <v>9</v>
      </c>
    </row>
    <row r="124" spans="3:3">
      <c r="C124">
        <v>9</v>
      </c>
    </row>
    <row r="125" spans="3:3">
      <c r="C125">
        <v>9</v>
      </c>
    </row>
    <row r="126" spans="3:3">
      <c r="C126">
        <v>9</v>
      </c>
    </row>
    <row r="127" spans="3:3">
      <c r="C127">
        <v>8</v>
      </c>
    </row>
    <row r="128" spans="3:3">
      <c r="C128">
        <v>9</v>
      </c>
    </row>
    <row r="129" spans="3:3">
      <c r="C129">
        <v>9</v>
      </c>
    </row>
    <row r="130" spans="3:3">
      <c r="C130">
        <v>9</v>
      </c>
    </row>
    <row r="131" spans="3:3">
      <c r="C131">
        <v>7</v>
      </c>
    </row>
    <row r="132" spans="3:3">
      <c r="C132">
        <v>8</v>
      </c>
    </row>
    <row r="133" spans="3:3">
      <c r="C133">
        <v>9</v>
      </c>
    </row>
    <row r="134" spans="3:3">
      <c r="C134">
        <v>5</v>
      </c>
    </row>
    <row r="135" spans="3:3">
      <c r="C135">
        <v>10</v>
      </c>
    </row>
    <row r="136" spans="3:3">
      <c r="C136">
        <v>3</v>
      </c>
    </row>
    <row r="137" spans="3:3">
      <c r="C137">
        <v>9</v>
      </c>
    </row>
    <row r="138" spans="3:3">
      <c r="C138">
        <v>6</v>
      </c>
    </row>
    <row r="139" spans="3:3">
      <c r="C139">
        <v>11</v>
      </c>
    </row>
    <row r="140" spans="3:3">
      <c r="C140">
        <v>7</v>
      </c>
    </row>
    <row r="141" spans="3:3">
      <c r="C141">
        <v>6</v>
      </c>
    </row>
    <row r="142" spans="3:3">
      <c r="C142">
        <v>6</v>
      </c>
    </row>
    <row r="143" spans="3:3">
      <c r="C143">
        <v>9</v>
      </c>
    </row>
    <row r="144" spans="3:3">
      <c r="C144">
        <v>9</v>
      </c>
    </row>
    <row r="145" spans="3:3">
      <c r="C145">
        <v>9</v>
      </c>
    </row>
    <row r="146" spans="3:3">
      <c r="C146">
        <v>6</v>
      </c>
    </row>
    <row r="147" spans="3:3">
      <c r="C147">
        <v>7</v>
      </c>
    </row>
    <row r="148" spans="3:3">
      <c r="C148">
        <v>7</v>
      </c>
    </row>
    <row r="149" spans="3:3">
      <c r="C149">
        <v>9</v>
      </c>
    </row>
    <row r="150" spans="3:3">
      <c r="C150">
        <v>5</v>
      </c>
    </row>
    <row r="151" spans="3:3">
      <c r="C151">
        <v>7</v>
      </c>
    </row>
    <row r="152" spans="3:3">
      <c r="C152">
        <v>7</v>
      </c>
    </row>
    <row r="153" spans="3:3">
      <c r="C153">
        <v>7</v>
      </c>
    </row>
    <row r="154" spans="3:3">
      <c r="C154">
        <v>11</v>
      </c>
    </row>
    <row r="155" spans="3:3">
      <c r="C155">
        <v>5</v>
      </c>
    </row>
    <row r="156" spans="3:3">
      <c r="C156">
        <v>9</v>
      </c>
    </row>
    <row r="157" spans="3:3">
      <c r="C157">
        <v>6</v>
      </c>
    </row>
    <row r="158" spans="3:3">
      <c r="C158">
        <v>6</v>
      </c>
    </row>
    <row r="159" spans="3:3">
      <c r="C159">
        <v>3</v>
      </c>
    </row>
    <row r="160" spans="3:3">
      <c r="C160">
        <v>6</v>
      </c>
    </row>
    <row r="161" spans="3:3">
      <c r="C161">
        <v>9</v>
      </c>
    </row>
    <row r="162" spans="3:3">
      <c r="C162">
        <v>5</v>
      </c>
    </row>
    <row r="163" spans="3:3">
      <c r="C163">
        <v>10</v>
      </c>
    </row>
    <row r="164" spans="3:3">
      <c r="C164">
        <v>11</v>
      </c>
    </row>
    <row r="165" spans="3:3">
      <c r="C165">
        <v>5</v>
      </c>
    </row>
    <row r="166" spans="3:3">
      <c r="C166">
        <v>9</v>
      </c>
    </row>
    <row r="167" spans="3:3">
      <c r="C167">
        <v>7</v>
      </c>
    </row>
    <row r="168" spans="3:3">
      <c r="C168">
        <v>12</v>
      </c>
    </row>
    <row r="169" spans="3:3">
      <c r="C169">
        <v>4</v>
      </c>
    </row>
    <row r="170" spans="3:3">
      <c r="C170">
        <v>4</v>
      </c>
    </row>
    <row r="171" spans="3:3">
      <c r="C171">
        <v>8</v>
      </c>
    </row>
    <row r="172" spans="3:3">
      <c r="C172">
        <v>10</v>
      </c>
    </row>
    <row r="173" spans="3:3">
      <c r="C173">
        <v>8</v>
      </c>
    </row>
    <row r="174" spans="3:3">
      <c r="C174">
        <v>7</v>
      </c>
    </row>
    <row r="175" spans="3:3">
      <c r="C175">
        <v>7</v>
      </c>
    </row>
    <row r="176" spans="3:3">
      <c r="C176">
        <v>10</v>
      </c>
    </row>
    <row r="177" spans="3:3">
      <c r="C177">
        <v>10</v>
      </c>
    </row>
    <row r="178" spans="3:3">
      <c r="C178">
        <v>7</v>
      </c>
    </row>
    <row r="179" spans="3:3">
      <c r="C179">
        <v>9</v>
      </c>
    </row>
    <row r="180" spans="3:3">
      <c r="C180">
        <v>9</v>
      </c>
    </row>
    <row r="181" spans="3:3">
      <c r="C181">
        <v>6</v>
      </c>
    </row>
    <row r="182" spans="3:3">
      <c r="C182">
        <v>6</v>
      </c>
    </row>
    <row r="183" spans="3:3">
      <c r="C183">
        <v>9</v>
      </c>
    </row>
    <row r="184" spans="3:3">
      <c r="C184">
        <v>8</v>
      </c>
    </row>
    <row r="185" spans="3:3">
      <c r="C185">
        <v>7</v>
      </c>
    </row>
    <row r="186" spans="3:3">
      <c r="C186">
        <v>5</v>
      </c>
    </row>
    <row r="187" spans="3:3">
      <c r="C187">
        <v>7</v>
      </c>
    </row>
    <row r="188" spans="3:3">
      <c r="C188">
        <v>8</v>
      </c>
    </row>
    <row r="189" spans="3:3">
      <c r="C189">
        <v>6</v>
      </c>
    </row>
    <row r="190" spans="3:3">
      <c r="C190">
        <v>10</v>
      </c>
    </row>
    <row r="191" spans="3:3">
      <c r="C191">
        <v>11</v>
      </c>
    </row>
    <row r="192" spans="3:3">
      <c r="C192">
        <v>6</v>
      </c>
    </row>
    <row r="193" spans="3:3">
      <c r="C193">
        <v>9</v>
      </c>
    </row>
    <row r="194" spans="3:3">
      <c r="C194">
        <v>9</v>
      </c>
    </row>
    <row r="195" spans="3:3">
      <c r="C195">
        <v>8</v>
      </c>
    </row>
    <row r="196" spans="3:3">
      <c r="C196">
        <v>9</v>
      </c>
    </row>
    <row r="197" spans="3:3">
      <c r="C197">
        <v>8</v>
      </c>
    </row>
    <row r="198" spans="3:3">
      <c r="C198">
        <v>3</v>
      </c>
    </row>
    <row r="199" spans="3:3">
      <c r="C199">
        <v>9</v>
      </c>
    </row>
    <row r="200" spans="3:3">
      <c r="C200">
        <v>7</v>
      </c>
    </row>
    <row r="201" spans="3:3">
      <c r="C201">
        <v>8</v>
      </c>
    </row>
    <row r="202" spans="3:3">
      <c r="C202">
        <v>8</v>
      </c>
    </row>
    <row r="203" spans="3:3">
      <c r="C203">
        <v>11</v>
      </c>
    </row>
    <row r="204" spans="3:3">
      <c r="C204">
        <v>9</v>
      </c>
    </row>
    <row r="205" spans="3:3">
      <c r="C205">
        <v>9</v>
      </c>
    </row>
    <row r="206" spans="3:3">
      <c r="C206">
        <v>5</v>
      </c>
    </row>
    <row r="207" spans="3:3">
      <c r="C207">
        <v>7</v>
      </c>
    </row>
    <row r="208" spans="3:3">
      <c r="C208">
        <v>8</v>
      </c>
    </row>
    <row r="209" spans="1:4">
      <c r="C209">
        <v>9</v>
      </c>
    </row>
    <row r="210" spans="1:4">
      <c r="C210">
        <v>6</v>
      </c>
    </row>
    <row r="211" spans="1:4">
      <c r="C211">
        <v>6</v>
      </c>
    </row>
    <row r="212" spans="1:4">
      <c r="C212">
        <v>7</v>
      </c>
    </row>
    <row r="213" spans="1:4">
      <c r="C213">
        <v>9</v>
      </c>
    </row>
    <row r="214" spans="1:4">
      <c r="C214">
        <v>10</v>
      </c>
    </row>
    <row r="215" spans="1:4">
      <c r="C215">
        <v>7</v>
      </c>
    </row>
    <row r="216" spans="1:4">
      <c r="C216">
        <v>8</v>
      </c>
    </row>
    <row r="217" spans="1:4">
      <c r="C217">
        <v>7</v>
      </c>
    </row>
    <row r="218" spans="1:4">
      <c r="C218">
        <v>10</v>
      </c>
    </row>
    <row r="222" spans="1:4">
      <c r="D222" t="s">
        <v>4377</v>
      </c>
    </row>
    <row r="223" spans="1:4" hidden="1">
      <c r="A223" t="s">
        <v>4378</v>
      </c>
      <c r="D223" cm="1">
        <f t="array" ref="D223:D382">Sales[DELIVERY]-Sales[OUTFORDELIVERY]</f>
        <v>4</v>
      </c>
    </row>
    <row r="224" spans="1:4" hidden="1">
      <c r="D224">
        <v>1</v>
      </c>
    </row>
    <row r="225" spans="4:4" hidden="1">
      <c r="D225">
        <v>1</v>
      </c>
    </row>
    <row r="226" spans="4:4" hidden="1">
      <c r="D226">
        <v>4</v>
      </c>
    </row>
    <row r="227" spans="4:4" hidden="1">
      <c r="D227">
        <v>1</v>
      </c>
    </row>
    <row r="228" spans="4:4" hidden="1">
      <c r="D228">
        <v>4</v>
      </c>
    </row>
    <row r="229" spans="4:4" hidden="1">
      <c r="D229">
        <v>3</v>
      </c>
    </row>
    <row r="230" spans="4:4">
      <c r="D230">
        <v>2</v>
      </c>
    </row>
    <row r="231" spans="4:4" hidden="1">
      <c r="D231">
        <v>1</v>
      </c>
    </row>
    <row r="232" spans="4:4" hidden="1">
      <c r="D232">
        <v>1</v>
      </c>
    </row>
    <row r="233" spans="4:4" hidden="1">
      <c r="D233">
        <v>3</v>
      </c>
    </row>
    <row r="234" spans="4:4" hidden="1">
      <c r="D234">
        <v>4</v>
      </c>
    </row>
    <row r="235" spans="4:4" hidden="1">
      <c r="D235">
        <v>3</v>
      </c>
    </row>
    <row r="236" spans="4:4" hidden="1">
      <c r="D236">
        <v>4</v>
      </c>
    </row>
    <row r="237" spans="4:4">
      <c r="D237">
        <v>2</v>
      </c>
    </row>
    <row r="238" spans="4:4" hidden="1">
      <c r="D238">
        <v>3</v>
      </c>
    </row>
    <row r="239" spans="4:4" hidden="1">
      <c r="D239">
        <v>3</v>
      </c>
    </row>
    <row r="240" spans="4:4">
      <c r="D240">
        <v>2</v>
      </c>
    </row>
    <row r="241" spans="4:4" hidden="1">
      <c r="D241">
        <v>4</v>
      </c>
    </row>
    <row r="242" spans="4:4" hidden="1">
      <c r="D242">
        <v>1</v>
      </c>
    </row>
    <row r="243" spans="4:4" hidden="1">
      <c r="D243">
        <v>4</v>
      </c>
    </row>
    <row r="244" spans="4:4" hidden="1">
      <c r="D244">
        <v>4</v>
      </c>
    </row>
    <row r="245" spans="4:4" hidden="1">
      <c r="D245">
        <v>3</v>
      </c>
    </row>
    <row r="246" spans="4:4" hidden="1">
      <c r="D246">
        <v>4</v>
      </c>
    </row>
    <row r="247" spans="4:4" hidden="1">
      <c r="D247">
        <v>4</v>
      </c>
    </row>
    <row r="248" spans="4:4" hidden="1">
      <c r="D248">
        <v>3</v>
      </c>
    </row>
    <row r="249" spans="4:4" hidden="1">
      <c r="D249">
        <v>3</v>
      </c>
    </row>
    <row r="250" spans="4:4">
      <c r="D250">
        <v>2</v>
      </c>
    </row>
    <row r="251" spans="4:4" hidden="1">
      <c r="D251">
        <v>4</v>
      </c>
    </row>
    <row r="252" spans="4:4">
      <c r="D252">
        <v>2</v>
      </c>
    </row>
    <row r="253" spans="4:4" hidden="1">
      <c r="D253">
        <v>3</v>
      </c>
    </row>
    <row r="254" spans="4:4">
      <c r="D254">
        <v>2</v>
      </c>
    </row>
    <row r="255" spans="4:4" hidden="1">
      <c r="D255">
        <v>3</v>
      </c>
    </row>
    <row r="256" spans="4:4" hidden="1">
      <c r="D256">
        <v>4</v>
      </c>
    </row>
    <row r="257" spans="4:4" hidden="1">
      <c r="D257">
        <v>1</v>
      </c>
    </row>
    <row r="258" spans="4:4" hidden="1">
      <c r="D258">
        <v>4</v>
      </c>
    </row>
    <row r="259" spans="4:4" hidden="1">
      <c r="D259">
        <v>4</v>
      </c>
    </row>
    <row r="260" spans="4:4" hidden="1">
      <c r="D260">
        <v>1</v>
      </c>
    </row>
    <row r="261" spans="4:4" hidden="1">
      <c r="D261">
        <v>3</v>
      </c>
    </row>
    <row r="262" spans="4:4">
      <c r="D262">
        <v>2</v>
      </c>
    </row>
    <row r="263" spans="4:4">
      <c r="D263">
        <v>2</v>
      </c>
    </row>
    <row r="264" spans="4:4" hidden="1">
      <c r="D264">
        <v>1</v>
      </c>
    </row>
    <row r="265" spans="4:4" hidden="1">
      <c r="D265">
        <v>4</v>
      </c>
    </row>
    <row r="266" spans="4:4" hidden="1">
      <c r="D266">
        <v>4</v>
      </c>
    </row>
    <row r="267" spans="4:4" hidden="1">
      <c r="D267">
        <v>4</v>
      </c>
    </row>
    <row r="268" spans="4:4" hidden="1">
      <c r="D268">
        <v>3</v>
      </c>
    </row>
    <row r="269" spans="4:4" hidden="1">
      <c r="D269">
        <v>4</v>
      </c>
    </row>
    <row r="270" spans="4:4" hidden="1">
      <c r="D270">
        <v>3</v>
      </c>
    </row>
    <row r="271" spans="4:4" hidden="1">
      <c r="D271">
        <v>1</v>
      </c>
    </row>
    <row r="272" spans="4:4">
      <c r="D272">
        <v>2</v>
      </c>
    </row>
    <row r="273" spans="4:4" hidden="1">
      <c r="D273">
        <v>4</v>
      </c>
    </row>
    <row r="274" spans="4:4" hidden="1">
      <c r="D274">
        <v>3</v>
      </c>
    </row>
    <row r="275" spans="4:4" hidden="1">
      <c r="D275">
        <v>4</v>
      </c>
    </row>
    <row r="276" spans="4:4" hidden="1">
      <c r="D276">
        <v>3</v>
      </c>
    </row>
    <row r="277" spans="4:4">
      <c r="D277">
        <v>2</v>
      </c>
    </row>
    <row r="278" spans="4:4" hidden="1">
      <c r="D278">
        <v>4</v>
      </c>
    </row>
    <row r="279" spans="4:4" hidden="1">
      <c r="D279">
        <v>3</v>
      </c>
    </row>
    <row r="280" spans="4:4" hidden="1">
      <c r="D280">
        <v>3</v>
      </c>
    </row>
    <row r="281" spans="4:4">
      <c r="D281">
        <v>2</v>
      </c>
    </row>
    <row r="282" spans="4:4">
      <c r="D282">
        <v>2</v>
      </c>
    </row>
    <row r="283" spans="4:4" hidden="1">
      <c r="D283">
        <v>1</v>
      </c>
    </row>
    <row r="284" spans="4:4" hidden="1">
      <c r="D284">
        <v>3</v>
      </c>
    </row>
    <row r="285" spans="4:4" hidden="1">
      <c r="D285">
        <v>3</v>
      </c>
    </row>
    <row r="286" spans="4:4">
      <c r="D286">
        <v>2</v>
      </c>
    </row>
    <row r="287" spans="4:4" hidden="1">
      <c r="D287">
        <v>4</v>
      </c>
    </row>
    <row r="288" spans="4:4" hidden="1">
      <c r="D288">
        <v>3</v>
      </c>
    </row>
    <row r="289" spans="4:4" hidden="1">
      <c r="D289">
        <v>4</v>
      </c>
    </row>
    <row r="290" spans="4:4" hidden="1">
      <c r="D290">
        <v>3</v>
      </c>
    </row>
    <row r="291" spans="4:4">
      <c r="D291">
        <v>2</v>
      </c>
    </row>
    <row r="292" spans="4:4" hidden="1">
      <c r="D292">
        <v>4</v>
      </c>
    </row>
    <row r="293" spans="4:4" hidden="1">
      <c r="D293">
        <v>4</v>
      </c>
    </row>
    <row r="294" spans="4:4" hidden="1">
      <c r="D294">
        <v>3</v>
      </c>
    </row>
    <row r="295" spans="4:4" hidden="1">
      <c r="D295">
        <v>1</v>
      </c>
    </row>
    <row r="296" spans="4:4">
      <c r="D296">
        <v>2</v>
      </c>
    </row>
    <row r="297" spans="4:4" hidden="1">
      <c r="D297">
        <v>4</v>
      </c>
    </row>
    <row r="298" spans="4:4">
      <c r="D298">
        <v>2</v>
      </c>
    </row>
    <row r="299" spans="4:4" hidden="1">
      <c r="D299">
        <v>4</v>
      </c>
    </row>
    <row r="300" spans="4:4" hidden="1">
      <c r="D300">
        <v>1</v>
      </c>
    </row>
    <row r="301" spans="4:4" hidden="1">
      <c r="D301">
        <v>3</v>
      </c>
    </row>
    <row r="302" spans="4:4" hidden="1">
      <c r="D302">
        <v>3</v>
      </c>
    </row>
    <row r="303" spans="4:4" hidden="1">
      <c r="D303">
        <v>4</v>
      </c>
    </row>
    <row r="304" spans="4:4">
      <c r="D304">
        <v>2</v>
      </c>
    </row>
    <row r="305" spans="4:4" hidden="1">
      <c r="D305">
        <v>3</v>
      </c>
    </row>
    <row r="306" spans="4:4" hidden="1">
      <c r="D306">
        <v>4</v>
      </c>
    </row>
    <row r="307" spans="4:4" hidden="1">
      <c r="D307">
        <v>4</v>
      </c>
    </row>
    <row r="308" spans="4:4" hidden="1">
      <c r="D308">
        <v>4</v>
      </c>
    </row>
    <row r="309" spans="4:4" hidden="1">
      <c r="D309">
        <v>4</v>
      </c>
    </row>
    <row r="310" spans="4:4" hidden="1">
      <c r="D310">
        <v>4</v>
      </c>
    </row>
    <row r="311" spans="4:4" hidden="1">
      <c r="D311">
        <v>3</v>
      </c>
    </row>
    <row r="312" spans="4:4" hidden="1">
      <c r="D312">
        <v>3</v>
      </c>
    </row>
    <row r="313" spans="4:4">
      <c r="D313">
        <v>2</v>
      </c>
    </row>
    <row r="314" spans="4:4" hidden="1">
      <c r="D314">
        <v>1</v>
      </c>
    </row>
    <row r="315" spans="4:4">
      <c r="D315">
        <v>2</v>
      </c>
    </row>
    <row r="316" spans="4:4" hidden="1">
      <c r="D316">
        <v>1</v>
      </c>
    </row>
    <row r="317" spans="4:4" hidden="1">
      <c r="D317">
        <v>4</v>
      </c>
    </row>
    <row r="318" spans="4:4" hidden="1">
      <c r="D318">
        <v>4</v>
      </c>
    </row>
    <row r="319" spans="4:4" hidden="1">
      <c r="D319">
        <v>1</v>
      </c>
    </row>
    <row r="320" spans="4:4" hidden="1">
      <c r="D320">
        <v>3</v>
      </c>
    </row>
    <row r="321" spans="4:4" hidden="1">
      <c r="D321">
        <v>3</v>
      </c>
    </row>
    <row r="322" spans="4:4" hidden="1">
      <c r="D322">
        <v>1</v>
      </c>
    </row>
    <row r="323" spans="4:4" hidden="1">
      <c r="D323">
        <v>1</v>
      </c>
    </row>
    <row r="324" spans="4:4" hidden="1">
      <c r="D324">
        <v>4</v>
      </c>
    </row>
    <row r="325" spans="4:4" hidden="1">
      <c r="D325">
        <v>3</v>
      </c>
    </row>
    <row r="326" spans="4:4">
      <c r="D326">
        <v>2</v>
      </c>
    </row>
    <row r="327" spans="4:4" hidden="1">
      <c r="D327">
        <v>3</v>
      </c>
    </row>
    <row r="328" spans="4:4" hidden="1">
      <c r="D328">
        <v>3</v>
      </c>
    </row>
    <row r="329" spans="4:4" hidden="1">
      <c r="D329">
        <v>1</v>
      </c>
    </row>
    <row r="330" spans="4:4" hidden="1">
      <c r="D330">
        <v>4</v>
      </c>
    </row>
    <row r="331" spans="4:4" hidden="1">
      <c r="D331">
        <v>1</v>
      </c>
    </row>
    <row r="332" spans="4:4" hidden="1">
      <c r="D332">
        <v>4</v>
      </c>
    </row>
    <row r="333" spans="4:4">
      <c r="D333">
        <v>2</v>
      </c>
    </row>
    <row r="334" spans="4:4" hidden="1">
      <c r="D334">
        <v>1</v>
      </c>
    </row>
    <row r="335" spans="4:4" hidden="1">
      <c r="D335">
        <v>3</v>
      </c>
    </row>
    <row r="336" spans="4:4" hidden="1">
      <c r="D336">
        <v>4</v>
      </c>
    </row>
    <row r="337" spans="4:4" hidden="1">
      <c r="D337">
        <v>3</v>
      </c>
    </row>
    <row r="338" spans="4:4" hidden="1">
      <c r="D338">
        <v>3</v>
      </c>
    </row>
    <row r="339" spans="4:4" hidden="1">
      <c r="D339">
        <v>1</v>
      </c>
    </row>
    <row r="340" spans="4:4">
      <c r="D340">
        <v>2</v>
      </c>
    </row>
    <row r="341" spans="4:4" hidden="1">
      <c r="D341">
        <v>4</v>
      </c>
    </row>
    <row r="342" spans="4:4" hidden="1">
      <c r="D342">
        <v>4</v>
      </c>
    </row>
    <row r="343" spans="4:4" hidden="1">
      <c r="D343">
        <v>3</v>
      </c>
    </row>
    <row r="344" spans="4:4" hidden="1">
      <c r="D344">
        <v>4</v>
      </c>
    </row>
    <row r="345" spans="4:4" hidden="1">
      <c r="D345">
        <v>1</v>
      </c>
    </row>
    <row r="346" spans="4:4" hidden="1">
      <c r="D346">
        <v>1</v>
      </c>
    </row>
    <row r="347" spans="4:4" hidden="1">
      <c r="D347">
        <v>4</v>
      </c>
    </row>
    <row r="348" spans="4:4" hidden="1">
      <c r="D348">
        <v>4</v>
      </c>
    </row>
    <row r="349" spans="4:4" hidden="1">
      <c r="D349">
        <v>3</v>
      </c>
    </row>
    <row r="350" spans="4:4" hidden="1">
      <c r="D350">
        <v>1</v>
      </c>
    </row>
    <row r="351" spans="4:4">
      <c r="D351">
        <v>2</v>
      </c>
    </row>
    <row r="352" spans="4:4">
      <c r="D352">
        <v>2</v>
      </c>
    </row>
    <row r="353" spans="4:4" hidden="1">
      <c r="D353">
        <v>1</v>
      </c>
    </row>
    <row r="354" spans="4:4" hidden="1">
      <c r="D354">
        <v>3</v>
      </c>
    </row>
    <row r="355" spans="4:4" hidden="1">
      <c r="D355">
        <v>3</v>
      </c>
    </row>
    <row r="356" spans="4:4" hidden="1">
      <c r="D356">
        <v>1</v>
      </c>
    </row>
    <row r="357" spans="4:4">
      <c r="D357">
        <v>2</v>
      </c>
    </row>
    <row r="358" spans="4:4">
      <c r="D358">
        <v>2</v>
      </c>
    </row>
    <row r="359" spans="4:4" hidden="1">
      <c r="D359">
        <v>4</v>
      </c>
    </row>
    <row r="360" spans="4:4">
      <c r="D360">
        <v>2</v>
      </c>
    </row>
    <row r="361" spans="4:4" hidden="1">
      <c r="D361">
        <v>3</v>
      </c>
    </row>
    <row r="362" spans="4:4" hidden="1">
      <c r="D362">
        <v>1</v>
      </c>
    </row>
    <row r="363" spans="4:4" hidden="1">
      <c r="D363">
        <v>3</v>
      </c>
    </row>
    <row r="364" spans="4:4" hidden="1">
      <c r="D364">
        <v>3</v>
      </c>
    </row>
    <row r="365" spans="4:4" hidden="1">
      <c r="D365">
        <v>1</v>
      </c>
    </row>
    <row r="366" spans="4:4">
      <c r="D366">
        <v>2</v>
      </c>
    </row>
    <row r="367" spans="4:4" hidden="1">
      <c r="D367">
        <v>3</v>
      </c>
    </row>
    <row r="368" spans="4:4" hidden="1">
      <c r="D368">
        <v>1</v>
      </c>
    </row>
    <row r="369" spans="4:4" hidden="1">
      <c r="D369">
        <v>3</v>
      </c>
    </row>
    <row r="370" spans="4:4">
      <c r="D370">
        <v>2</v>
      </c>
    </row>
    <row r="371" spans="4:4" hidden="1">
      <c r="D371">
        <v>1</v>
      </c>
    </row>
    <row r="372" spans="4:4">
      <c r="D372">
        <v>2</v>
      </c>
    </row>
    <row r="373" spans="4:4" hidden="1">
      <c r="D373">
        <v>4</v>
      </c>
    </row>
    <row r="374" spans="4:4">
      <c r="D374">
        <v>2</v>
      </c>
    </row>
    <row r="375" spans="4:4" hidden="1">
      <c r="D375">
        <v>1</v>
      </c>
    </row>
    <row r="376" spans="4:4" hidden="1">
      <c r="D376">
        <v>4</v>
      </c>
    </row>
    <row r="377" spans="4:4" hidden="1">
      <c r="D377">
        <v>4</v>
      </c>
    </row>
    <row r="378" spans="4:4" hidden="1">
      <c r="D378">
        <v>3</v>
      </c>
    </row>
    <row r="379" spans="4:4" hidden="1">
      <c r="D379">
        <v>3</v>
      </c>
    </row>
    <row r="380" spans="4:4" hidden="1">
      <c r="D380">
        <v>1</v>
      </c>
    </row>
    <row r="381" spans="4:4">
      <c r="D381">
        <v>2</v>
      </c>
    </row>
    <row r="382" spans="4:4" hidden="1">
      <c r="D382">
        <v>4</v>
      </c>
    </row>
    <row r="386" spans="1:3" ht="29.25">
      <c r="A386" t="s">
        <v>4379</v>
      </c>
      <c r="C386" s="15" t="str" cm="1">
        <f t="array" ref="C386:C406">_xlfn._xlws.FILTER(Sales[SALEID], (Sales[ORDERDATE] &gt;= DATE(2020,1,1)) *
    (Sales[ORDERDATE] &lt;= DATE(2020,12,31)),"No Data")</f>
        <v>S1110</v>
      </c>
    </row>
    <row r="387" spans="1:3">
      <c r="C387" t="str">
        <v>S1031</v>
      </c>
    </row>
    <row r="388" spans="1:3">
      <c r="C388" t="str">
        <v>S1090</v>
      </c>
    </row>
    <row r="389" spans="1:3">
      <c r="C389" t="str">
        <v>S1037</v>
      </c>
    </row>
    <row r="390" spans="1:3">
      <c r="C390" t="str">
        <v>S1046</v>
      </c>
    </row>
    <row r="391" spans="1:3">
      <c r="C391" t="str">
        <v>S1124</v>
      </c>
    </row>
    <row r="392" spans="1:3">
      <c r="C392" t="str">
        <v>S1157</v>
      </c>
    </row>
    <row r="393" spans="1:3">
      <c r="C393" t="str">
        <v>S1039</v>
      </c>
    </row>
    <row r="394" spans="1:3">
      <c r="C394" t="str">
        <v>S1141</v>
      </c>
    </row>
    <row r="395" spans="1:3">
      <c r="C395" t="str">
        <v>S1087</v>
      </c>
    </row>
    <row r="396" spans="1:3">
      <c r="C396" t="str">
        <v>S1004</v>
      </c>
    </row>
    <row r="397" spans="1:3">
      <c r="C397" t="str">
        <v>S1112</v>
      </c>
    </row>
    <row r="398" spans="1:3">
      <c r="C398" t="str">
        <v>S1030</v>
      </c>
    </row>
    <row r="399" spans="1:3">
      <c r="C399" t="str">
        <v>S1048</v>
      </c>
    </row>
    <row r="400" spans="1:3">
      <c r="C400" t="str">
        <v>S1028</v>
      </c>
    </row>
    <row r="401" spans="1:3">
      <c r="C401" t="str">
        <v>S1026</v>
      </c>
    </row>
    <row r="402" spans="1:3">
      <c r="C402" t="str">
        <v>S1059</v>
      </c>
    </row>
    <row r="403" spans="1:3">
      <c r="C403" t="str">
        <v>S1095</v>
      </c>
    </row>
    <row r="404" spans="1:3">
      <c r="C404" t="str">
        <v>S1158</v>
      </c>
    </row>
    <row r="405" spans="1:3">
      <c r="C405" t="str">
        <v>S1094</v>
      </c>
    </row>
    <row r="406" spans="1:3">
      <c r="C406" t="str">
        <v>S1003</v>
      </c>
    </row>
    <row r="409" spans="1:3">
      <c r="A409" t="s">
        <v>4380</v>
      </c>
      <c r="C409" cm="1">
        <f t="array" ref="C409">SUM(--(MONTH(Sales[DELIVERY]) = 8))</f>
        <v>10</v>
      </c>
    </row>
    <row r="413" spans="1:3">
      <c r="A413" t="s">
        <v>4381</v>
      </c>
      <c r="C413" s="38" t="s">
        <v>4382</v>
      </c>
    </row>
    <row r="414" spans="1:3">
      <c r="C414" cm="1">
        <f t="array" ref="C414:C573">Sales[DELIVERY]-Sales[ORDERDATE]</f>
        <v>9</v>
      </c>
    </row>
    <row r="415" spans="1:3">
      <c r="C415">
        <v>6</v>
      </c>
    </row>
    <row r="416" spans="1:3">
      <c r="C416">
        <v>6</v>
      </c>
    </row>
    <row r="417" spans="3:3">
      <c r="C417">
        <v>8</v>
      </c>
    </row>
    <row r="418" spans="3:3">
      <c r="C418">
        <v>7</v>
      </c>
    </row>
    <row r="419" spans="3:3">
      <c r="C419">
        <v>8</v>
      </c>
    </row>
    <row r="420" spans="3:3">
      <c r="C420">
        <v>9</v>
      </c>
    </row>
    <row r="421" spans="3:3">
      <c r="C421">
        <v>8</v>
      </c>
    </row>
    <row r="422" spans="3:3">
      <c r="C422">
        <v>5</v>
      </c>
    </row>
    <row r="423" spans="3:3">
      <c r="C423">
        <v>7</v>
      </c>
    </row>
    <row r="424" spans="3:3">
      <c r="C424">
        <v>6</v>
      </c>
    </row>
    <row r="425" spans="3:3">
      <c r="C425">
        <v>8</v>
      </c>
    </row>
    <row r="426" spans="3:3">
      <c r="C426">
        <v>8</v>
      </c>
    </row>
    <row r="427" spans="3:3">
      <c r="C427">
        <v>8</v>
      </c>
    </row>
    <row r="428" spans="3:3">
      <c r="C428">
        <v>8</v>
      </c>
    </row>
    <row r="429" spans="3:3">
      <c r="C429">
        <v>9</v>
      </c>
    </row>
    <row r="430" spans="3:3">
      <c r="C430">
        <v>5</v>
      </c>
    </row>
    <row r="431" spans="3:3">
      <c r="C431">
        <v>10</v>
      </c>
    </row>
    <row r="432" spans="3:3">
      <c r="C432">
        <v>11</v>
      </c>
    </row>
    <row r="433" spans="3:3">
      <c r="C433">
        <v>5</v>
      </c>
    </row>
    <row r="434" spans="3:3">
      <c r="C434">
        <v>8</v>
      </c>
    </row>
    <row r="435" spans="3:3">
      <c r="C435">
        <v>9</v>
      </c>
    </row>
    <row r="436" spans="3:3">
      <c r="C436">
        <v>10</v>
      </c>
    </row>
    <row r="437" spans="3:3">
      <c r="C437">
        <v>7</v>
      </c>
    </row>
    <row r="438" spans="3:3">
      <c r="C438">
        <v>6</v>
      </c>
    </row>
    <row r="439" spans="3:3">
      <c r="C439">
        <v>8</v>
      </c>
    </row>
    <row r="440" spans="3:3">
      <c r="C440">
        <v>6</v>
      </c>
    </row>
    <row r="441" spans="3:3">
      <c r="C441">
        <v>7</v>
      </c>
    </row>
    <row r="442" spans="3:3">
      <c r="C442">
        <v>12</v>
      </c>
    </row>
    <row r="443" spans="3:3">
      <c r="C443">
        <v>8</v>
      </c>
    </row>
    <row r="444" spans="3:3">
      <c r="C444">
        <v>8</v>
      </c>
    </row>
    <row r="445" spans="3:3">
      <c r="C445">
        <v>7</v>
      </c>
    </row>
    <row r="446" spans="3:3">
      <c r="C446">
        <v>8</v>
      </c>
    </row>
    <row r="447" spans="3:3">
      <c r="C447">
        <v>11</v>
      </c>
    </row>
    <row r="448" spans="3:3">
      <c r="C448">
        <v>5</v>
      </c>
    </row>
    <row r="449" spans="3:3">
      <c r="C449">
        <v>8</v>
      </c>
    </row>
    <row r="450" spans="3:3">
      <c r="C450">
        <v>8</v>
      </c>
    </row>
    <row r="451" spans="3:3">
      <c r="C451">
        <v>8</v>
      </c>
    </row>
    <row r="452" spans="3:3">
      <c r="C452">
        <v>6</v>
      </c>
    </row>
    <row r="453" spans="3:3">
      <c r="C453">
        <v>6</v>
      </c>
    </row>
    <row r="454" spans="3:3">
      <c r="C454">
        <v>8</v>
      </c>
    </row>
    <row r="455" spans="3:3">
      <c r="C455">
        <v>5</v>
      </c>
    </row>
    <row r="456" spans="3:3">
      <c r="C456">
        <v>9</v>
      </c>
    </row>
    <row r="457" spans="3:3">
      <c r="C457">
        <v>8</v>
      </c>
    </row>
    <row r="458" spans="3:3">
      <c r="C458">
        <v>11</v>
      </c>
    </row>
    <row r="459" spans="3:3">
      <c r="C459">
        <v>8</v>
      </c>
    </row>
    <row r="460" spans="3:3">
      <c r="C460">
        <v>10</v>
      </c>
    </row>
    <row r="461" spans="3:3">
      <c r="C461">
        <v>8</v>
      </c>
    </row>
    <row r="462" spans="3:3">
      <c r="C462">
        <v>6</v>
      </c>
    </row>
    <row r="463" spans="3:3">
      <c r="C463">
        <v>6</v>
      </c>
    </row>
    <row r="464" spans="3:3">
      <c r="C464">
        <v>9</v>
      </c>
    </row>
    <row r="465" spans="3:3">
      <c r="C465">
        <v>8</v>
      </c>
    </row>
    <row r="466" spans="3:3">
      <c r="C466">
        <v>12</v>
      </c>
    </row>
    <row r="467" spans="3:3">
      <c r="C467">
        <v>7</v>
      </c>
    </row>
    <row r="468" spans="3:3">
      <c r="C468">
        <v>5</v>
      </c>
    </row>
    <row r="469" spans="3:3">
      <c r="C469">
        <v>8</v>
      </c>
    </row>
    <row r="470" spans="3:3">
      <c r="C470">
        <v>8</v>
      </c>
    </row>
    <row r="471" spans="3:3">
      <c r="C471">
        <v>6</v>
      </c>
    </row>
    <row r="472" spans="3:3">
      <c r="C472">
        <v>7</v>
      </c>
    </row>
    <row r="473" spans="3:3">
      <c r="C473">
        <v>9</v>
      </c>
    </row>
    <row r="474" spans="3:3">
      <c r="C474">
        <v>3</v>
      </c>
    </row>
    <row r="475" spans="3:3">
      <c r="C475">
        <v>5</v>
      </c>
    </row>
    <row r="476" spans="3:3">
      <c r="C476">
        <v>10</v>
      </c>
    </row>
    <row r="477" spans="3:3">
      <c r="C477">
        <v>6</v>
      </c>
    </row>
    <row r="478" spans="3:3">
      <c r="C478">
        <v>9</v>
      </c>
    </row>
    <row r="479" spans="3:3">
      <c r="C479">
        <v>9</v>
      </c>
    </row>
    <row r="480" spans="3:3">
      <c r="C480">
        <v>9</v>
      </c>
    </row>
    <row r="481" spans="3:3">
      <c r="C481">
        <v>9</v>
      </c>
    </row>
    <row r="482" spans="3:3">
      <c r="C482">
        <v>8</v>
      </c>
    </row>
    <row r="483" spans="3:3">
      <c r="C483">
        <v>9</v>
      </c>
    </row>
    <row r="484" spans="3:3">
      <c r="C484">
        <v>9</v>
      </c>
    </row>
    <row r="485" spans="3:3">
      <c r="C485">
        <v>9</v>
      </c>
    </row>
    <row r="486" spans="3:3">
      <c r="C486">
        <v>7</v>
      </c>
    </row>
    <row r="487" spans="3:3">
      <c r="C487">
        <v>8</v>
      </c>
    </row>
    <row r="488" spans="3:3">
      <c r="C488">
        <v>9</v>
      </c>
    </row>
    <row r="489" spans="3:3">
      <c r="C489">
        <v>5</v>
      </c>
    </row>
    <row r="490" spans="3:3">
      <c r="C490">
        <v>10</v>
      </c>
    </row>
    <row r="491" spans="3:3">
      <c r="C491">
        <v>3</v>
      </c>
    </row>
    <row r="492" spans="3:3">
      <c r="C492">
        <v>9</v>
      </c>
    </row>
    <row r="493" spans="3:3">
      <c r="C493">
        <v>6</v>
      </c>
    </row>
    <row r="494" spans="3:3">
      <c r="C494">
        <v>11</v>
      </c>
    </row>
    <row r="495" spans="3:3">
      <c r="C495">
        <v>7</v>
      </c>
    </row>
    <row r="496" spans="3:3">
      <c r="C496">
        <v>6</v>
      </c>
    </row>
    <row r="497" spans="3:3">
      <c r="C497">
        <v>6</v>
      </c>
    </row>
    <row r="498" spans="3:3">
      <c r="C498">
        <v>9</v>
      </c>
    </row>
    <row r="499" spans="3:3">
      <c r="C499">
        <v>9</v>
      </c>
    </row>
    <row r="500" spans="3:3">
      <c r="C500">
        <v>9</v>
      </c>
    </row>
    <row r="501" spans="3:3">
      <c r="C501">
        <v>6</v>
      </c>
    </row>
    <row r="502" spans="3:3">
      <c r="C502">
        <v>7</v>
      </c>
    </row>
    <row r="503" spans="3:3">
      <c r="C503">
        <v>7</v>
      </c>
    </row>
    <row r="504" spans="3:3">
      <c r="C504">
        <v>9</v>
      </c>
    </row>
    <row r="505" spans="3:3">
      <c r="C505">
        <v>5</v>
      </c>
    </row>
    <row r="506" spans="3:3">
      <c r="C506">
        <v>7</v>
      </c>
    </row>
    <row r="507" spans="3:3">
      <c r="C507">
        <v>7</v>
      </c>
    </row>
    <row r="508" spans="3:3">
      <c r="C508">
        <v>7</v>
      </c>
    </row>
    <row r="509" spans="3:3">
      <c r="C509">
        <v>11</v>
      </c>
    </row>
    <row r="510" spans="3:3">
      <c r="C510">
        <v>5</v>
      </c>
    </row>
    <row r="511" spans="3:3">
      <c r="C511">
        <v>9</v>
      </c>
    </row>
    <row r="512" spans="3:3">
      <c r="C512">
        <v>6</v>
      </c>
    </row>
    <row r="513" spans="3:3">
      <c r="C513">
        <v>6</v>
      </c>
    </row>
    <row r="514" spans="3:3">
      <c r="C514">
        <v>3</v>
      </c>
    </row>
    <row r="515" spans="3:3">
      <c r="C515">
        <v>6</v>
      </c>
    </row>
    <row r="516" spans="3:3">
      <c r="C516">
        <v>9</v>
      </c>
    </row>
    <row r="517" spans="3:3">
      <c r="C517">
        <v>5</v>
      </c>
    </row>
    <row r="518" spans="3:3">
      <c r="C518">
        <v>10</v>
      </c>
    </row>
    <row r="519" spans="3:3">
      <c r="C519">
        <v>11</v>
      </c>
    </row>
    <row r="520" spans="3:3">
      <c r="C520">
        <v>5</v>
      </c>
    </row>
    <row r="521" spans="3:3">
      <c r="C521">
        <v>9</v>
      </c>
    </row>
    <row r="522" spans="3:3">
      <c r="C522">
        <v>7</v>
      </c>
    </row>
    <row r="523" spans="3:3">
      <c r="C523">
        <v>12</v>
      </c>
    </row>
    <row r="524" spans="3:3">
      <c r="C524">
        <v>4</v>
      </c>
    </row>
    <row r="525" spans="3:3">
      <c r="C525">
        <v>4</v>
      </c>
    </row>
    <row r="526" spans="3:3">
      <c r="C526">
        <v>8</v>
      </c>
    </row>
    <row r="527" spans="3:3">
      <c r="C527">
        <v>10</v>
      </c>
    </row>
    <row r="528" spans="3:3">
      <c r="C528">
        <v>8</v>
      </c>
    </row>
    <row r="529" spans="3:3">
      <c r="C529">
        <v>7</v>
      </c>
    </row>
    <row r="530" spans="3:3">
      <c r="C530">
        <v>7</v>
      </c>
    </row>
    <row r="531" spans="3:3">
      <c r="C531">
        <v>10</v>
      </c>
    </row>
    <row r="532" spans="3:3">
      <c r="C532">
        <v>10</v>
      </c>
    </row>
    <row r="533" spans="3:3">
      <c r="C533">
        <v>7</v>
      </c>
    </row>
    <row r="534" spans="3:3">
      <c r="C534">
        <v>9</v>
      </c>
    </row>
    <row r="535" spans="3:3">
      <c r="C535">
        <v>9</v>
      </c>
    </row>
    <row r="536" spans="3:3">
      <c r="C536">
        <v>6</v>
      </c>
    </row>
    <row r="537" spans="3:3">
      <c r="C537">
        <v>6</v>
      </c>
    </row>
    <row r="538" spans="3:3">
      <c r="C538">
        <v>9</v>
      </c>
    </row>
    <row r="539" spans="3:3">
      <c r="C539">
        <v>8</v>
      </c>
    </row>
    <row r="540" spans="3:3">
      <c r="C540">
        <v>7</v>
      </c>
    </row>
    <row r="541" spans="3:3">
      <c r="C541">
        <v>5</v>
      </c>
    </row>
    <row r="542" spans="3:3">
      <c r="C542">
        <v>7</v>
      </c>
    </row>
    <row r="543" spans="3:3">
      <c r="C543">
        <v>8</v>
      </c>
    </row>
    <row r="544" spans="3:3">
      <c r="C544">
        <v>6</v>
      </c>
    </row>
    <row r="545" spans="3:3">
      <c r="C545">
        <v>10</v>
      </c>
    </row>
    <row r="546" spans="3:3">
      <c r="C546">
        <v>11</v>
      </c>
    </row>
    <row r="547" spans="3:3">
      <c r="C547">
        <v>6</v>
      </c>
    </row>
    <row r="548" spans="3:3">
      <c r="C548">
        <v>9</v>
      </c>
    </row>
    <row r="549" spans="3:3">
      <c r="C549">
        <v>9</v>
      </c>
    </row>
    <row r="550" spans="3:3">
      <c r="C550">
        <v>8</v>
      </c>
    </row>
    <row r="551" spans="3:3">
      <c r="C551">
        <v>9</v>
      </c>
    </row>
    <row r="552" spans="3:3">
      <c r="C552">
        <v>8</v>
      </c>
    </row>
    <row r="553" spans="3:3">
      <c r="C553">
        <v>3</v>
      </c>
    </row>
    <row r="554" spans="3:3">
      <c r="C554">
        <v>9</v>
      </c>
    </row>
    <row r="555" spans="3:3">
      <c r="C555">
        <v>7</v>
      </c>
    </row>
    <row r="556" spans="3:3">
      <c r="C556">
        <v>8</v>
      </c>
    </row>
    <row r="557" spans="3:3">
      <c r="C557">
        <v>8</v>
      </c>
    </row>
    <row r="558" spans="3:3">
      <c r="C558">
        <v>11</v>
      </c>
    </row>
    <row r="559" spans="3:3">
      <c r="C559">
        <v>9</v>
      </c>
    </row>
    <row r="560" spans="3:3">
      <c r="C560">
        <v>9</v>
      </c>
    </row>
    <row r="561" spans="3:3">
      <c r="C561">
        <v>5</v>
      </c>
    </row>
    <row r="562" spans="3:3">
      <c r="C562">
        <v>7</v>
      </c>
    </row>
    <row r="563" spans="3:3">
      <c r="C563">
        <v>8</v>
      </c>
    </row>
    <row r="564" spans="3:3">
      <c r="C564">
        <v>9</v>
      </c>
    </row>
    <row r="565" spans="3:3">
      <c r="C565">
        <v>6</v>
      </c>
    </row>
    <row r="566" spans="3:3">
      <c r="C566">
        <v>6</v>
      </c>
    </row>
    <row r="567" spans="3:3">
      <c r="C567">
        <v>7</v>
      </c>
    </row>
    <row r="568" spans="3:3">
      <c r="C568">
        <v>9</v>
      </c>
    </row>
    <row r="569" spans="3:3">
      <c r="C569">
        <v>10</v>
      </c>
    </row>
    <row r="570" spans="3:3">
      <c r="C570">
        <v>7</v>
      </c>
    </row>
    <row r="571" spans="3:3">
      <c r="C571">
        <v>8</v>
      </c>
    </row>
    <row r="572" spans="3:3">
      <c r="C572">
        <v>7</v>
      </c>
    </row>
    <row r="573" spans="3:3">
      <c r="C573">
        <v>10</v>
      </c>
    </row>
    <row r="577" spans="1:3">
      <c r="A577" t="s">
        <v>4383</v>
      </c>
      <c r="C577" t="str" cm="1">
        <f t="array" ref="C577">_xlfn.XLOOKUP(MIN(_xlfn._xlws.FILTER(Sales[DELIVERY]-Sales[ORDERDATE],Sales[PRODUCT_CTG]="Smartphone")),ABS(Sales[ORDERDATE]-Sales[DELIVERY]),Sales[PRODUCT_NAME],"Something went wring infunction",0,1)</f>
        <v>Pixel 7</v>
      </c>
    </row>
    <row r="580" spans="1:3" ht="29.25">
      <c r="A580" s="15" t="s">
        <v>4384</v>
      </c>
      <c r="C580" s="15" t="str" cm="1">
        <f t="array" ref="C580:C739">IF(Sales[ORDERDATE]=Sales[SHIPEDDATE], Sales[SALEID],"NO Product found")</f>
        <v>NO Product found</v>
      </c>
    </row>
    <row r="581" spans="1:3">
      <c r="C581" t="str">
        <v>NO Product found</v>
      </c>
    </row>
    <row r="582" spans="1:3">
      <c r="C582" t="str">
        <v>NO Product found</v>
      </c>
    </row>
    <row r="583" spans="1:3">
      <c r="C583" t="str">
        <v>NO Product found</v>
      </c>
    </row>
    <row r="584" spans="1:3">
      <c r="C584" t="str">
        <v>NO Product found</v>
      </c>
    </row>
    <row r="585" spans="1:3">
      <c r="C585" t="str">
        <v>NO Product found</v>
      </c>
    </row>
    <row r="586" spans="1:3">
      <c r="C586" t="str">
        <v>NO Product found</v>
      </c>
    </row>
    <row r="587" spans="1:3">
      <c r="C587" t="str">
        <v>NO Product found</v>
      </c>
    </row>
    <row r="588" spans="1:3">
      <c r="C588" t="str">
        <v>NO Product found</v>
      </c>
    </row>
    <row r="589" spans="1:3">
      <c r="C589" t="str">
        <v>NO Product found</v>
      </c>
    </row>
    <row r="590" spans="1:3">
      <c r="C590" t="str">
        <v>NO Product found</v>
      </c>
    </row>
    <row r="591" spans="1:3">
      <c r="C591" t="str">
        <v>NO Product found</v>
      </c>
    </row>
    <row r="592" spans="1:3">
      <c r="C592" t="str">
        <v>NO Product found</v>
      </c>
    </row>
    <row r="593" spans="3:3">
      <c r="C593" t="str">
        <v>NO Product found</v>
      </c>
    </row>
    <row r="594" spans="3:3">
      <c r="C594" t="str">
        <v>NO Product found</v>
      </c>
    </row>
    <row r="595" spans="3:3">
      <c r="C595" t="str">
        <v>NO Product found</v>
      </c>
    </row>
    <row r="596" spans="3:3">
      <c r="C596" t="str">
        <v>NO Product found</v>
      </c>
    </row>
    <row r="597" spans="3:3">
      <c r="C597" t="str">
        <v>NO Product found</v>
      </c>
    </row>
    <row r="598" spans="3:3">
      <c r="C598" t="str">
        <v>NO Product found</v>
      </c>
    </row>
    <row r="599" spans="3:3">
      <c r="C599" t="str">
        <v>NO Product found</v>
      </c>
    </row>
    <row r="600" spans="3:3">
      <c r="C600" t="str">
        <v>NO Product found</v>
      </c>
    </row>
    <row r="601" spans="3:3">
      <c r="C601" t="str">
        <v>NO Product found</v>
      </c>
    </row>
    <row r="602" spans="3:3">
      <c r="C602" t="str">
        <v>NO Product found</v>
      </c>
    </row>
    <row r="603" spans="3:3">
      <c r="C603" t="str">
        <v>NO Product found</v>
      </c>
    </row>
    <row r="604" spans="3:3">
      <c r="C604" t="str">
        <v>NO Product found</v>
      </c>
    </row>
    <row r="605" spans="3:3">
      <c r="C605" t="str">
        <v>NO Product found</v>
      </c>
    </row>
    <row r="606" spans="3:3">
      <c r="C606" t="str">
        <v>NO Product found</v>
      </c>
    </row>
    <row r="607" spans="3:3">
      <c r="C607" t="str">
        <v>NO Product found</v>
      </c>
    </row>
    <row r="608" spans="3:3">
      <c r="C608" t="str">
        <v>NO Product found</v>
      </c>
    </row>
    <row r="609" spans="3:3">
      <c r="C609" t="str">
        <v>NO Product found</v>
      </c>
    </row>
    <row r="610" spans="3:3">
      <c r="C610" t="str">
        <v>NO Product found</v>
      </c>
    </row>
    <row r="611" spans="3:3">
      <c r="C611" t="str">
        <v>NO Product found</v>
      </c>
    </row>
    <row r="612" spans="3:3">
      <c r="C612" t="str">
        <v>NO Product found</v>
      </c>
    </row>
    <row r="613" spans="3:3">
      <c r="C613" t="str">
        <v>NO Product found</v>
      </c>
    </row>
    <row r="614" spans="3:3">
      <c r="C614" t="str">
        <v>NO Product found</v>
      </c>
    </row>
    <row r="615" spans="3:3">
      <c r="C615" t="str">
        <v>NO Product found</v>
      </c>
    </row>
    <row r="616" spans="3:3">
      <c r="C616" t="str">
        <v>NO Product found</v>
      </c>
    </row>
    <row r="617" spans="3:3">
      <c r="C617" t="str">
        <v>NO Product found</v>
      </c>
    </row>
    <row r="618" spans="3:3">
      <c r="C618" t="str">
        <v>NO Product found</v>
      </c>
    </row>
    <row r="619" spans="3:3">
      <c r="C619" t="str">
        <v>NO Product found</v>
      </c>
    </row>
    <row r="620" spans="3:3">
      <c r="C620" t="str">
        <v>NO Product found</v>
      </c>
    </row>
    <row r="621" spans="3:3">
      <c r="C621" t="str">
        <v>NO Product found</v>
      </c>
    </row>
    <row r="622" spans="3:3">
      <c r="C622" t="str">
        <v>NO Product found</v>
      </c>
    </row>
    <row r="623" spans="3:3">
      <c r="C623" t="str">
        <v>NO Product found</v>
      </c>
    </row>
    <row r="624" spans="3:3">
      <c r="C624" t="str">
        <v>NO Product found</v>
      </c>
    </row>
    <row r="625" spans="3:3">
      <c r="C625" t="str">
        <v>NO Product found</v>
      </c>
    </row>
    <row r="626" spans="3:3">
      <c r="C626" t="str">
        <v>NO Product found</v>
      </c>
    </row>
    <row r="627" spans="3:3">
      <c r="C627" t="str">
        <v>NO Product found</v>
      </c>
    </row>
    <row r="628" spans="3:3">
      <c r="C628" t="str">
        <v>NO Product found</v>
      </c>
    </row>
    <row r="629" spans="3:3">
      <c r="C629" t="str">
        <v>NO Product found</v>
      </c>
    </row>
    <row r="630" spans="3:3">
      <c r="C630" t="str">
        <v>NO Product found</v>
      </c>
    </row>
    <row r="631" spans="3:3">
      <c r="C631" t="str">
        <v>NO Product found</v>
      </c>
    </row>
    <row r="632" spans="3:3">
      <c r="C632" t="str">
        <v>NO Product found</v>
      </c>
    </row>
    <row r="633" spans="3:3">
      <c r="C633" t="str">
        <v>NO Product found</v>
      </c>
    </row>
    <row r="634" spans="3:3">
      <c r="C634" t="str">
        <v>NO Product found</v>
      </c>
    </row>
    <row r="635" spans="3:3">
      <c r="C635" t="str">
        <v>NO Product found</v>
      </c>
    </row>
    <row r="636" spans="3:3">
      <c r="C636" t="str">
        <v>NO Product found</v>
      </c>
    </row>
    <row r="637" spans="3:3">
      <c r="C637" t="str">
        <v>NO Product found</v>
      </c>
    </row>
    <row r="638" spans="3:3">
      <c r="C638" t="str">
        <v>NO Product found</v>
      </c>
    </row>
    <row r="639" spans="3:3">
      <c r="C639" t="str">
        <v>NO Product found</v>
      </c>
    </row>
    <row r="640" spans="3:3">
      <c r="C640" t="str">
        <v>NO Product found</v>
      </c>
    </row>
    <row r="641" spans="3:3">
      <c r="C641" t="str">
        <v>NO Product found</v>
      </c>
    </row>
    <row r="642" spans="3:3">
      <c r="C642" t="str">
        <v>NO Product found</v>
      </c>
    </row>
    <row r="643" spans="3:3">
      <c r="C643" t="str">
        <v>NO Product found</v>
      </c>
    </row>
    <row r="644" spans="3:3">
      <c r="C644" t="str">
        <v>NO Product found</v>
      </c>
    </row>
    <row r="645" spans="3:3">
      <c r="C645" t="str">
        <v>NO Product found</v>
      </c>
    </row>
    <row r="646" spans="3:3">
      <c r="C646" t="str">
        <v>NO Product found</v>
      </c>
    </row>
    <row r="647" spans="3:3">
      <c r="C647" t="str">
        <v>NO Product found</v>
      </c>
    </row>
    <row r="648" spans="3:3">
      <c r="C648" t="str">
        <v>NO Product found</v>
      </c>
    </row>
    <row r="649" spans="3:3">
      <c r="C649" t="str">
        <v>NO Product found</v>
      </c>
    </row>
    <row r="650" spans="3:3">
      <c r="C650" t="str">
        <v>NO Product found</v>
      </c>
    </row>
    <row r="651" spans="3:3">
      <c r="C651" t="str">
        <v>NO Product found</v>
      </c>
    </row>
    <row r="652" spans="3:3">
      <c r="C652" t="str">
        <v>NO Product found</v>
      </c>
    </row>
    <row r="653" spans="3:3">
      <c r="C653" t="str">
        <v>NO Product found</v>
      </c>
    </row>
    <row r="654" spans="3:3">
      <c r="C654" t="str">
        <v>NO Product found</v>
      </c>
    </row>
    <row r="655" spans="3:3">
      <c r="C655" t="str">
        <v>NO Product found</v>
      </c>
    </row>
    <row r="656" spans="3:3">
      <c r="C656" t="str">
        <v>NO Product found</v>
      </c>
    </row>
    <row r="657" spans="3:3">
      <c r="C657" t="str">
        <v>NO Product found</v>
      </c>
    </row>
    <row r="658" spans="3:3">
      <c r="C658" t="str">
        <v>NO Product found</v>
      </c>
    </row>
    <row r="659" spans="3:3">
      <c r="C659" t="str">
        <v>NO Product found</v>
      </c>
    </row>
    <row r="660" spans="3:3">
      <c r="C660" t="str">
        <v>NO Product found</v>
      </c>
    </row>
    <row r="661" spans="3:3">
      <c r="C661" t="str">
        <v>NO Product found</v>
      </c>
    </row>
    <row r="662" spans="3:3">
      <c r="C662" t="str">
        <v>NO Product found</v>
      </c>
    </row>
    <row r="663" spans="3:3">
      <c r="C663" t="str">
        <v>NO Product found</v>
      </c>
    </row>
    <row r="664" spans="3:3">
      <c r="C664" t="str">
        <v>NO Product found</v>
      </c>
    </row>
    <row r="665" spans="3:3">
      <c r="C665" t="str">
        <v>NO Product found</v>
      </c>
    </row>
    <row r="666" spans="3:3">
      <c r="C666" t="str">
        <v>NO Product found</v>
      </c>
    </row>
    <row r="667" spans="3:3">
      <c r="C667" t="str">
        <v>NO Product found</v>
      </c>
    </row>
    <row r="668" spans="3:3">
      <c r="C668" t="str">
        <v>NO Product found</v>
      </c>
    </row>
    <row r="669" spans="3:3">
      <c r="C669" t="str">
        <v>NO Product found</v>
      </c>
    </row>
    <row r="670" spans="3:3">
      <c r="C670" t="str">
        <v>NO Product found</v>
      </c>
    </row>
    <row r="671" spans="3:3">
      <c r="C671" t="str">
        <v>NO Product found</v>
      </c>
    </row>
    <row r="672" spans="3:3">
      <c r="C672" t="str">
        <v>NO Product found</v>
      </c>
    </row>
    <row r="673" spans="3:3">
      <c r="C673" t="str">
        <v>NO Product found</v>
      </c>
    </row>
    <row r="674" spans="3:3">
      <c r="C674" t="str">
        <v>NO Product found</v>
      </c>
    </row>
    <row r="675" spans="3:3">
      <c r="C675" t="str">
        <v>NO Product found</v>
      </c>
    </row>
    <row r="676" spans="3:3">
      <c r="C676" t="str">
        <v>NO Product found</v>
      </c>
    </row>
    <row r="677" spans="3:3">
      <c r="C677" t="str">
        <v>NO Product found</v>
      </c>
    </row>
    <row r="678" spans="3:3">
      <c r="C678" t="str">
        <v>NO Product found</v>
      </c>
    </row>
    <row r="679" spans="3:3">
      <c r="C679" t="str">
        <v>NO Product found</v>
      </c>
    </row>
    <row r="680" spans="3:3">
      <c r="C680" t="str">
        <v>NO Product found</v>
      </c>
    </row>
    <row r="681" spans="3:3">
      <c r="C681" t="str">
        <v>NO Product found</v>
      </c>
    </row>
    <row r="682" spans="3:3">
      <c r="C682" t="str">
        <v>NO Product found</v>
      </c>
    </row>
    <row r="683" spans="3:3">
      <c r="C683" t="str">
        <v>NO Product found</v>
      </c>
    </row>
    <row r="684" spans="3:3">
      <c r="C684" t="str">
        <v>NO Product found</v>
      </c>
    </row>
    <row r="685" spans="3:3">
      <c r="C685" t="str">
        <v>NO Product found</v>
      </c>
    </row>
    <row r="686" spans="3:3">
      <c r="C686" t="str">
        <v>NO Product found</v>
      </c>
    </row>
    <row r="687" spans="3:3">
      <c r="C687" t="str">
        <v>NO Product found</v>
      </c>
    </row>
    <row r="688" spans="3:3">
      <c r="C688" t="str">
        <v>NO Product found</v>
      </c>
    </row>
    <row r="689" spans="3:3">
      <c r="C689" t="str">
        <v>NO Product found</v>
      </c>
    </row>
    <row r="690" spans="3:3">
      <c r="C690" t="str">
        <v>NO Product found</v>
      </c>
    </row>
    <row r="691" spans="3:3">
      <c r="C691" t="str">
        <v>NO Product found</v>
      </c>
    </row>
    <row r="692" spans="3:3">
      <c r="C692" t="str">
        <v>NO Product found</v>
      </c>
    </row>
    <row r="693" spans="3:3">
      <c r="C693" t="str">
        <v>NO Product found</v>
      </c>
    </row>
    <row r="694" spans="3:3">
      <c r="C694" t="str">
        <v>NO Product found</v>
      </c>
    </row>
    <row r="695" spans="3:3">
      <c r="C695" t="str">
        <v>NO Product found</v>
      </c>
    </row>
    <row r="696" spans="3:3">
      <c r="C696" t="str">
        <v>NO Product found</v>
      </c>
    </row>
    <row r="697" spans="3:3">
      <c r="C697" t="str">
        <v>NO Product found</v>
      </c>
    </row>
    <row r="698" spans="3:3">
      <c r="C698" t="str">
        <v>NO Product found</v>
      </c>
    </row>
    <row r="699" spans="3:3">
      <c r="C699" t="str">
        <v>NO Product found</v>
      </c>
    </row>
    <row r="700" spans="3:3">
      <c r="C700" t="str">
        <v>NO Product found</v>
      </c>
    </row>
    <row r="701" spans="3:3">
      <c r="C701" t="str">
        <v>NO Product found</v>
      </c>
    </row>
    <row r="702" spans="3:3">
      <c r="C702" t="str">
        <v>NO Product found</v>
      </c>
    </row>
    <row r="703" spans="3:3">
      <c r="C703" t="str">
        <v>NO Product found</v>
      </c>
    </row>
    <row r="704" spans="3:3">
      <c r="C704" t="str">
        <v>NO Product found</v>
      </c>
    </row>
    <row r="705" spans="3:3">
      <c r="C705" t="str">
        <v>NO Product found</v>
      </c>
    </row>
    <row r="706" spans="3:3">
      <c r="C706" t="str">
        <v>NO Product found</v>
      </c>
    </row>
    <row r="707" spans="3:3">
      <c r="C707" t="str">
        <v>NO Product found</v>
      </c>
    </row>
    <row r="708" spans="3:3">
      <c r="C708" t="str">
        <v>NO Product found</v>
      </c>
    </row>
    <row r="709" spans="3:3">
      <c r="C709" t="str">
        <v>NO Product found</v>
      </c>
    </row>
    <row r="710" spans="3:3">
      <c r="C710" t="str">
        <v>NO Product found</v>
      </c>
    </row>
    <row r="711" spans="3:3">
      <c r="C711" t="str">
        <v>NO Product found</v>
      </c>
    </row>
    <row r="712" spans="3:3">
      <c r="C712" t="str">
        <v>NO Product found</v>
      </c>
    </row>
    <row r="713" spans="3:3">
      <c r="C713" t="str">
        <v>NO Product found</v>
      </c>
    </row>
    <row r="714" spans="3:3">
      <c r="C714" t="str">
        <v>NO Product found</v>
      </c>
    </row>
    <row r="715" spans="3:3">
      <c r="C715" t="str">
        <v>NO Product found</v>
      </c>
    </row>
    <row r="716" spans="3:3">
      <c r="C716" t="str">
        <v>NO Product found</v>
      </c>
    </row>
    <row r="717" spans="3:3">
      <c r="C717" t="str">
        <v>NO Product found</v>
      </c>
    </row>
    <row r="718" spans="3:3">
      <c r="C718" t="str">
        <v>NO Product found</v>
      </c>
    </row>
    <row r="719" spans="3:3">
      <c r="C719" t="str">
        <v>NO Product found</v>
      </c>
    </row>
    <row r="720" spans="3:3">
      <c r="C720" t="str">
        <v>NO Product found</v>
      </c>
    </row>
    <row r="721" spans="3:3">
      <c r="C721" t="str">
        <v>NO Product found</v>
      </c>
    </row>
    <row r="722" spans="3:3">
      <c r="C722" t="str">
        <v>NO Product found</v>
      </c>
    </row>
    <row r="723" spans="3:3">
      <c r="C723" t="str">
        <v>NO Product found</v>
      </c>
    </row>
    <row r="724" spans="3:3">
      <c r="C724" t="str">
        <v>NO Product found</v>
      </c>
    </row>
    <row r="725" spans="3:3">
      <c r="C725" t="str">
        <v>NO Product found</v>
      </c>
    </row>
    <row r="726" spans="3:3">
      <c r="C726" t="str">
        <v>NO Product found</v>
      </c>
    </row>
    <row r="727" spans="3:3">
      <c r="C727" t="str">
        <v>NO Product found</v>
      </c>
    </row>
    <row r="728" spans="3:3">
      <c r="C728" t="str">
        <v>NO Product found</v>
      </c>
    </row>
    <row r="729" spans="3:3">
      <c r="C729" t="str">
        <v>NO Product found</v>
      </c>
    </row>
    <row r="730" spans="3:3">
      <c r="C730" t="str">
        <v>NO Product found</v>
      </c>
    </row>
    <row r="731" spans="3:3">
      <c r="C731" t="str">
        <v>NO Product found</v>
      </c>
    </row>
    <row r="732" spans="3:3">
      <c r="C732" t="str">
        <v>NO Product found</v>
      </c>
    </row>
    <row r="733" spans="3:3">
      <c r="C733" t="str">
        <v>NO Product found</v>
      </c>
    </row>
    <row r="734" spans="3:3">
      <c r="C734" t="str">
        <v>NO Product found</v>
      </c>
    </row>
    <row r="735" spans="3:3">
      <c r="C735" t="str">
        <v>NO Product found</v>
      </c>
    </row>
    <row r="736" spans="3:3">
      <c r="C736" t="str">
        <v>NO Product found</v>
      </c>
    </row>
    <row r="737" spans="1:3">
      <c r="C737" t="str">
        <v>NO Product found</v>
      </c>
    </row>
    <row r="738" spans="1:3">
      <c r="C738" t="str">
        <v>NO Product found</v>
      </c>
    </row>
    <row r="739" spans="1:3">
      <c r="C739" t="str">
        <v>NO Product found</v>
      </c>
    </row>
    <row r="749" spans="1:3">
      <c r="A749" t="s">
        <v>4385</v>
      </c>
    </row>
    <row r="752" spans="1:3">
      <c r="A752" s="51" t="s">
        <v>4386</v>
      </c>
    </row>
    <row r="753" spans="1:5" ht="29.25">
      <c r="A753" t="str" cm="1">
        <f t="array" ref="A753:A757">_xlfn.UNIQUE(Sales[STATE])</f>
        <v>Kerala</v>
      </c>
      <c r="C753" s="15">
        <f>AVERAGEIF(Sales[STATE],A753,Sales[od_dd-d])</f>
        <v>8.0967741935483879</v>
      </c>
      <c r="E753" s="15"/>
    </row>
    <row r="754" spans="1:5">
      <c r="A754" t="str">
        <v>Tamil Nadu</v>
      </c>
      <c r="C754" s="15">
        <f>AVERAGEIF(Sales[STATE],A754,Sales[od_dd-d])</f>
        <v>7.8863636363636367</v>
      </c>
    </row>
    <row r="755" spans="1:5">
      <c r="A755" t="str">
        <v>Andhra Pradesh</v>
      </c>
      <c r="C755" s="15">
        <f>AVERAGEIF(Sales[STATE],A755,Sales[od_dd-d])</f>
        <v>7.5769230769230766</v>
      </c>
    </row>
    <row r="756" spans="1:5">
      <c r="A756" t="str">
        <v>Telangana</v>
      </c>
      <c r="C756" s="15">
        <f>AVERAGEIF(Sales[STATE],A756,Sales[od_dd-d])</f>
        <v>7.333333333333333</v>
      </c>
    </row>
    <row r="757" spans="1:5">
      <c r="A757" t="str">
        <v>Karnataka</v>
      </c>
      <c r="C757" s="15">
        <f>AVERAGEIF(Sales[STATE],A757,Sales[od_dd-d])</f>
        <v>7.4285714285714288</v>
      </c>
    </row>
    <row r="760" spans="1:5">
      <c r="A760" t="s">
        <v>4387</v>
      </c>
      <c r="C760" cm="1">
        <f t="array" ref="C760">SUM(--(MAX(_xlfn._xlws.FILTER(Sales[od_dd-d],Sales[BRAND_NAME]="ACER","HAVING ISSUES"))))</f>
        <v>9</v>
      </c>
    </row>
    <row r="763" spans="1:5">
      <c r="A763" t="s">
        <v>4388</v>
      </c>
      <c r="C763" t="s">
        <v>4389</v>
      </c>
    </row>
    <row r="766" spans="1:5" ht="29.25">
      <c r="A766" s="15" t="s">
        <v>4390</v>
      </c>
      <c r="C766" t="str" cm="1">
        <f t="array" ref="C766">_xlfn._xlws.FILTER(Sales[SALEID],Sales[DELIVERY]&lt;Sales[SHIPEDDATE],"NO ERRORS")</f>
        <v>NO ERRORS</v>
      </c>
    </row>
  </sheetData>
  <autoFilter ref="D222:D382" xr:uid="{0B07CEC6-7D2C-4637-82E8-24B340B18A2E}">
    <filterColumn colId="0">
      <filters>
        <filter val="2"/>
      </filters>
    </filterColumn>
  </autoFilter>
  <mergeCells count="1">
    <mergeCell ref="A1:Z1"/>
  </mergeCells>
  <conditionalFormatting sqref="C59:C218">
    <cfRule type="cellIs" dxfId="0" priority="1" operator="lessThan">
      <formula>4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0E9CB-9518-494F-8A75-A309FCD9679B}">
  <dimension ref="A1:Z346"/>
  <sheetViews>
    <sheetView tabSelected="1" topLeftCell="A322" workbookViewId="0">
      <selection activeCell="A330" sqref="A330"/>
    </sheetView>
  </sheetViews>
  <sheetFormatPr defaultRowHeight="15"/>
  <cols>
    <col min="1" max="1" width="36.5703125" bestFit="1" customWidth="1"/>
    <col min="3" max="3" width="20.28515625" customWidth="1"/>
    <col min="4" max="4" width="36.5703125" bestFit="1" customWidth="1"/>
    <col min="5" max="5" width="55.5703125" customWidth="1"/>
    <col min="6" max="6" width="26.140625" bestFit="1" customWidth="1"/>
    <col min="8" max="8" width="11.85546875" bestFit="1" customWidth="1"/>
    <col min="11" max="11" width="29.140625" bestFit="1" customWidth="1"/>
    <col min="12" max="12" width="19.7109375" bestFit="1" customWidth="1"/>
  </cols>
  <sheetData>
    <row r="1" spans="1:26" ht="21">
      <c r="A1" s="103" t="s">
        <v>4391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</row>
    <row r="2" spans="1:26" ht="29.25">
      <c r="A2" s="15" t="s">
        <v>4392</v>
      </c>
      <c r="C2" s="38" t="s">
        <v>4393</v>
      </c>
      <c r="D2" s="38" t="s">
        <v>4394</v>
      </c>
    </row>
    <row r="3" spans="1:26">
      <c r="C3" t="str" cm="1">
        <f t="array" ref="C3:C18">_xlfn.UNIQUE(Sales[BRAND_NAME])</f>
        <v>ACER</v>
      </c>
      <c r="D3" t="str">
        <f>LEFT(C3,1)</f>
        <v>A</v>
      </c>
    </row>
    <row r="4" spans="1:26">
      <c r="C4" t="str">
        <v>Nothing</v>
      </c>
      <c r="D4" t="str">
        <f t="shared" ref="D4:D18" si="0">LEFT(C4,1)</f>
        <v>N</v>
      </c>
    </row>
    <row r="5" spans="1:26">
      <c r="C5" t="str">
        <v>Xiaomi</v>
      </c>
      <c r="D5" t="str">
        <f t="shared" si="0"/>
        <v>X</v>
      </c>
    </row>
    <row r="6" spans="1:26">
      <c r="C6" t="str">
        <v>ASUS</v>
      </c>
      <c r="D6" t="str">
        <f t="shared" si="0"/>
        <v>A</v>
      </c>
    </row>
    <row r="7" spans="1:26">
      <c r="C7" t="str">
        <v>LENOVO</v>
      </c>
      <c r="D7" t="str">
        <f t="shared" si="0"/>
        <v>L</v>
      </c>
    </row>
    <row r="8" spans="1:26">
      <c r="C8" t="str">
        <v>Oppo</v>
      </c>
      <c r="D8" t="str">
        <f t="shared" si="0"/>
        <v>O</v>
      </c>
    </row>
    <row r="9" spans="1:26">
      <c r="C9" t="str">
        <v>DELL</v>
      </c>
      <c r="D9" t="str">
        <f t="shared" si="0"/>
        <v>D</v>
      </c>
    </row>
    <row r="10" spans="1:26">
      <c r="C10" t="str">
        <v>HP</v>
      </c>
      <c r="D10" t="str">
        <f t="shared" si="0"/>
        <v>H</v>
      </c>
    </row>
    <row r="11" spans="1:26">
      <c r="C11" t="str">
        <v>Samsung</v>
      </c>
      <c r="D11" t="str">
        <f t="shared" si="0"/>
        <v>S</v>
      </c>
    </row>
    <row r="12" spans="1:26">
      <c r="C12" t="str">
        <v>OnePlus</v>
      </c>
      <c r="D12" t="str">
        <f t="shared" si="0"/>
        <v>O</v>
      </c>
    </row>
    <row r="13" spans="1:26">
      <c r="C13" t="str">
        <v>MSI</v>
      </c>
      <c r="D13" t="str">
        <f t="shared" si="0"/>
        <v>M</v>
      </c>
    </row>
    <row r="14" spans="1:26">
      <c r="C14" t="str">
        <v>Google</v>
      </c>
      <c r="D14" t="str">
        <f t="shared" si="0"/>
        <v>G</v>
      </c>
    </row>
    <row r="15" spans="1:26">
      <c r="C15" t="str">
        <v>Realme</v>
      </c>
      <c r="D15" t="str">
        <f t="shared" si="0"/>
        <v>R</v>
      </c>
    </row>
    <row r="16" spans="1:26">
      <c r="C16" t="str">
        <v>Motorola</v>
      </c>
      <c r="D16" t="str">
        <f t="shared" si="0"/>
        <v>M</v>
      </c>
    </row>
    <row r="17" spans="1:6">
      <c r="C17" t="str">
        <v>Vivo</v>
      </c>
      <c r="D17" t="str">
        <f t="shared" si="0"/>
        <v>V</v>
      </c>
    </row>
    <row r="18" spans="1:6">
      <c r="C18" t="str">
        <v>Apple</v>
      </c>
      <c r="D18" t="str">
        <f t="shared" si="0"/>
        <v>A</v>
      </c>
    </row>
    <row r="21" spans="1:6" ht="29.25">
      <c r="A21" s="15" t="s">
        <v>4395</v>
      </c>
      <c r="C21" s="51" t="s">
        <v>4396</v>
      </c>
      <c r="D21" s="51" t="s">
        <v>4397</v>
      </c>
    </row>
    <row r="22" spans="1:6">
      <c r="C22" t="str" cm="1">
        <f t="array" ref="C22:C26">_xlfn.UNIQUE(Sales[STATE])</f>
        <v>Kerala</v>
      </c>
      <c r="D22" t="str">
        <f>UPPER(LEFT(C22,2))</f>
        <v>KE</v>
      </c>
    </row>
    <row r="23" spans="1:6">
      <c r="C23" t="str">
        <v>Tamil Nadu</v>
      </c>
      <c r="D23" t="str">
        <f t="shared" ref="D23:D26" si="1">UPPER(LEFT(C23,2))</f>
        <v>TA</v>
      </c>
    </row>
    <row r="24" spans="1:6">
      <c r="C24" t="str">
        <v>Andhra Pradesh</v>
      </c>
      <c r="D24" t="str">
        <f t="shared" si="1"/>
        <v>AN</v>
      </c>
    </row>
    <row r="25" spans="1:6">
      <c r="C25" t="str">
        <v>Telangana</v>
      </c>
      <c r="D25" t="str">
        <f t="shared" si="1"/>
        <v>TE</v>
      </c>
    </row>
    <row r="26" spans="1:6">
      <c r="C26" t="str">
        <v>Karnataka</v>
      </c>
      <c r="D26" t="str">
        <f t="shared" si="1"/>
        <v>KA</v>
      </c>
    </row>
    <row r="30" spans="1:6" ht="29.25">
      <c r="A30" s="15" t="s">
        <v>4398</v>
      </c>
      <c r="C30" s="72" t="s">
        <v>4399</v>
      </c>
      <c r="D30" s="72" t="s">
        <v>4400</v>
      </c>
      <c r="E30" s="72" t="s">
        <v>4401</v>
      </c>
      <c r="F30" s="72" t="s">
        <v>4402</v>
      </c>
    </row>
    <row r="31" spans="1:6">
      <c r="C31" t="e" cm="1" vm="1">
        <f t="array" aca="1" ref="C31" ca="1">_xlfn.UNIQUE(Sales[PRODUCT_NAME])</f>
        <v>#VALUE!</v>
      </c>
      <c r="D31" t="e" cm="1" vm="2">
        <f t="array" aca="1" ref="D31" ca="1">_xlfn.TEXTSPLIT(C31," ")</f>
        <v>#VALUE!</v>
      </c>
    </row>
    <row r="32" spans="1:6">
      <c r="D32" t="e" cm="1">
        <f t="array" ref="D32">_xlfn.TEXTSPLIT(C32," ")</f>
        <v>#VALUE!</v>
      </c>
    </row>
    <row r="33" spans="4:4">
      <c r="D33" t="e" cm="1">
        <f t="array" ref="D33">_xlfn.TEXTSPLIT(C33," ")</f>
        <v>#VALUE!</v>
      </c>
    </row>
    <row r="34" spans="4:4">
      <c r="D34" t="e" cm="1">
        <f t="array" ref="D34">_xlfn.TEXTSPLIT(C34," ")</f>
        <v>#VALUE!</v>
      </c>
    </row>
    <row r="35" spans="4:4">
      <c r="D35" t="e" cm="1">
        <f t="array" ref="D35">_xlfn.TEXTSPLIT(C35," ")</f>
        <v>#VALUE!</v>
      </c>
    </row>
    <row r="36" spans="4:4">
      <c r="D36" t="e" cm="1">
        <f t="array" ref="D36">_xlfn.TEXTSPLIT(C36," ")</f>
        <v>#VALUE!</v>
      </c>
    </row>
    <row r="37" spans="4:4">
      <c r="D37" t="e" cm="1">
        <f t="array" ref="D37">_xlfn.TEXTSPLIT(C37," ")</f>
        <v>#VALUE!</v>
      </c>
    </row>
    <row r="38" spans="4:4">
      <c r="D38" t="e" cm="1">
        <f t="array" ref="D38">_xlfn.TEXTSPLIT(C38," ")</f>
        <v>#VALUE!</v>
      </c>
    </row>
    <row r="39" spans="4:4">
      <c r="D39" t="e" cm="1">
        <f t="array" ref="D39">_xlfn.TEXTSPLIT(C39," ")</f>
        <v>#VALUE!</v>
      </c>
    </row>
    <row r="40" spans="4:4">
      <c r="D40" t="e" cm="1">
        <f t="array" ref="D40">_xlfn.TEXTSPLIT(C40," ")</f>
        <v>#VALUE!</v>
      </c>
    </row>
    <row r="41" spans="4:4">
      <c r="D41" t="e" cm="1">
        <f t="array" ref="D41">_xlfn.TEXTSPLIT(C41," ")</f>
        <v>#VALUE!</v>
      </c>
    </row>
    <row r="42" spans="4:4">
      <c r="D42" t="e" cm="1">
        <f t="array" ref="D42">_xlfn.TEXTSPLIT(C42," ")</f>
        <v>#VALUE!</v>
      </c>
    </row>
    <row r="43" spans="4:4">
      <c r="D43" t="e" cm="1">
        <f t="array" ref="D43">_xlfn.TEXTSPLIT(C43," ")</f>
        <v>#VALUE!</v>
      </c>
    </row>
    <row r="44" spans="4:4">
      <c r="D44" t="e" cm="1">
        <f t="array" ref="D44">_xlfn.TEXTSPLIT(C44," ")</f>
        <v>#VALUE!</v>
      </c>
    </row>
    <row r="45" spans="4:4">
      <c r="D45" t="e" cm="1">
        <f t="array" ref="D45">_xlfn.TEXTSPLIT(C45," ")</f>
        <v>#VALUE!</v>
      </c>
    </row>
    <row r="46" spans="4:4">
      <c r="D46" t="e" cm="1">
        <f t="array" ref="D46">_xlfn.TEXTSPLIT(C46," ")</f>
        <v>#VALUE!</v>
      </c>
    </row>
    <row r="47" spans="4:4">
      <c r="D47" t="e" cm="1">
        <f t="array" ref="D47">_xlfn.TEXTSPLIT(C47," ")</f>
        <v>#VALUE!</v>
      </c>
    </row>
    <row r="48" spans="4:4">
      <c r="D48" t="e" cm="1">
        <f t="array" ref="D48">_xlfn.TEXTSPLIT(C48," ")</f>
        <v>#VALUE!</v>
      </c>
    </row>
    <row r="49" spans="1:5">
      <c r="D49" t="e" cm="1">
        <f t="array" ref="D49">_xlfn.TEXTSPLIT(C49," ")</f>
        <v>#VALUE!</v>
      </c>
    </row>
    <row r="50" spans="1:5">
      <c r="D50" t="e" cm="1">
        <f t="array" ref="D50">_xlfn.TEXTSPLIT(C50," ")</f>
        <v>#VALUE!</v>
      </c>
    </row>
    <row r="51" spans="1:5">
      <c r="D51" t="e" cm="1">
        <f t="array" ref="D51">_xlfn.TEXTSPLIT(C51," ")</f>
        <v>#VALUE!</v>
      </c>
    </row>
    <row r="52" spans="1:5">
      <c r="D52" t="e" cm="1">
        <f t="array" ref="D52">_xlfn.TEXTSPLIT(C52," ")</f>
        <v>#VALUE!</v>
      </c>
    </row>
    <row r="53" spans="1:5">
      <c r="D53" t="e" cm="1">
        <f t="array" ref="D53">_xlfn.TEXTSPLIT(C53," ")</f>
        <v>#VALUE!</v>
      </c>
    </row>
    <row r="54" spans="1:5">
      <c r="D54" t="e" cm="1">
        <f t="array" ref="D54">_xlfn.TEXTSPLIT(C54," ")</f>
        <v>#VALUE!</v>
      </c>
    </row>
    <row r="55" spans="1:5">
      <c r="C55" t="s">
        <v>4403</v>
      </c>
      <c r="D55" t="str" cm="1">
        <f t="array" ref="D55">_xlfn.TEXTSPLIT(C55," ")</f>
        <v>iphone12</v>
      </c>
    </row>
    <row r="58" spans="1:5" ht="29.25">
      <c r="A58" s="66" t="s">
        <v>4404</v>
      </c>
      <c r="B58" s="51"/>
      <c r="C58" s="51"/>
      <c r="D58" s="66">
        <f ca="1">COUNTIFS(C31:C55,"*"&amp;"phone"&amp;"*")</f>
        <v>1</v>
      </c>
    </row>
    <row r="61" spans="1:5" ht="29.25">
      <c r="A61" s="15" t="s">
        <v>4405</v>
      </c>
      <c r="C61" s="51" t="s">
        <v>4406</v>
      </c>
      <c r="D61" s="51" t="s">
        <v>4407</v>
      </c>
      <c r="E61" s="51" t="s">
        <v>4408</v>
      </c>
    </row>
    <row r="62" spans="1:5">
      <c r="C62" t="str" cm="1">
        <f t="array" ref="C62:C71">_xlfn.UNIQUE(Sales[CITY])</f>
        <v>Trivandrum</v>
      </c>
      <c r="D62" t="str" cm="1">
        <f t="array" ref="D62:D66">_xlfn.UNIQUE(Sales[STATE])</f>
        <v>Kerala</v>
      </c>
      <c r="E62" t="str">
        <f>_xlfn.CONCAT(C62,"_",D62)</f>
        <v>Trivandrum_Kerala</v>
      </c>
    </row>
    <row r="63" spans="1:5">
      <c r="C63" t="str">
        <v>Bangalore</v>
      </c>
      <c r="D63" t="str">
        <v>Tamil Nadu</v>
      </c>
      <c r="E63" t="str">
        <f t="shared" ref="E63:E71" si="2">_xlfn.CONCAT(C63,"_",D63)</f>
        <v>Bangalore_Tamil Nadu</v>
      </c>
    </row>
    <row r="64" spans="1:5">
      <c r="C64" t="str">
        <v>Kochi</v>
      </c>
      <c r="D64" t="str">
        <v>Andhra Pradesh</v>
      </c>
      <c r="E64" t="str">
        <f t="shared" si="2"/>
        <v>Kochi_Andhra Pradesh</v>
      </c>
    </row>
    <row r="65" spans="1:6">
      <c r="C65" t="str">
        <v>Coimbatore</v>
      </c>
      <c r="D65" t="str">
        <v>Telangana</v>
      </c>
      <c r="E65" t="str">
        <f t="shared" si="2"/>
        <v>Coimbatore_Telangana</v>
      </c>
    </row>
    <row r="66" spans="1:6">
      <c r="C66" t="str">
        <v>Vijayawada</v>
      </c>
      <c r="D66" t="str">
        <v>Karnataka</v>
      </c>
      <c r="E66" t="str">
        <f t="shared" si="2"/>
        <v>Vijayawada_Karnataka</v>
      </c>
    </row>
    <row r="67" spans="1:6">
      <c r="C67" t="str">
        <v>Madurai</v>
      </c>
      <c r="D67" t="s">
        <v>5</v>
      </c>
      <c r="E67" t="str">
        <f t="shared" si="2"/>
        <v>Madurai_Tamil Nadu</v>
      </c>
    </row>
    <row r="68" spans="1:6">
      <c r="C68" t="str">
        <v>Hyderabad</v>
      </c>
      <c r="D68" t="s">
        <v>6</v>
      </c>
      <c r="E68" t="str">
        <f t="shared" si="2"/>
        <v>Hyderabad_Telangana</v>
      </c>
    </row>
    <row r="69" spans="1:6">
      <c r="C69" t="str">
        <v>Visakhapatnam</v>
      </c>
      <c r="D69" t="s">
        <v>2</v>
      </c>
      <c r="E69" t="str">
        <f t="shared" si="2"/>
        <v>Visakhapatnam_Andhra Pradesh</v>
      </c>
    </row>
    <row r="70" spans="1:6">
      <c r="C70" t="str">
        <v>Chennai</v>
      </c>
      <c r="D70" t="s">
        <v>5</v>
      </c>
      <c r="E70" t="str">
        <f t="shared" si="2"/>
        <v>Chennai_Tamil Nadu</v>
      </c>
    </row>
    <row r="71" spans="1:6">
      <c r="C71" t="str">
        <v>Mysore</v>
      </c>
      <c r="D71" t="s">
        <v>3</v>
      </c>
      <c r="E71" t="str">
        <f t="shared" si="2"/>
        <v>Mysore_Karnataka</v>
      </c>
    </row>
    <row r="75" spans="1:6" ht="29.25">
      <c r="A75" s="67" t="s">
        <v>4409</v>
      </c>
      <c r="B75" s="68"/>
      <c r="C75" s="68" t="s">
        <v>4410</v>
      </c>
      <c r="D75" s="68" t="s">
        <v>4411</v>
      </c>
      <c r="E75" s="68" t="s">
        <v>4412</v>
      </c>
      <c r="F75" s="68" t="s">
        <v>4413</v>
      </c>
    </row>
    <row r="76" spans="1:6">
      <c r="A76" s="68"/>
      <c r="B76" s="68"/>
      <c r="C76" s="69">
        <v>43778</v>
      </c>
      <c r="D76" s="68">
        <f>YEAR(TEXT(C76,"DD-MM-YYYY"))</f>
        <v>2019</v>
      </c>
      <c r="E76" s="68">
        <f>MONTH(TEXT(C76,"DD-MM-YYYY"))</f>
        <v>9</v>
      </c>
      <c r="F76" s="68">
        <f>DAY(TEXT(C76,"DD-MM-YYYY"))</f>
        <v>11</v>
      </c>
    </row>
    <row r="77" spans="1:6">
      <c r="A77" s="68"/>
      <c r="B77" s="68"/>
      <c r="C77" s="68"/>
      <c r="D77" s="68"/>
      <c r="E77" s="68"/>
      <c r="F77" s="68"/>
    </row>
    <row r="81" spans="1:11" ht="29.25">
      <c r="A81" s="15" t="s">
        <v>4414</v>
      </c>
      <c r="C81" s="70" t="s">
        <v>4399</v>
      </c>
      <c r="D81" s="71" t="s">
        <v>4415</v>
      </c>
      <c r="E81" s="71" t="s">
        <v>4416</v>
      </c>
      <c r="F81" s="74" t="s">
        <v>4417</v>
      </c>
    </row>
    <row r="82" spans="1:11">
      <c r="C82" t="str" cm="1">
        <f t="array" ref="C82:C106">_xlfn.UNIQUE(Sales[PRODUCT_NAME])</f>
        <v>Predator Helios</v>
      </c>
      <c r="D82" t="str" cm="1">
        <f t="array" ref="D82:E82">_xlfn.TEXTSPLIT(C82," ")</f>
        <v>Predator</v>
      </c>
      <c r="E82" t="str">
        <v>Helios</v>
      </c>
      <c r="H82" t="str" cm="1">
        <f t="array" ref="H82:H131">_xlfn.VSTACK(D82:D106,E82:E106)</f>
        <v>Predator</v>
      </c>
      <c r="I82" t="str" cm="1">
        <f t="array" ref="I82:I131">_xlfn.UNIQUE(H82:H131,TRUE)</f>
        <v>Predator</v>
      </c>
      <c r="J82">
        <f>COUNTIF(H82:H132,I82)</f>
        <v>1</v>
      </c>
      <c r="K82" t="str" cm="1">
        <f t="array" ref="K82:K89">_xlfn._xlws.FILTER(I82:I131,J82:J131&gt;=2,"")</f>
        <v>OnePlus</v>
      </c>
    </row>
    <row r="83" spans="1:11">
      <c r="C83" t="str">
        <v>Nothing Phone 2</v>
      </c>
      <c r="D83" t="str" cm="1">
        <f t="array" ref="D83:F83">_xlfn.TEXTSPLIT(C83," ")</f>
        <v>Nothing</v>
      </c>
      <c r="E83" t="str">
        <v>Phone</v>
      </c>
      <c r="F83" t="str">
        <v>2</v>
      </c>
      <c r="H83" t="str">
        <v>Nothing</v>
      </c>
      <c r="I83" t="str">
        <v>Nothing</v>
      </c>
      <c r="J83">
        <f t="shared" ref="J83:J131" si="3">COUNTIF(H83:H133,I83)</f>
        <v>1</v>
      </c>
      <c r="K83" t="str">
        <v>0</v>
      </c>
    </row>
    <row r="84" spans="1:11">
      <c r="C84" t="str">
        <v>Redmi Note 12</v>
      </c>
      <c r="D84" t="str" cm="1">
        <f t="array" ref="D84:F84">_xlfn.TEXTSPLIT(C84," ")</f>
        <v>Redmi</v>
      </c>
      <c r="E84" t="str">
        <v>Note</v>
      </c>
      <c r="F84" t="str">
        <v>12</v>
      </c>
      <c r="H84" t="str">
        <v>Redmi</v>
      </c>
      <c r="I84" t="str">
        <v>Redmi</v>
      </c>
      <c r="J84">
        <f t="shared" si="3"/>
        <v>1</v>
      </c>
      <c r="K84">
        <v>0</v>
      </c>
    </row>
    <row r="85" spans="1:11">
      <c r="C85" t="str">
        <v>ROG Zephyrus</v>
      </c>
      <c r="D85" t="str" cm="1">
        <f t="array" ref="D85:E85">_xlfn.TEXTSPLIT(C85," ")</f>
        <v>ROG</v>
      </c>
      <c r="E85" t="str">
        <v>Zephyrus</v>
      </c>
      <c r="H85" t="str">
        <v>ROG</v>
      </c>
      <c r="I85" t="str">
        <v>ROG</v>
      </c>
      <c r="J85">
        <f t="shared" si="3"/>
        <v>1</v>
      </c>
      <c r="K85" t="str">
        <v>15</v>
      </c>
    </row>
    <row r="86" spans="1:11">
      <c r="C86" t="str">
        <v>ThinkPad E14</v>
      </c>
      <c r="D86" t="str" cm="1">
        <f t="array" ref="D86:E86">_xlfn.TEXTSPLIT(C86," ")</f>
        <v>ThinkPad</v>
      </c>
      <c r="E86" t="str">
        <v>E14</v>
      </c>
      <c r="H86" t="str">
        <v>ThinkPad</v>
      </c>
      <c r="I86" t="str">
        <v>ThinkPad</v>
      </c>
      <c r="J86">
        <f t="shared" si="3"/>
        <v>1</v>
      </c>
      <c r="K86" t="str">
        <v>14</v>
      </c>
    </row>
    <row r="87" spans="1:11">
      <c r="C87" t="str">
        <v>Oppo Reno 10</v>
      </c>
      <c r="D87" t="str" cm="1">
        <f t="array" ref="D87:F87">_xlfn.TEXTSPLIT(C87," ")</f>
        <v>Oppo</v>
      </c>
      <c r="E87" t="str">
        <v>Reno</v>
      </c>
      <c r="F87" t="str">
        <v>10</v>
      </c>
      <c r="H87" t="str">
        <v>Oppo</v>
      </c>
      <c r="I87" t="str">
        <v>Oppo</v>
      </c>
      <c r="J87">
        <f t="shared" si="3"/>
        <v>1</v>
      </c>
      <c r="K87">
        <v>0</v>
      </c>
    </row>
    <row r="88" spans="1:11">
      <c r="C88" t="str">
        <v>Inspiron 15</v>
      </c>
      <c r="D88" t="str" cm="1">
        <f t="array" ref="D88:E88">_xlfn.TEXTSPLIT(C88," ")</f>
        <v>Inspiron</v>
      </c>
      <c r="E88" t="str">
        <v>15</v>
      </c>
      <c r="H88" t="str">
        <v>Inspiron</v>
      </c>
      <c r="I88" t="str">
        <v>Inspiron</v>
      </c>
      <c r="J88">
        <f t="shared" si="3"/>
        <v>1</v>
      </c>
      <c r="K88" t="str">
        <v>13</v>
      </c>
    </row>
    <row r="89" spans="1:11">
      <c r="C89" t="str">
        <v>Vivobook 15</v>
      </c>
      <c r="D89" t="str" cm="1">
        <f t="array" ref="D89:E89">_xlfn.TEXTSPLIT(C89," ")</f>
        <v>Vivobook</v>
      </c>
      <c r="E89" t="str">
        <v>15</v>
      </c>
      <c r="H89" t="str">
        <v>Vivobook</v>
      </c>
      <c r="I89" t="str">
        <v>Vivobook</v>
      </c>
      <c r="J89">
        <f t="shared" si="3"/>
        <v>1</v>
      </c>
      <c r="K89">
        <v>0</v>
      </c>
    </row>
    <row r="90" spans="1:11">
      <c r="C90" t="str">
        <v>Pavilion 14</v>
      </c>
      <c r="D90" t="str" cm="1">
        <f t="array" ref="D90:E90">_xlfn.TEXTSPLIT(C90," ")</f>
        <v>Pavilion</v>
      </c>
      <c r="E90" t="str">
        <v>14</v>
      </c>
      <c r="H90" t="str">
        <v>Pavilion</v>
      </c>
      <c r="I90" t="str">
        <v>Pavilion</v>
      </c>
      <c r="J90">
        <f t="shared" si="3"/>
        <v>1</v>
      </c>
    </row>
    <row r="91" spans="1:11">
      <c r="C91" t="str">
        <v>DELL</v>
      </c>
      <c r="D91" t="str" cm="1">
        <f t="array" ref="D91">_xlfn.TEXTSPLIT(C91," ")</f>
        <v>DELL</v>
      </c>
      <c r="H91" t="str">
        <v>DELL</v>
      </c>
      <c r="I91" t="str">
        <v>DELL</v>
      </c>
      <c r="J91">
        <f t="shared" si="3"/>
        <v>1</v>
      </c>
    </row>
    <row r="92" spans="1:11">
      <c r="C92" t="str">
        <v>Galaxy S23</v>
      </c>
      <c r="D92" t="str" cm="1">
        <f t="array" ref="D92:E92">_xlfn.TEXTSPLIT(C92," ")</f>
        <v>Galaxy</v>
      </c>
      <c r="E92" t="str">
        <v>S23</v>
      </c>
      <c r="H92" t="str">
        <v>Galaxy</v>
      </c>
      <c r="I92" t="str">
        <v>Galaxy</v>
      </c>
      <c r="J92">
        <f t="shared" si="3"/>
        <v>1</v>
      </c>
    </row>
    <row r="93" spans="1:11">
      <c r="C93" t="str">
        <v>OnePlus 13</v>
      </c>
      <c r="D93" t="str" cm="1">
        <f t="array" ref="D93:E93">_xlfn.TEXTSPLIT(C93," ")</f>
        <v>OnePlus</v>
      </c>
      <c r="E93" t="str">
        <v>13</v>
      </c>
      <c r="H93" t="str">
        <v>OnePlus</v>
      </c>
      <c r="I93" t="str">
        <v>OnePlus</v>
      </c>
      <c r="J93">
        <f t="shared" si="3"/>
        <v>2</v>
      </c>
    </row>
    <row r="94" spans="1:11">
      <c r="C94" t="str">
        <v>OnePlus 11</v>
      </c>
      <c r="D94" t="str" cm="1">
        <f t="array" ref="D94:E94">_xlfn.TEXTSPLIT(C94," ")</f>
        <v>OnePlus</v>
      </c>
      <c r="E94" t="str">
        <v>11</v>
      </c>
      <c r="H94" t="str">
        <v>OnePlus</v>
      </c>
      <c r="I94" t="str">
        <v>OnePlus</v>
      </c>
      <c r="J94">
        <f t="shared" si="3"/>
        <v>1</v>
      </c>
    </row>
    <row r="95" spans="1:11">
      <c r="C95" t="str">
        <v>Modern 14</v>
      </c>
      <c r="D95" t="str" cm="1">
        <f t="array" ref="D95:E95">_xlfn.TEXTSPLIT(C95," ")</f>
        <v>Modern</v>
      </c>
      <c r="E95" t="str">
        <v>14</v>
      </c>
      <c r="H95" t="str">
        <v>Modern</v>
      </c>
      <c r="I95" t="str">
        <v>Modern</v>
      </c>
      <c r="J95">
        <f t="shared" si="3"/>
        <v>1</v>
      </c>
    </row>
    <row r="96" spans="1:11">
      <c r="C96" t="str">
        <v>GF63 Thin</v>
      </c>
      <c r="D96" t="str" cm="1">
        <f t="array" ref="D96:E96">_xlfn.TEXTSPLIT(C96," ")</f>
        <v>GF63</v>
      </c>
      <c r="E96" t="str">
        <v>Thin</v>
      </c>
      <c r="H96" t="str">
        <v>GF63</v>
      </c>
      <c r="I96" t="str">
        <v>GF63</v>
      </c>
      <c r="J96">
        <f t="shared" si="3"/>
        <v>1</v>
      </c>
    </row>
    <row r="97" spans="3:10">
      <c r="C97" t="str">
        <v>Aspire 5</v>
      </c>
      <c r="D97" t="str" cm="1">
        <f t="array" ref="D97:E97">_xlfn.TEXTSPLIT(C97," ")</f>
        <v>Aspire</v>
      </c>
      <c r="E97" t="str">
        <v>5</v>
      </c>
      <c r="H97" t="str">
        <v>Aspire</v>
      </c>
      <c r="I97" t="str">
        <v>Aspire</v>
      </c>
      <c r="J97">
        <f t="shared" si="3"/>
        <v>1</v>
      </c>
    </row>
    <row r="98" spans="3:10">
      <c r="C98" t="str">
        <v>Omen 16</v>
      </c>
      <c r="D98" t="str" cm="1">
        <f t="array" ref="D98:E98">_xlfn.TEXTSPLIT(C98," ")</f>
        <v>Omen</v>
      </c>
      <c r="E98" t="str">
        <v>16</v>
      </c>
      <c r="H98" t="str">
        <v>Omen</v>
      </c>
      <c r="I98" t="str">
        <v>Omen</v>
      </c>
      <c r="J98">
        <f t="shared" si="3"/>
        <v>1</v>
      </c>
    </row>
    <row r="99" spans="3:10">
      <c r="C99" t="str">
        <v>Pixel 7</v>
      </c>
      <c r="D99" t="str" cm="1">
        <f t="array" ref="D99:E99">_xlfn.TEXTSPLIT(C99," ")</f>
        <v>Pixel</v>
      </c>
      <c r="E99" t="str">
        <v>7</v>
      </c>
      <c r="H99" t="str">
        <v>Pixel</v>
      </c>
      <c r="I99" t="str">
        <v>Pixel</v>
      </c>
      <c r="J99">
        <f t="shared" si="3"/>
        <v>1</v>
      </c>
    </row>
    <row r="100" spans="3:10">
      <c r="C100" t="str">
        <v>XPS 13</v>
      </c>
      <c r="D100" t="str" cm="1">
        <f t="array" ref="D100:E100">_xlfn.TEXTSPLIT(C100," ")</f>
        <v>XPS</v>
      </c>
      <c r="E100" t="str">
        <v>13</v>
      </c>
      <c r="H100" t="str">
        <v>XPS</v>
      </c>
      <c r="I100" t="str">
        <v>XPS</v>
      </c>
      <c r="J100">
        <f t="shared" si="3"/>
        <v>1</v>
      </c>
    </row>
    <row r="101" spans="3:10">
      <c r="C101" t="str">
        <v>Realme GT Neo3</v>
      </c>
      <c r="D101" t="str" cm="1">
        <f t="array" ref="D101:F101">_xlfn.TEXTSPLIT(C101," ")</f>
        <v>Realme</v>
      </c>
      <c r="E101" t="str">
        <v>GT</v>
      </c>
      <c r="F101" t="str">
        <v>Neo3</v>
      </c>
      <c r="H101" t="str">
        <v>Realme</v>
      </c>
      <c r="I101" t="str">
        <v>Realme</v>
      </c>
      <c r="J101">
        <f t="shared" si="3"/>
        <v>1</v>
      </c>
    </row>
    <row r="102" spans="3:10">
      <c r="C102" t="str">
        <v>IdeaPad Slim 5</v>
      </c>
      <c r="D102" t="str" cm="1">
        <f t="array" ref="D102:F102">_xlfn.TEXTSPLIT(C102," ")</f>
        <v>IdeaPad</v>
      </c>
      <c r="E102" t="str">
        <v>Slim</v>
      </c>
      <c r="F102" t="str">
        <v>5</v>
      </c>
      <c r="H102" t="str">
        <v>IdeaPad</v>
      </c>
      <c r="I102" t="str">
        <v>IdeaPad</v>
      </c>
      <c r="J102">
        <f t="shared" si="3"/>
        <v>1</v>
      </c>
    </row>
    <row r="103" spans="3:10">
      <c r="C103" t="str">
        <v>Moto Edge 40</v>
      </c>
      <c r="D103" t="str" cm="1">
        <f t="array" ref="D103:F103">_xlfn.TEXTSPLIT(C103," ")</f>
        <v>Moto</v>
      </c>
      <c r="E103" t="str">
        <v>Edge</v>
      </c>
      <c r="F103" t="str">
        <v>40</v>
      </c>
      <c r="H103" t="str">
        <v>Moto</v>
      </c>
      <c r="I103" t="str">
        <v>Moto</v>
      </c>
      <c r="J103">
        <f t="shared" si="3"/>
        <v>1</v>
      </c>
    </row>
    <row r="104" spans="3:10">
      <c r="C104" t="str">
        <v>Vivo V27</v>
      </c>
      <c r="D104" t="str" cm="1">
        <f t="array" ref="D104:E104">_xlfn.TEXTSPLIT(C104," ")</f>
        <v>Vivo</v>
      </c>
      <c r="E104" t="str">
        <v>V27</v>
      </c>
      <c r="H104" t="str">
        <v>Vivo</v>
      </c>
      <c r="I104" t="str">
        <v>Vivo</v>
      </c>
      <c r="J104">
        <f t="shared" si="3"/>
        <v>1</v>
      </c>
    </row>
    <row r="105" spans="3:10">
      <c r="C105">
        <v>0</v>
      </c>
      <c r="D105" t="str" cm="1">
        <f t="array" ref="D105">_xlfn.TEXTSPLIT(C105," ")</f>
        <v>0</v>
      </c>
      <c r="H105" t="str">
        <v>0</v>
      </c>
      <c r="I105" t="str">
        <v>0</v>
      </c>
      <c r="J105">
        <f t="shared" si="3"/>
        <v>5</v>
      </c>
    </row>
    <row r="106" spans="3:10">
      <c r="C106" t="str">
        <v>iPhone 14</v>
      </c>
      <c r="H106">
        <v>0</v>
      </c>
      <c r="I106">
        <v>0</v>
      </c>
      <c r="J106">
        <f t="shared" si="3"/>
        <v>4</v>
      </c>
    </row>
    <row r="107" spans="3:10">
      <c r="H107" t="str">
        <v>Helios</v>
      </c>
      <c r="I107" t="str">
        <v>Helios</v>
      </c>
      <c r="J107">
        <f t="shared" si="3"/>
        <v>1</v>
      </c>
    </row>
    <row r="108" spans="3:10">
      <c r="H108" t="str">
        <v>Phone</v>
      </c>
      <c r="I108" t="str">
        <v>Phone</v>
      </c>
      <c r="J108">
        <f t="shared" si="3"/>
        <v>1</v>
      </c>
    </row>
    <row r="109" spans="3:10">
      <c r="H109" t="str">
        <v>Note</v>
      </c>
      <c r="I109" t="str">
        <v>Note</v>
      </c>
      <c r="J109">
        <f t="shared" si="3"/>
        <v>1</v>
      </c>
    </row>
    <row r="110" spans="3:10">
      <c r="H110" t="str">
        <v>Zephyrus</v>
      </c>
      <c r="I110" t="str">
        <v>Zephyrus</v>
      </c>
      <c r="J110">
        <f t="shared" si="3"/>
        <v>1</v>
      </c>
    </row>
    <row r="111" spans="3:10">
      <c r="H111" t="str">
        <v>E14</v>
      </c>
      <c r="I111" t="str">
        <v>E14</v>
      </c>
      <c r="J111">
        <f t="shared" si="3"/>
        <v>1</v>
      </c>
    </row>
    <row r="112" spans="3:10">
      <c r="H112" t="str">
        <v>Reno</v>
      </c>
      <c r="I112" t="str">
        <v>Reno</v>
      </c>
      <c r="J112">
        <f t="shared" si="3"/>
        <v>1</v>
      </c>
    </row>
    <row r="113" spans="8:10">
      <c r="H113" t="str">
        <v>15</v>
      </c>
      <c r="I113" t="str">
        <v>15</v>
      </c>
      <c r="J113">
        <f t="shared" si="3"/>
        <v>2</v>
      </c>
    </row>
    <row r="114" spans="8:10">
      <c r="H114" t="str">
        <v>15</v>
      </c>
      <c r="I114" t="str">
        <v>15</v>
      </c>
      <c r="J114">
        <f t="shared" si="3"/>
        <v>1</v>
      </c>
    </row>
    <row r="115" spans="8:10">
      <c r="H115" t="str">
        <v>14</v>
      </c>
      <c r="I115" t="str">
        <v>14</v>
      </c>
      <c r="J115">
        <f t="shared" si="3"/>
        <v>2</v>
      </c>
    </row>
    <row r="116" spans="8:10">
      <c r="H116">
        <v>0</v>
      </c>
      <c r="I116">
        <v>0</v>
      </c>
      <c r="J116">
        <f t="shared" si="3"/>
        <v>3</v>
      </c>
    </row>
    <row r="117" spans="8:10">
      <c r="H117" t="str">
        <v>S23</v>
      </c>
      <c r="I117" t="str">
        <v>S23</v>
      </c>
      <c r="J117">
        <f t="shared" si="3"/>
        <v>1</v>
      </c>
    </row>
    <row r="118" spans="8:10">
      <c r="H118" t="str">
        <v>13</v>
      </c>
      <c r="I118" t="str">
        <v>13</v>
      </c>
      <c r="J118">
        <f t="shared" si="3"/>
        <v>2</v>
      </c>
    </row>
    <row r="119" spans="8:10">
      <c r="H119" t="str">
        <v>11</v>
      </c>
      <c r="I119" t="str">
        <v>11</v>
      </c>
      <c r="J119">
        <f t="shared" si="3"/>
        <v>1</v>
      </c>
    </row>
    <row r="120" spans="8:10">
      <c r="H120" t="str">
        <v>14</v>
      </c>
      <c r="I120" t="str">
        <v>14</v>
      </c>
      <c r="J120">
        <f t="shared" si="3"/>
        <v>1</v>
      </c>
    </row>
    <row r="121" spans="8:10">
      <c r="H121" t="str">
        <v>Thin</v>
      </c>
      <c r="I121" t="str">
        <v>Thin</v>
      </c>
      <c r="J121">
        <f t="shared" si="3"/>
        <v>1</v>
      </c>
    </row>
    <row r="122" spans="8:10">
      <c r="H122" t="str">
        <v>5</v>
      </c>
      <c r="I122" t="str">
        <v>5</v>
      </c>
      <c r="J122">
        <f t="shared" si="3"/>
        <v>1</v>
      </c>
    </row>
    <row r="123" spans="8:10">
      <c r="H123" t="str">
        <v>16</v>
      </c>
      <c r="I123" t="str">
        <v>16</v>
      </c>
      <c r="J123">
        <f t="shared" si="3"/>
        <v>1</v>
      </c>
    </row>
    <row r="124" spans="8:10">
      <c r="H124" t="str">
        <v>7</v>
      </c>
      <c r="I124" t="str">
        <v>7</v>
      </c>
      <c r="J124">
        <f t="shared" si="3"/>
        <v>1</v>
      </c>
    </row>
    <row r="125" spans="8:10">
      <c r="H125" t="str">
        <v>13</v>
      </c>
      <c r="I125" t="str">
        <v>13</v>
      </c>
      <c r="J125">
        <f t="shared" si="3"/>
        <v>1</v>
      </c>
    </row>
    <row r="126" spans="8:10">
      <c r="H126" t="str">
        <v>GT</v>
      </c>
      <c r="I126" t="str">
        <v>GT</v>
      </c>
      <c r="J126">
        <f t="shared" si="3"/>
        <v>1</v>
      </c>
    </row>
    <row r="127" spans="8:10">
      <c r="H127" t="str">
        <v>Slim</v>
      </c>
      <c r="I127" t="str">
        <v>Slim</v>
      </c>
      <c r="J127">
        <f t="shared" si="3"/>
        <v>1</v>
      </c>
    </row>
    <row r="128" spans="8:10">
      <c r="H128" t="str">
        <v>Edge</v>
      </c>
      <c r="I128" t="str">
        <v>Edge</v>
      </c>
      <c r="J128">
        <f t="shared" si="3"/>
        <v>1</v>
      </c>
    </row>
    <row r="129" spans="1:10">
      <c r="H129" t="str">
        <v>V27</v>
      </c>
      <c r="I129" t="str">
        <v>V27</v>
      </c>
      <c r="J129">
        <f t="shared" si="3"/>
        <v>1</v>
      </c>
    </row>
    <row r="130" spans="1:10">
      <c r="H130">
        <v>0</v>
      </c>
      <c r="I130">
        <v>0</v>
      </c>
      <c r="J130">
        <f t="shared" si="3"/>
        <v>2</v>
      </c>
    </row>
    <row r="131" spans="1:10">
      <c r="H131">
        <v>0</v>
      </c>
      <c r="I131">
        <v>0</v>
      </c>
      <c r="J131">
        <f t="shared" si="3"/>
        <v>1</v>
      </c>
    </row>
    <row r="140" spans="1:10">
      <c r="C140" s="73" t="s">
        <v>4418</v>
      </c>
      <c r="D140" s="73" t="s">
        <v>4419</v>
      </c>
    </row>
    <row r="141" spans="1:10" ht="29.25">
      <c r="A141" s="15" t="s">
        <v>4420</v>
      </c>
      <c r="C141" cm="1">
        <f t="array" ref="C141:C300">Sales[PRICE_PER_UNIT]</f>
        <v>62011</v>
      </c>
      <c r="D141" s="75">
        <v>62011</v>
      </c>
      <c r="E141" s="77">
        <f>D141</f>
        <v>62011</v>
      </c>
    </row>
    <row r="142" spans="1:10">
      <c r="C142">
        <v>56642</v>
      </c>
      <c r="D142" s="75">
        <v>56642</v>
      </c>
      <c r="E142" s="77">
        <f>D142</f>
        <v>56642</v>
      </c>
    </row>
    <row r="143" spans="1:10">
      <c r="C143">
        <v>53967</v>
      </c>
      <c r="D143" s="75">
        <v>53967</v>
      </c>
      <c r="E143" s="77">
        <f t="shared" ref="E143:E206" si="4">D143</f>
        <v>53967</v>
      </c>
    </row>
    <row r="144" spans="1:10">
      <c r="C144">
        <v>91084</v>
      </c>
      <c r="D144" s="75">
        <v>91084</v>
      </c>
      <c r="E144" s="77">
        <f t="shared" si="4"/>
        <v>91084</v>
      </c>
      <c r="F144" s="76"/>
    </row>
    <row r="145" spans="3:5">
      <c r="C145">
        <v>104901</v>
      </c>
      <c r="D145" s="75">
        <v>104901</v>
      </c>
      <c r="E145" s="77">
        <f t="shared" si="4"/>
        <v>104901</v>
      </c>
    </row>
    <row r="146" spans="3:5">
      <c r="C146">
        <v>87400</v>
      </c>
      <c r="D146" s="75">
        <v>87400</v>
      </c>
      <c r="E146" s="77">
        <f t="shared" si="4"/>
        <v>87400</v>
      </c>
    </row>
    <row r="147" spans="3:5">
      <c r="C147">
        <v>79624</v>
      </c>
      <c r="D147" s="75">
        <v>79624</v>
      </c>
      <c r="E147" s="77">
        <f t="shared" si="4"/>
        <v>79624</v>
      </c>
    </row>
    <row r="148" spans="3:5">
      <c r="C148">
        <v>26045</v>
      </c>
      <c r="D148" s="75">
        <v>26045</v>
      </c>
      <c r="E148" s="77">
        <f t="shared" si="4"/>
        <v>26045</v>
      </c>
    </row>
    <row r="149" spans="3:5">
      <c r="C149">
        <v>67954</v>
      </c>
      <c r="D149" s="75">
        <v>67954</v>
      </c>
      <c r="E149" s="77">
        <f t="shared" si="4"/>
        <v>67954</v>
      </c>
    </row>
    <row r="150" spans="3:5">
      <c r="C150">
        <v>95837</v>
      </c>
      <c r="D150" s="75">
        <v>95837</v>
      </c>
      <c r="E150" s="77">
        <f t="shared" si="4"/>
        <v>95837</v>
      </c>
    </row>
    <row r="151" spans="3:5">
      <c r="C151">
        <v>55340</v>
      </c>
      <c r="D151" s="75">
        <v>55340</v>
      </c>
      <c r="E151" s="77">
        <f t="shared" si="4"/>
        <v>55340</v>
      </c>
    </row>
    <row r="152" spans="3:5">
      <c r="C152">
        <v>71100</v>
      </c>
      <c r="D152" s="75">
        <v>71100</v>
      </c>
      <c r="E152" s="77">
        <f t="shared" si="4"/>
        <v>71100</v>
      </c>
    </row>
    <row r="153" spans="3:5">
      <c r="C153">
        <v>113267</v>
      </c>
      <c r="D153" s="75">
        <v>113267</v>
      </c>
      <c r="E153" s="77">
        <f t="shared" si="4"/>
        <v>113267</v>
      </c>
    </row>
    <row r="154" spans="3:5">
      <c r="C154">
        <v>110308</v>
      </c>
      <c r="D154" s="75">
        <v>110308</v>
      </c>
      <c r="E154" s="77">
        <f t="shared" si="4"/>
        <v>110308</v>
      </c>
    </row>
    <row r="155" spans="3:5">
      <c r="C155">
        <v>45458</v>
      </c>
      <c r="D155" s="75">
        <v>45458</v>
      </c>
      <c r="E155" s="77">
        <f t="shared" si="4"/>
        <v>45458</v>
      </c>
    </row>
    <row r="156" spans="3:5">
      <c r="C156">
        <v>57429</v>
      </c>
      <c r="D156" s="75">
        <v>57429</v>
      </c>
      <c r="E156" s="77">
        <f t="shared" si="4"/>
        <v>57429</v>
      </c>
    </row>
    <row r="157" spans="3:5">
      <c r="C157">
        <v>33402</v>
      </c>
      <c r="D157" s="75">
        <v>33402</v>
      </c>
      <c r="E157" s="77">
        <f t="shared" si="4"/>
        <v>33402</v>
      </c>
    </row>
    <row r="158" spans="3:5">
      <c r="C158">
        <v>57381</v>
      </c>
      <c r="D158" s="75">
        <v>57381</v>
      </c>
      <c r="E158" s="77">
        <f t="shared" si="4"/>
        <v>57381</v>
      </c>
    </row>
    <row r="159" spans="3:5">
      <c r="C159">
        <v>28161</v>
      </c>
      <c r="D159" s="75">
        <v>28161</v>
      </c>
      <c r="E159" s="77">
        <f t="shared" si="4"/>
        <v>28161</v>
      </c>
    </row>
    <row r="160" spans="3:5">
      <c r="C160">
        <v>100663</v>
      </c>
      <c r="D160" s="75">
        <v>100663</v>
      </c>
      <c r="E160" s="77">
        <f t="shared" si="4"/>
        <v>100663</v>
      </c>
    </row>
    <row r="161" spans="3:5">
      <c r="C161">
        <v>107793</v>
      </c>
      <c r="D161" s="75">
        <v>107793</v>
      </c>
      <c r="E161" s="77">
        <f t="shared" si="4"/>
        <v>107793</v>
      </c>
    </row>
    <row r="162" spans="3:5">
      <c r="C162">
        <v>95552</v>
      </c>
      <c r="D162" s="75">
        <v>95552</v>
      </c>
      <c r="E162" s="77">
        <f t="shared" si="4"/>
        <v>95552</v>
      </c>
    </row>
    <row r="163" spans="3:5">
      <c r="C163">
        <v>89611</v>
      </c>
      <c r="D163" s="75">
        <v>89611</v>
      </c>
      <c r="E163" s="77">
        <f t="shared" si="4"/>
        <v>89611</v>
      </c>
    </row>
    <row r="164" spans="3:5">
      <c r="C164">
        <v>62573</v>
      </c>
      <c r="D164" s="75">
        <v>62573</v>
      </c>
      <c r="E164" s="77">
        <f t="shared" si="4"/>
        <v>62573</v>
      </c>
    </row>
    <row r="165" spans="3:5">
      <c r="C165">
        <v>87968</v>
      </c>
      <c r="D165" s="75">
        <v>87968</v>
      </c>
      <c r="E165" s="77">
        <f t="shared" si="4"/>
        <v>87968</v>
      </c>
    </row>
    <row r="166" spans="3:5">
      <c r="C166">
        <v>58053</v>
      </c>
      <c r="D166" s="75">
        <v>58053</v>
      </c>
      <c r="E166" s="77">
        <f t="shared" si="4"/>
        <v>58053</v>
      </c>
    </row>
    <row r="167" spans="3:5">
      <c r="C167">
        <v>116551</v>
      </c>
      <c r="D167" s="75">
        <v>116551</v>
      </c>
      <c r="E167" s="77">
        <f t="shared" si="4"/>
        <v>116551</v>
      </c>
    </row>
    <row r="168" spans="3:5">
      <c r="C168">
        <v>62500</v>
      </c>
      <c r="D168" s="75">
        <v>62500</v>
      </c>
      <c r="E168" s="77">
        <f t="shared" si="4"/>
        <v>62500</v>
      </c>
    </row>
    <row r="169" spans="3:5">
      <c r="C169">
        <v>13403</v>
      </c>
      <c r="D169" s="75">
        <v>13403</v>
      </c>
      <c r="E169" s="77">
        <f t="shared" si="4"/>
        <v>13403</v>
      </c>
    </row>
    <row r="170" spans="3:5">
      <c r="C170">
        <v>71406</v>
      </c>
      <c r="D170" s="75">
        <v>71406</v>
      </c>
      <c r="E170" s="77">
        <f t="shared" si="4"/>
        <v>71406</v>
      </c>
    </row>
    <row r="171" spans="3:5">
      <c r="C171">
        <v>68983</v>
      </c>
      <c r="D171" s="75">
        <v>68983</v>
      </c>
      <c r="E171" s="77">
        <f t="shared" si="4"/>
        <v>68983</v>
      </c>
    </row>
    <row r="172" spans="3:5">
      <c r="C172">
        <v>54984</v>
      </c>
      <c r="D172" s="75">
        <v>54984</v>
      </c>
      <c r="E172" s="77">
        <f t="shared" si="4"/>
        <v>54984</v>
      </c>
    </row>
    <row r="173" spans="3:5">
      <c r="C173">
        <v>23594</v>
      </c>
      <c r="D173" s="75">
        <v>23594</v>
      </c>
      <c r="E173" s="77">
        <f t="shared" si="4"/>
        <v>23594</v>
      </c>
    </row>
    <row r="174" spans="3:5">
      <c r="C174">
        <v>22456</v>
      </c>
      <c r="D174" s="75">
        <v>22456</v>
      </c>
      <c r="E174" s="77">
        <f t="shared" si="4"/>
        <v>22456</v>
      </c>
    </row>
    <row r="175" spans="3:5">
      <c r="C175">
        <v>65659</v>
      </c>
      <c r="D175" s="75">
        <v>65659</v>
      </c>
      <c r="E175" s="77">
        <f t="shared" si="4"/>
        <v>65659</v>
      </c>
    </row>
    <row r="176" spans="3:5">
      <c r="C176">
        <v>103163</v>
      </c>
      <c r="D176" s="75">
        <v>103163</v>
      </c>
      <c r="E176" s="77">
        <f t="shared" si="4"/>
        <v>103163</v>
      </c>
    </row>
    <row r="177" spans="3:5">
      <c r="C177">
        <v>61702</v>
      </c>
      <c r="D177" s="75">
        <v>61702</v>
      </c>
      <c r="E177" s="77">
        <f t="shared" si="4"/>
        <v>61702</v>
      </c>
    </row>
    <row r="178" spans="3:5">
      <c r="C178">
        <v>95916</v>
      </c>
      <c r="D178" s="75">
        <v>95916</v>
      </c>
      <c r="E178" s="77">
        <f t="shared" si="4"/>
        <v>95916</v>
      </c>
    </row>
    <row r="179" spans="3:5">
      <c r="C179">
        <v>66725</v>
      </c>
      <c r="D179" s="75">
        <v>66725</v>
      </c>
      <c r="E179" s="77">
        <f t="shared" si="4"/>
        <v>66725</v>
      </c>
    </row>
    <row r="180" spans="3:5">
      <c r="C180">
        <v>79393</v>
      </c>
      <c r="D180" s="75">
        <v>79393</v>
      </c>
      <c r="E180" s="77">
        <f t="shared" si="4"/>
        <v>79393</v>
      </c>
    </row>
    <row r="181" spans="3:5">
      <c r="C181">
        <v>26124</v>
      </c>
      <c r="D181" s="75">
        <v>26124</v>
      </c>
      <c r="E181" s="77">
        <f t="shared" si="4"/>
        <v>26124</v>
      </c>
    </row>
    <row r="182" spans="3:5">
      <c r="C182">
        <v>25166</v>
      </c>
      <c r="D182" s="75">
        <v>25166</v>
      </c>
      <c r="E182" s="77">
        <f t="shared" si="4"/>
        <v>25166</v>
      </c>
    </row>
    <row r="183" spans="3:5">
      <c r="C183">
        <v>87933</v>
      </c>
      <c r="D183" s="75">
        <v>87933</v>
      </c>
      <c r="E183" s="77">
        <f t="shared" si="4"/>
        <v>87933</v>
      </c>
    </row>
    <row r="184" spans="3:5">
      <c r="C184">
        <v>23297</v>
      </c>
      <c r="D184" s="75">
        <v>23297</v>
      </c>
      <c r="E184" s="77">
        <f t="shared" si="4"/>
        <v>23297</v>
      </c>
    </row>
    <row r="185" spans="3:5">
      <c r="C185">
        <v>87672</v>
      </c>
      <c r="D185" s="75">
        <v>87672</v>
      </c>
      <c r="E185" s="77">
        <f t="shared" si="4"/>
        <v>87672</v>
      </c>
    </row>
    <row r="186" spans="3:5">
      <c r="C186">
        <v>84444</v>
      </c>
      <c r="D186" s="75">
        <v>84444</v>
      </c>
      <c r="E186" s="77">
        <f t="shared" si="4"/>
        <v>84444</v>
      </c>
    </row>
    <row r="187" spans="3:5">
      <c r="C187">
        <v>96499</v>
      </c>
      <c r="D187" s="75">
        <v>96499</v>
      </c>
      <c r="E187" s="77">
        <f t="shared" si="4"/>
        <v>96499</v>
      </c>
    </row>
    <row r="188" spans="3:5">
      <c r="C188">
        <v>92592</v>
      </c>
      <c r="D188" s="75">
        <v>92592</v>
      </c>
      <c r="E188" s="77">
        <f t="shared" si="4"/>
        <v>92592</v>
      </c>
    </row>
    <row r="189" spans="3:5">
      <c r="C189">
        <v>65907</v>
      </c>
      <c r="D189" s="75">
        <v>65907</v>
      </c>
      <c r="E189" s="77">
        <f t="shared" si="4"/>
        <v>65907</v>
      </c>
    </row>
    <row r="190" spans="3:5">
      <c r="C190">
        <v>60349</v>
      </c>
      <c r="D190" s="75">
        <v>60349</v>
      </c>
      <c r="E190" s="77">
        <f t="shared" si="4"/>
        <v>60349</v>
      </c>
    </row>
    <row r="191" spans="3:5">
      <c r="C191">
        <v>115162</v>
      </c>
      <c r="D191" s="75">
        <v>115162</v>
      </c>
      <c r="E191" s="77">
        <f t="shared" si="4"/>
        <v>115162</v>
      </c>
    </row>
    <row r="192" spans="3:5">
      <c r="C192">
        <v>30710</v>
      </c>
      <c r="D192" s="75">
        <v>30710</v>
      </c>
      <c r="E192" s="77">
        <f t="shared" si="4"/>
        <v>30710</v>
      </c>
    </row>
    <row r="193" spans="3:5">
      <c r="C193">
        <v>22816</v>
      </c>
      <c r="D193" s="75">
        <v>22816</v>
      </c>
      <c r="E193" s="77">
        <f t="shared" si="4"/>
        <v>22816</v>
      </c>
    </row>
    <row r="194" spans="3:5">
      <c r="C194">
        <v>119589</v>
      </c>
      <c r="D194" s="75">
        <v>119589</v>
      </c>
      <c r="E194" s="77">
        <f t="shared" si="4"/>
        <v>119589</v>
      </c>
    </row>
    <row r="195" spans="3:5">
      <c r="C195">
        <v>117107</v>
      </c>
      <c r="D195" s="75">
        <v>117107</v>
      </c>
      <c r="E195" s="77">
        <f t="shared" si="4"/>
        <v>117107</v>
      </c>
    </row>
    <row r="196" spans="3:5">
      <c r="C196">
        <v>83072</v>
      </c>
      <c r="D196" s="75">
        <v>83072</v>
      </c>
      <c r="E196" s="77">
        <f t="shared" si="4"/>
        <v>83072</v>
      </c>
    </row>
    <row r="197" spans="3:5">
      <c r="C197">
        <v>50654</v>
      </c>
      <c r="D197" s="75">
        <v>50654</v>
      </c>
      <c r="E197" s="77">
        <f t="shared" si="4"/>
        <v>50654</v>
      </c>
    </row>
    <row r="198" spans="3:5">
      <c r="C198">
        <v>71760</v>
      </c>
      <c r="D198" s="75">
        <v>71760</v>
      </c>
      <c r="E198" s="77">
        <f t="shared" si="4"/>
        <v>71760</v>
      </c>
    </row>
    <row r="199" spans="3:5">
      <c r="C199">
        <v>95618</v>
      </c>
      <c r="D199" s="75">
        <v>95618</v>
      </c>
      <c r="E199" s="77">
        <f t="shared" si="4"/>
        <v>95618</v>
      </c>
    </row>
    <row r="200" spans="3:5">
      <c r="C200">
        <v>52476</v>
      </c>
      <c r="D200" s="75">
        <v>52476</v>
      </c>
      <c r="E200" s="77">
        <f t="shared" si="4"/>
        <v>52476</v>
      </c>
    </row>
    <row r="201" spans="3:5">
      <c r="C201">
        <v>77679</v>
      </c>
      <c r="D201" s="75">
        <v>77679</v>
      </c>
      <c r="E201" s="77">
        <f t="shared" si="4"/>
        <v>77679</v>
      </c>
    </row>
    <row r="202" spans="3:5">
      <c r="C202">
        <v>53632</v>
      </c>
      <c r="D202" s="75">
        <v>53632</v>
      </c>
      <c r="E202" s="77">
        <f t="shared" si="4"/>
        <v>53632</v>
      </c>
    </row>
    <row r="203" spans="3:5">
      <c r="C203">
        <v>63622</v>
      </c>
      <c r="D203" s="75">
        <v>63622</v>
      </c>
      <c r="E203" s="77">
        <f t="shared" si="4"/>
        <v>63622</v>
      </c>
    </row>
    <row r="204" spans="3:5">
      <c r="C204">
        <v>81670</v>
      </c>
      <c r="D204" s="75">
        <v>81670</v>
      </c>
      <c r="E204" s="77">
        <f t="shared" si="4"/>
        <v>81670</v>
      </c>
    </row>
    <row r="205" spans="3:5">
      <c r="C205">
        <v>48970</v>
      </c>
      <c r="D205" s="75">
        <v>48970</v>
      </c>
      <c r="E205" s="77">
        <f t="shared" si="4"/>
        <v>48970</v>
      </c>
    </row>
    <row r="206" spans="3:5">
      <c r="C206">
        <v>99447</v>
      </c>
      <c r="D206" s="75">
        <v>99447</v>
      </c>
      <c r="E206" s="77">
        <f t="shared" si="4"/>
        <v>99447</v>
      </c>
    </row>
    <row r="207" spans="3:5">
      <c r="C207">
        <v>49573</v>
      </c>
      <c r="D207" s="75">
        <v>49573</v>
      </c>
      <c r="E207" s="77">
        <f t="shared" ref="E207:E270" si="5">D207</f>
        <v>49573</v>
      </c>
    </row>
    <row r="208" spans="3:5">
      <c r="C208">
        <v>61792</v>
      </c>
      <c r="D208" s="75">
        <v>61792</v>
      </c>
      <c r="E208" s="77">
        <f t="shared" si="5"/>
        <v>61792</v>
      </c>
    </row>
    <row r="209" spans="3:5">
      <c r="C209">
        <v>44283</v>
      </c>
      <c r="D209" s="75">
        <v>44283</v>
      </c>
      <c r="E209" s="77">
        <f t="shared" si="5"/>
        <v>44283</v>
      </c>
    </row>
    <row r="210" spans="3:5">
      <c r="C210">
        <v>44188</v>
      </c>
      <c r="D210" s="75">
        <v>44188</v>
      </c>
      <c r="E210" s="77">
        <f t="shared" si="5"/>
        <v>44188</v>
      </c>
    </row>
    <row r="211" spans="3:5">
      <c r="C211">
        <v>50840</v>
      </c>
      <c r="D211" s="75">
        <v>50840</v>
      </c>
      <c r="E211" s="77">
        <f t="shared" si="5"/>
        <v>50840</v>
      </c>
    </row>
    <row r="212" spans="3:5">
      <c r="C212">
        <v>49533</v>
      </c>
      <c r="D212" s="75">
        <v>49533</v>
      </c>
      <c r="E212" s="77">
        <f t="shared" si="5"/>
        <v>49533</v>
      </c>
    </row>
    <row r="213" spans="3:5">
      <c r="C213">
        <v>54509</v>
      </c>
      <c r="D213" s="75">
        <v>54509</v>
      </c>
      <c r="E213" s="77">
        <f t="shared" si="5"/>
        <v>54509</v>
      </c>
    </row>
    <row r="214" spans="3:5">
      <c r="C214">
        <v>67976</v>
      </c>
      <c r="D214" s="75">
        <v>67976</v>
      </c>
      <c r="E214" s="77">
        <f t="shared" si="5"/>
        <v>67976</v>
      </c>
    </row>
    <row r="215" spans="3:5">
      <c r="C215">
        <v>45942</v>
      </c>
      <c r="D215" s="75">
        <v>45942</v>
      </c>
      <c r="E215" s="77">
        <f t="shared" si="5"/>
        <v>45942</v>
      </c>
    </row>
    <row r="216" spans="3:5">
      <c r="C216">
        <v>115336</v>
      </c>
      <c r="D216" s="75">
        <v>115336</v>
      </c>
      <c r="E216" s="77">
        <f t="shared" si="5"/>
        <v>115336</v>
      </c>
    </row>
    <row r="217" spans="3:5">
      <c r="C217">
        <v>41447</v>
      </c>
      <c r="D217" s="75">
        <v>41447</v>
      </c>
      <c r="E217" s="77">
        <f t="shared" si="5"/>
        <v>41447</v>
      </c>
    </row>
    <row r="218" spans="3:5">
      <c r="C218">
        <v>87888</v>
      </c>
      <c r="D218" s="75">
        <v>87888</v>
      </c>
      <c r="E218" s="77">
        <f t="shared" si="5"/>
        <v>87888</v>
      </c>
    </row>
    <row r="219" spans="3:5">
      <c r="C219">
        <v>58146</v>
      </c>
      <c r="D219" s="75">
        <v>58146</v>
      </c>
      <c r="E219" s="77">
        <f t="shared" si="5"/>
        <v>58146</v>
      </c>
    </row>
    <row r="220" spans="3:5">
      <c r="C220">
        <v>96072</v>
      </c>
      <c r="D220" s="75">
        <v>96072</v>
      </c>
      <c r="E220" s="77">
        <f t="shared" si="5"/>
        <v>96072</v>
      </c>
    </row>
    <row r="221" spans="3:5">
      <c r="C221">
        <v>69461</v>
      </c>
      <c r="D221" s="75">
        <v>69461</v>
      </c>
      <c r="E221" s="77">
        <f t="shared" si="5"/>
        <v>69461</v>
      </c>
    </row>
    <row r="222" spans="3:5">
      <c r="C222">
        <v>83539</v>
      </c>
      <c r="D222" s="75">
        <v>83539</v>
      </c>
      <c r="E222" s="77">
        <f t="shared" si="5"/>
        <v>83539</v>
      </c>
    </row>
    <row r="223" spans="3:5">
      <c r="C223">
        <v>100948</v>
      </c>
      <c r="D223" s="75">
        <v>100948</v>
      </c>
      <c r="E223" s="77">
        <f t="shared" si="5"/>
        <v>100948</v>
      </c>
    </row>
    <row r="224" spans="3:5">
      <c r="C224">
        <v>93983</v>
      </c>
      <c r="D224" s="75">
        <v>93983</v>
      </c>
      <c r="E224" s="77">
        <f t="shared" si="5"/>
        <v>93983</v>
      </c>
    </row>
    <row r="225" spans="3:5">
      <c r="C225">
        <v>15212</v>
      </c>
      <c r="D225" s="75">
        <v>15212</v>
      </c>
      <c r="E225" s="77">
        <f t="shared" si="5"/>
        <v>15212</v>
      </c>
    </row>
    <row r="226" spans="3:5">
      <c r="C226">
        <v>45613</v>
      </c>
      <c r="D226" s="75">
        <v>45613</v>
      </c>
      <c r="E226" s="77">
        <f t="shared" si="5"/>
        <v>45613</v>
      </c>
    </row>
    <row r="227" spans="3:5">
      <c r="C227">
        <v>100961</v>
      </c>
      <c r="D227" s="75">
        <v>100961</v>
      </c>
      <c r="E227" s="77">
        <f t="shared" si="5"/>
        <v>100961</v>
      </c>
    </row>
    <row r="228" spans="3:5">
      <c r="C228">
        <v>98041</v>
      </c>
      <c r="D228" s="75">
        <v>98041</v>
      </c>
      <c r="E228" s="77">
        <f t="shared" si="5"/>
        <v>98041</v>
      </c>
    </row>
    <row r="229" spans="3:5">
      <c r="C229">
        <v>70126</v>
      </c>
      <c r="D229" s="75">
        <v>70126</v>
      </c>
      <c r="E229" s="77">
        <f t="shared" si="5"/>
        <v>70126</v>
      </c>
    </row>
    <row r="230" spans="3:5">
      <c r="C230">
        <v>81687</v>
      </c>
      <c r="D230" s="75">
        <v>81687</v>
      </c>
      <c r="E230" s="77">
        <f t="shared" si="5"/>
        <v>81687</v>
      </c>
    </row>
    <row r="231" spans="3:5">
      <c r="C231">
        <v>80420</v>
      </c>
      <c r="D231" s="75">
        <v>80420</v>
      </c>
      <c r="E231" s="77">
        <f t="shared" si="5"/>
        <v>80420</v>
      </c>
    </row>
    <row r="232" spans="3:5">
      <c r="C232">
        <v>68782</v>
      </c>
      <c r="D232" s="75">
        <v>68782</v>
      </c>
      <c r="E232" s="77">
        <f t="shared" si="5"/>
        <v>68782</v>
      </c>
    </row>
    <row r="233" spans="3:5">
      <c r="C233">
        <v>57240</v>
      </c>
      <c r="D233" s="75">
        <v>57240</v>
      </c>
      <c r="E233" s="77">
        <f t="shared" si="5"/>
        <v>57240</v>
      </c>
    </row>
    <row r="234" spans="3:5">
      <c r="C234">
        <v>63680</v>
      </c>
      <c r="D234" s="75">
        <v>63680</v>
      </c>
      <c r="E234" s="77">
        <f t="shared" si="5"/>
        <v>63680</v>
      </c>
    </row>
    <row r="235" spans="3:5">
      <c r="C235">
        <v>45254</v>
      </c>
      <c r="D235" s="75">
        <v>45254</v>
      </c>
      <c r="E235" s="77">
        <f t="shared" si="5"/>
        <v>45254</v>
      </c>
    </row>
    <row r="236" spans="3:5">
      <c r="C236">
        <v>50220</v>
      </c>
      <c r="D236" s="75">
        <v>50220</v>
      </c>
      <c r="E236" s="77">
        <f t="shared" si="5"/>
        <v>50220</v>
      </c>
    </row>
    <row r="237" spans="3:5">
      <c r="C237">
        <v>41980</v>
      </c>
      <c r="D237" s="75">
        <v>41980</v>
      </c>
      <c r="E237" s="77">
        <f t="shared" si="5"/>
        <v>41980</v>
      </c>
    </row>
    <row r="238" spans="3:5">
      <c r="C238">
        <v>85445</v>
      </c>
      <c r="D238" s="75">
        <v>85445</v>
      </c>
      <c r="E238" s="77">
        <f t="shared" si="5"/>
        <v>85445</v>
      </c>
    </row>
    <row r="239" spans="3:5">
      <c r="C239">
        <v>69619</v>
      </c>
      <c r="D239" s="75">
        <v>69619</v>
      </c>
      <c r="E239" s="77">
        <f t="shared" si="5"/>
        <v>69619</v>
      </c>
    </row>
    <row r="240" spans="3:5">
      <c r="C240">
        <v>33125</v>
      </c>
      <c r="D240" s="75">
        <v>33125</v>
      </c>
      <c r="E240" s="77">
        <f t="shared" si="5"/>
        <v>33125</v>
      </c>
    </row>
    <row r="241" spans="3:5">
      <c r="C241">
        <v>19109</v>
      </c>
      <c r="D241" s="75">
        <v>19109</v>
      </c>
      <c r="E241" s="77">
        <f t="shared" si="5"/>
        <v>19109</v>
      </c>
    </row>
    <row r="242" spans="3:5">
      <c r="C242">
        <v>82353</v>
      </c>
      <c r="D242" s="75">
        <v>82353</v>
      </c>
      <c r="E242" s="77">
        <f t="shared" si="5"/>
        <v>82353</v>
      </c>
    </row>
    <row r="243" spans="3:5">
      <c r="C243">
        <v>65285</v>
      </c>
      <c r="D243" s="75">
        <v>65285</v>
      </c>
      <c r="E243" s="77">
        <f t="shared" si="5"/>
        <v>65285</v>
      </c>
    </row>
    <row r="244" spans="3:5">
      <c r="C244">
        <v>68107</v>
      </c>
      <c r="D244" s="75">
        <v>68107</v>
      </c>
      <c r="E244" s="77">
        <f t="shared" si="5"/>
        <v>68107</v>
      </c>
    </row>
    <row r="245" spans="3:5">
      <c r="C245">
        <v>105836</v>
      </c>
      <c r="D245" s="75">
        <v>105836</v>
      </c>
      <c r="E245" s="77">
        <f t="shared" si="5"/>
        <v>105836</v>
      </c>
    </row>
    <row r="246" spans="3:5">
      <c r="C246">
        <v>82795</v>
      </c>
      <c r="D246" s="75">
        <v>82795</v>
      </c>
      <c r="E246" s="77">
        <f t="shared" si="5"/>
        <v>82795</v>
      </c>
    </row>
    <row r="247" spans="3:5">
      <c r="C247">
        <v>100311</v>
      </c>
      <c r="D247" s="75">
        <v>100311</v>
      </c>
      <c r="E247" s="77">
        <f t="shared" si="5"/>
        <v>100311</v>
      </c>
    </row>
    <row r="248" spans="3:5">
      <c r="C248">
        <v>72979</v>
      </c>
      <c r="D248" s="75">
        <v>72979</v>
      </c>
      <c r="E248" s="77">
        <f t="shared" si="5"/>
        <v>72979</v>
      </c>
    </row>
    <row r="249" spans="3:5">
      <c r="C249">
        <v>108534</v>
      </c>
      <c r="D249" s="75">
        <v>108534</v>
      </c>
      <c r="E249" s="77">
        <f t="shared" si="5"/>
        <v>108534</v>
      </c>
    </row>
    <row r="250" spans="3:5">
      <c r="C250">
        <v>102302</v>
      </c>
      <c r="D250" s="75">
        <v>102302</v>
      </c>
      <c r="E250" s="77">
        <f t="shared" si="5"/>
        <v>102302</v>
      </c>
    </row>
    <row r="251" spans="3:5">
      <c r="C251">
        <v>95160</v>
      </c>
      <c r="D251" s="75">
        <v>95160</v>
      </c>
      <c r="E251" s="77">
        <f t="shared" si="5"/>
        <v>95160</v>
      </c>
    </row>
    <row r="252" spans="3:5">
      <c r="C252">
        <v>47995</v>
      </c>
      <c r="D252" s="75">
        <v>47995</v>
      </c>
      <c r="E252" s="77">
        <f t="shared" si="5"/>
        <v>47995</v>
      </c>
    </row>
    <row r="253" spans="3:5">
      <c r="C253">
        <v>47277</v>
      </c>
      <c r="D253" s="75">
        <v>47277</v>
      </c>
      <c r="E253" s="77">
        <f t="shared" si="5"/>
        <v>47277</v>
      </c>
    </row>
    <row r="254" spans="3:5">
      <c r="C254">
        <v>77624</v>
      </c>
      <c r="D254" s="75">
        <v>77624</v>
      </c>
      <c r="E254" s="77">
        <f t="shared" si="5"/>
        <v>77624</v>
      </c>
    </row>
    <row r="255" spans="3:5">
      <c r="C255">
        <v>102776</v>
      </c>
      <c r="D255" s="75">
        <v>102776</v>
      </c>
      <c r="E255" s="77">
        <f t="shared" si="5"/>
        <v>102776</v>
      </c>
    </row>
    <row r="256" spans="3:5">
      <c r="C256">
        <v>110876</v>
      </c>
      <c r="D256" s="75">
        <v>110876</v>
      </c>
      <c r="E256" s="77">
        <f t="shared" si="5"/>
        <v>110876</v>
      </c>
    </row>
    <row r="257" spans="3:5">
      <c r="C257">
        <v>89091</v>
      </c>
      <c r="D257" s="75">
        <v>89091</v>
      </c>
      <c r="E257" s="77">
        <f t="shared" si="5"/>
        <v>89091</v>
      </c>
    </row>
    <row r="258" spans="3:5">
      <c r="C258">
        <v>43797</v>
      </c>
      <c r="D258" s="75">
        <v>43797</v>
      </c>
      <c r="E258" s="77">
        <f t="shared" si="5"/>
        <v>43797</v>
      </c>
    </row>
    <row r="259" spans="3:5">
      <c r="C259">
        <v>81376</v>
      </c>
      <c r="D259" s="75">
        <v>81376</v>
      </c>
      <c r="E259" s="77">
        <f t="shared" si="5"/>
        <v>81376</v>
      </c>
    </row>
    <row r="260" spans="3:5">
      <c r="C260">
        <v>56557</v>
      </c>
      <c r="D260" s="75">
        <v>56557</v>
      </c>
      <c r="E260" s="77">
        <f t="shared" si="5"/>
        <v>56557</v>
      </c>
    </row>
    <row r="261" spans="3:5">
      <c r="C261">
        <v>79084</v>
      </c>
      <c r="D261" s="75">
        <v>79084</v>
      </c>
      <c r="E261" s="77">
        <f t="shared" si="5"/>
        <v>79084</v>
      </c>
    </row>
    <row r="262" spans="3:5">
      <c r="C262">
        <v>97934</v>
      </c>
      <c r="D262" s="75">
        <v>97934</v>
      </c>
      <c r="E262" s="77">
        <f t="shared" si="5"/>
        <v>97934</v>
      </c>
    </row>
    <row r="263" spans="3:5">
      <c r="C263">
        <v>66123</v>
      </c>
      <c r="D263" s="75">
        <v>66123</v>
      </c>
      <c r="E263" s="77">
        <f t="shared" si="5"/>
        <v>66123</v>
      </c>
    </row>
    <row r="264" spans="3:5">
      <c r="C264">
        <v>39135</v>
      </c>
      <c r="D264" s="75">
        <v>39135</v>
      </c>
      <c r="E264" s="77">
        <f t="shared" si="5"/>
        <v>39135</v>
      </c>
    </row>
    <row r="265" spans="3:5">
      <c r="C265">
        <v>62646</v>
      </c>
      <c r="D265" s="75">
        <v>62646</v>
      </c>
      <c r="E265" s="77">
        <f t="shared" si="5"/>
        <v>62646</v>
      </c>
    </row>
    <row r="266" spans="3:5">
      <c r="C266">
        <v>89014</v>
      </c>
      <c r="D266" s="75">
        <v>89014</v>
      </c>
      <c r="E266" s="77">
        <f t="shared" si="5"/>
        <v>89014</v>
      </c>
    </row>
    <row r="267" spans="3:5">
      <c r="C267">
        <v>67281</v>
      </c>
      <c r="D267" s="75">
        <v>67281</v>
      </c>
      <c r="E267" s="77">
        <f t="shared" si="5"/>
        <v>67281</v>
      </c>
    </row>
    <row r="268" spans="3:5">
      <c r="C268">
        <v>15624</v>
      </c>
      <c r="D268" s="75">
        <v>15624</v>
      </c>
      <c r="E268" s="77">
        <f t="shared" si="5"/>
        <v>15624</v>
      </c>
    </row>
    <row r="269" spans="3:5">
      <c r="C269">
        <v>78139</v>
      </c>
      <c r="D269" s="75">
        <v>78139</v>
      </c>
      <c r="E269" s="77">
        <f t="shared" si="5"/>
        <v>78139</v>
      </c>
    </row>
    <row r="270" spans="3:5">
      <c r="C270">
        <v>62355</v>
      </c>
      <c r="D270" s="75">
        <v>62355</v>
      </c>
      <c r="E270" s="77">
        <f t="shared" si="5"/>
        <v>62355</v>
      </c>
    </row>
    <row r="271" spans="3:5">
      <c r="C271">
        <v>67121</v>
      </c>
      <c r="D271" s="75">
        <v>67121</v>
      </c>
      <c r="E271" s="77">
        <f t="shared" ref="E271:E299" si="6">D271</f>
        <v>67121</v>
      </c>
    </row>
    <row r="272" spans="3:5">
      <c r="C272">
        <v>56224</v>
      </c>
      <c r="D272" s="75">
        <v>56224</v>
      </c>
      <c r="E272" s="77">
        <f t="shared" si="6"/>
        <v>56224</v>
      </c>
    </row>
    <row r="273" spans="3:5">
      <c r="C273">
        <v>88989</v>
      </c>
      <c r="D273" s="75">
        <v>88989</v>
      </c>
      <c r="E273" s="77">
        <f t="shared" si="6"/>
        <v>88989</v>
      </c>
    </row>
    <row r="274" spans="3:5">
      <c r="C274">
        <v>114507</v>
      </c>
      <c r="D274" s="75">
        <v>114507</v>
      </c>
      <c r="E274" s="77">
        <f t="shared" si="6"/>
        <v>114507</v>
      </c>
    </row>
    <row r="275" spans="3:5">
      <c r="C275">
        <v>105811</v>
      </c>
      <c r="D275" s="75">
        <v>105811</v>
      </c>
      <c r="E275" s="77">
        <f t="shared" si="6"/>
        <v>105811</v>
      </c>
    </row>
    <row r="276" spans="3:5">
      <c r="C276">
        <v>42564</v>
      </c>
      <c r="D276" s="75">
        <v>42564</v>
      </c>
      <c r="E276" s="77">
        <f t="shared" si="6"/>
        <v>42564</v>
      </c>
    </row>
    <row r="277" spans="3:5">
      <c r="C277">
        <v>17461</v>
      </c>
      <c r="D277" s="75">
        <v>17461</v>
      </c>
      <c r="E277" s="77">
        <f t="shared" si="6"/>
        <v>17461</v>
      </c>
    </row>
    <row r="278" spans="3:5">
      <c r="C278">
        <v>26059</v>
      </c>
      <c r="D278" s="75">
        <v>26059</v>
      </c>
      <c r="E278" s="77">
        <f t="shared" si="6"/>
        <v>26059</v>
      </c>
    </row>
    <row r="279" spans="3:5">
      <c r="C279">
        <v>27872</v>
      </c>
      <c r="D279" s="75">
        <v>27872</v>
      </c>
      <c r="E279" s="77">
        <f t="shared" si="6"/>
        <v>27872</v>
      </c>
    </row>
    <row r="280" spans="3:5">
      <c r="C280">
        <v>73160</v>
      </c>
      <c r="D280" s="75">
        <v>73160</v>
      </c>
      <c r="E280" s="77">
        <f t="shared" si="6"/>
        <v>73160</v>
      </c>
    </row>
    <row r="281" spans="3:5">
      <c r="C281">
        <v>81879</v>
      </c>
      <c r="D281" s="75">
        <v>81879</v>
      </c>
      <c r="E281" s="77">
        <f t="shared" si="6"/>
        <v>81879</v>
      </c>
    </row>
    <row r="282" spans="3:5">
      <c r="C282">
        <v>77223</v>
      </c>
      <c r="D282" s="75">
        <v>77223</v>
      </c>
      <c r="E282" s="77">
        <f t="shared" si="6"/>
        <v>77223</v>
      </c>
    </row>
    <row r="283" spans="3:5">
      <c r="C283">
        <v>52724</v>
      </c>
      <c r="D283" s="75">
        <v>52724</v>
      </c>
      <c r="E283" s="77">
        <f t="shared" si="6"/>
        <v>52724</v>
      </c>
    </row>
    <row r="284" spans="3:5">
      <c r="C284">
        <v>51361</v>
      </c>
      <c r="D284" s="75">
        <v>51361</v>
      </c>
      <c r="E284" s="77">
        <f t="shared" si="6"/>
        <v>51361</v>
      </c>
    </row>
    <row r="285" spans="3:5">
      <c r="C285">
        <v>68987</v>
      </c>
      <c r="D285" s="75">
        <v>68987</v>
      </c>
      <c r="E285" s="77">
        <f t="shared" si="6"/>
        <v>68987</v>
      </c>
    </row>
    <row r="286" spans="3:5">
      <c r="C286">
        <v>57087</v>
      </c>
      <c r="D286" s="75">
        <v>57087</v>
      </c>
      <c r="E286" s="77">
        <f t="shared" si="6"/>
        <v>57087</v>
      </c>
    </row>
    <row r="287" spans="3:5">
      <c r="C287">
        <v>94011</v>
      </c>
      <c r="D287" s="75">
        <v>94011</v>
      </c>
      <c r="E287" s="77">
        <f t="shared" si="6"/>
        <v>94011</v>
      </c>
    </row>
    <row r="288" spans="3:5">
      <c r="C288">
        <v>113879</v>
      </c>
      <c r="D288" s="75">
        <v>113879</v>
      </c>
      <c r="E288" s="77">
        <f t="shared" si="6"/>
        <v>113879</v>
      </c>
    </row>
    <row r="289" spans="1:5">
      <c r="C289">
        <v>45868</v>
      </c>
      <c r="D289" s="75">
        <v>45868</v>
      </c>
      <c r="E289" s="77">
        <f t="shared" si="6"/>
        <v>45868</v>
      </c>
    </row>
    <row r="290" spans="1:5">
      <c r="C290">
        <v>47082</v>
      </c>
      <c r="D290" s="75">
        <v>47082</v>
      </c>
      <c r="E290" s="77">
        <f t="shared" si="6"/>
        <v>47082</v>
      </c>
    </row>
    <row r="291" spans="1:5">
      <c r="C291">
        <v>32893</v>
      </c>
      <c r="D291" s="75">
        <v>32893</v>
      </c>
      <c r="E291" s="77">
        <f t="shared" si="6"/>
        <v>32893</v>
      </c>
    </row>
    <row r="292" spans="1:5">
      <c r="C292">
        <v>31273</v>
      </c>
      <c r="D292" s="75">
        <v>31273</v>
      </c>
      <c r="E292" s="77">
        <f t="shared" si="6"/>
        <v>31273</v>
      </c>
    </row>
    <row r="293" spans="1:5">
      <c r="C293">
        <v>69307</v>
      </c>
      <c r="D293" s="75">
        <v>69307</v>
      </c>
      <c r="E293" s="77">
        <f t="shared" si="6"/>
        <v>69307</v>
      </c>
    </row>
    <row r="294" spans="1:5">
      <c r="C294">
        <v>88403</v>
      </c>
      <c r="D294" s="75">
        <v>88403</v>
      </c>
      <c r="E294" s="77">
        <f t="shared" si="6"/>
        <v>88403</v>
      </c>
    </row>
    <row r="295" spans="1:5">
      <c r="C295">
        <v>72235</v>
      </c>
      <c r="D295" s="75">
        <v>72235</v>
      </c>
      <c r="E295" s="77">
        <f t="shared" si="6"/>
        <v>72235</v>
      </c>
    </row>
    <row r="296" spans="1:5">
      <c r="C296">
        <v>61574</v>
      </c>
      <c r="D296" s="75">
        <v>61574</v>
      </c>
      <c r="E296" s="77">
        <f t="shared" si="6"/>
        <v>61574</v>
      </c>
    </row>
    <row r="297" spans="1:5">
      <c r="C297">
        <v>57884</v>
      </c>
      <c r="D297" s="75">
        <v>57884</v>
      </c>
      <c r="E297" s="77">
        <f t="shared" si="6"/>
        <v>57884</v>
      </c>
    </row>
    <row r="298" spans="1:5">
      <c r="C298">
        <v>119905</v>
      </c>
      <c r="D298" s="75">
        <v>119905</v>
      </c>
      <c r="E298" s="77">
        <f t="shared" si="6"/>
        <v>119905</v>
      </c>
    </row>
    <row r="299" spans="1:5">
      <c r="C299">
        <v>100493</v>
      </c>
      <c r="D299" s="75">
        <v>100493</v>
      </c>
      <c r="E299" s="77">
        <f t="shared" si="6"/>
        <v>100493</v>
      </c>
    </row>
    <row r="300" spans="1:5">
      <c r="C300">
        <v>84305</v>
      </c>
      <c r="D300" s="75">
        <v>84305</v>
      </c>
      <c r="E300" s="77">
        <f>D300</f>
        <v>84305</v>
      </c>
    </row>
    <row r="304" spans="1:5" ht="29.25">
      <c r="A304" s="15" t="s">
        <v>4421</v>
      </c>
      <c r="C304" s="78" t="s">
        <v>4422</v>
      </c>
    </row>
    <row r="305" spans="3:12" ht="29.25">
      <c r="C305" s="15" t="str" cm="1">
        <f t="array" ref="C305:C329">_xlfn.UNIQUE(Sales[PRODUCT_NAME])</f>
        <v>Predator Helios</v>
      </c>
      <c r="D305" s="15" t="b" cm="1">
        <f t="array" ref="D305">SUM(--ISNUMBER(--MID(C305,ROW($1:$25),1)))&gt;0</f>
        <v>0</v>
      </c>
      <c r="E305" s="79" t="s">
        <v>4423</v>
      </c>
    </row>
    <row r="306" spans="3:12">
      <c r="C306" t="str">
        <v>Nothing Phone 2</v>
      </c>
      <c r="D306" s="15" t="b" cm="1">
        <f t="array" ref="D306">SUM(--ISNUMBER(--MID(C306,ROW($1:$25),1)))&gt;0</f>
        <v>1</v>
      </c>
    </row>
    <row r="307" spans="3:12">
      <c r="C307" t="str">
        <v>Redmi Note 12</v>
      </c>
      <c r="D307" s="15" t="b" cm="1">
        <f t="array" ref="D307">SUM(--ISNUMBER(--MID(C307,ROW($1:$25),1)))&gt;0</f>
        <v>1</v>
      </c>
    </row>
    <row r="308" spans="3:12">
      <c r="C308" t="str">
        <v>ROG Zephyrus</v>
      </c>
      <c r="D308" s="15" t="b" cm="1">
        <f t="array" ref="D308">SUM(--ISNUMBER(--MID(C308,ROW($1:$25),1)))&gt;0</f>
        <v>0</v>
      </c>
    </row>
    <row r="309" spans="3:12">
      <c r="C309" t="str">
        <v>ThinkPad E14</v>
      </c>
      <c r="D309" s="15" t="b" cm="1">
        <f t="array" ref="D309">SUM(--ISNUMBER(--MID(C309,ROW($1:$25),1)))&gt;0</f>
        <v>1</v>
      </c>
    </row>
    <row r="310" spans="3:12">
      <c r="C310" t="str">
        <v>Oppo Reno 10</v>
      </c>
      <c r="D310" s="15" t="b" cm="1">
        <f t="array" ref="D310">SUM(--ISNUMBER(--MID(C310,ROW($1:$25),1)))&gt;0</f>
        <v>1</v>
      </c>
    </row>
    <row r="311" spans="3:12">
      <c r="C311" t="str">
        <v>Inspiron 15</v>
      </c>
      <c r="D311" s="15" t="b" cm="1">
        <f t="array" ref="D311">SUM(--ISNUMBER(--MID(C311,ROW($1:$25),1)))&gt;0</f>
        <v>1</v>
      </c>
    </row>
    <row r="312" spans="3:12">
      <c r="C312" t="str">
        <v>Vivobook 15</v>
      </c>
      <c r="D312" s="15" t="b" cm="1">
        <f t="array" ref="D312">SUM(--ISNUMBER(--MID(C312,ROW($1:$25),1)))&gt;0</f>
        <v>1</v>
      </c>
    </row>
    <row r="313" spans="3:12">
      <c r="C313" t="str">
        <v>Pavilion 14</v>
      </c>
      <c r="D313" s="15" t="b" cm="1">
        <f t="array" ref="D313">SUM(--ISNUMBER(--MID(C313,ROW($1:$25),1)))&gt;0</f>
        <v>1</v>
      </c>
      <c r="K313" t="s">
        <v>4424</v>
      </c>
      <c r="L313" t="str" cm="1">
        <f t="array" ref="L313:L322">MID(K313,ROW($1:$10),1)</f>
        <v>H</v>
      </c>
    </row>
    <row r="314" spans="3:12">
      <c r="C314" t="str">
        <v>DELL</v>
      </c>
      <c r="D314" s="15" t="b" cm="1">
        <f t="array" ref="D314">SUM(--ISNUMBER(--MID(C314,ROW($1:$25),1)))&gt;0</f>
        <v>0</v>
      </c>
      <c r="L314" t="str">
        <v>E</v>
      </c>
    </row>
    <row r="315" spans="3:12">
      <c r="C315" t="str">
        <v>Galaxy S23</v>
      </c>
      <c r="D315" s="15" t="b" cm="1">
        <f t="array" ref="D315">SUM(--ISNUMBER(--MID(C315,ROW($1:$25),1)))&gt;0</f>
        <v>1</v>
      </c>
      <c r="L315" t="str">
        <v>L</v>
      </c>
    </row>
    <row r="316" spans="3:12">
      <c r="C316" t="str">
        <v>OnePlus 13</v>
      </c>
      <c r="D316" s="15" t="b" cm="1">
        <f t="array" ref="D316">SUM(--ISNUMBER(--MID(C316,ROW($1:$25),1)))&gt;0</f>
        <v>1</v>
      </c>
      <c r="L316" t="str">
        <v>L</v>
      </c>
    </row>
    <row r="317" spans="3:12">
      <c r="C317" t="str">
        <v>OnePlus 11</v>
      </c>
      <c r="D317" s="15" t="b" cm="1">
        <f t="array" ref="D317">SUM(--ISNUMBER(--MID(C317,ROW($1:$25),1)))&gt;0</f>
        <v>1</v>
      </c>
      <c r="L317" t="str">
        <v>O</v>
      </c>
    </row>
    <row r="318" spans="3:12">
      <c r="C318" t="str">
        <v>Modern 14</v>
      </c>
      <c r="D318" s="15" t="b" cm="1">
        <f t="array" ref="D318">SUM(--ISNUMBER(--MID(C318,ROW($1:$25),1)))&gt;0</f>
        <v>1</v>
      </c>
      <c r="L318" t="str">
        <v/>
      </c>
    </row>
    <row r="319" spans="3:12">
      <c r="C319" t="str">
        <v>GF63 Thin</v>
      </c>
      <c r="D319" s="15" t="b" cm="1">
        <f t="array" ref="D319">SUM(--ISNUMBER(--MID(C319,ROW($1:$25),1)))&gt;0</f>
        <v>1</v>
      </c>
      <c r="L319" t="str">
        <v/>
      </c>
    </row>
    <row r="320" spans="3:12">
      <c r="C320" t="str">
        <v>Aspire 5</v>
      </c>
      <c r="D320" s="15" t="b" cm="1">
        <f t="array" ref="D320">SUM(--ISNUMBER(--MID(C320,ROW($1:$25),1)))&gt;0</f>
        <v>1</v>
      </c>
      <c r="L320" t="str">
        <v/>
      </c>
    </row>
    <row r="321" spans="1:12">
      <c r="C321" t="str">
        <v>Omen 16</v>
      </c>
      <c r="D321" s="15" t="b" cm="1">
        <f t="array" ref="D321">SUM(--ISNUMBER(--MID(C321,ROW($1:$25),1)))&gt;0</f>
        <v>1</v>
      </c>
      <c r="L321" t="str">
        <v/>
      </c>
    </row>
    <row r="322" spans="1:12">
      <c r="C322" t="str">
        <v>Pixel 7</v>
      </c>
      <c r="D322" s="15" t="b" cm="1">
        <f t="array" ref="D322">SUM(--ISNUMBER(--MID(C322,ROW($1:$25),1)))&gt;0</f>
        <v>1</v>
      </c>
      <c r="L322" t="str">
        <v/>
      </c>
    </row>
    <row r="323" spans="1:12">
      <c r="C323" t="str">
        <v>XPS 13</v>
      </c>
      <c r="D323" s="15" t="b" cm="1">
        <f t="array" ref="D323">SUM(--ISNUMBER(--MID(C323,ROW($1:$25),1)))&gt;0</f>
        <v>1</v>
      </c>
    </row>
    <row r="324" spans="1:12">
      <c r="C324" t="str">
        <v>Realme GT Neo3</v>
      </c>
      <c r="D324" s="15" t="b" cm="1">
        <f t="array" ref="D324">SUM(--ISNUMBER(--MID(C324,ROW($1:$25),1)))&gt;0</f>
        <v>1</v>
      </c>
    </row>
    <row r="325" spans="1:12">
      <c r="C325" t="str">
        <v>IdeaPad Slim 5</v>
      </c>
      <c r="D325" s="15" t="b" cm="1">
        <f t="array" ref="D325">SUM(--ISNUMBER(--MID(C325,ROW($1:$25),1)))&gt;0</f>
        <v>1</v>
      </c>
    </row>
    <row r="326" spans="1:12">
      <c r="C326" t="str">
        <v>Moto Edge 40</v>
      </c>
      <c r="D326" s="15" t="b" cm="1">
        <f t="array" ref="D326">SUM(--ISNUMBER(--MID(C326,ROW($1:$25),1)))&gt;0</f>
        <v>1</v>
      </c>
    </row>
    <row r="327" spans="1:12">
      <c r="C327" t="str">
        <v>Vivo V27</v>
      </c>
      <c r="D327" s="15" t="b" cm="1">
        <f t="array" ref="D327">SUM(--ISNUMBER(--MID(C327,ROW($1:$25),1)))&gt;0</f>
        <v>1</v>
      </c>
    </row>
    <row r="328" spans="1:12">
      <c r="C328">
        <v>0</v>
      </c>
      <c r="D328" s="15" t="b" cm="1">
        <f t="array" ref="D328">SUM(--ISNUMBER(--MID(C328,ROW($1:$25),1)))&gt;0</f>
        <v>1</v>
      </c>
    </row>
    <row r="329" spans="1:12">
      <c r="C329" t="str">
        <v>iPhone 14</v>
      </c>
    </row>
    <row r="335" spans="1:12">
      <c r="A335" t="s">
        <v>4425</v>
      </c>
      <c r="C335" s="16" t="s">
        <v>4426</v>
      </c>
      <c r="D335" s="16" t="s">
        <v>4427</v>
      </c>
    </row>
    <row r="336" spans="1:12">
      <c r="C336" s="80" t="str" cm="1">
        <f t="array" ref="C336:C345">UPPER(_xlfn.UNIQUE(Sales[CITY]))</f>
        <v>TRIVANDRUM</v>
      </c>
      <c r="D336" s="80" t="str" cm="1">
        <f t="array" ref="D336:D346">PROPER(C336:C346)</f>
        <v>Trivandrum</v>
      </c>
    </row>
    <row r="337" spans="3:4">
      <c r="C337" s="80" t="str">
        <v>BANGALORE</v>
      </c>
      <c r="D337" s="80" t="str">
        <v>Bangalore</v>
      </c>
    </row>
    <row r="338" spans="3:4">
      <c r="C338" s="80" t="str">
        <v>KOCHI</v>
      </c>
      <c r="D338" s="80" t="str">
        <v>Kochi</v>
      </c>
    </row>
    <row r="339" spans="3:4">
      <c r="C339" s="80" t="str">
        <v>COIMBATORE</v>
      </c>
      <c r="D339" s="80" t="str">
        <v>Coimbatore</v>
      </c>
    </row>
    <row r="340" spans="3:4">
      <c r="C340" s="80" t="str">
        <v>VIJAYAWADA</v>
      </c>
      <c r="D340" s="80" t="str">
        <v>Vijayawada</v>
      </c>
    </row>
    <row r="341" spans="3:4">
      <c r="C341" s="80" t="str">
        <v>MADURAI</v>
      </c>
      <c r="D341" s="80" t="str">
        <v>Madurai</v>
      </c>
    </row>
    <row r="342" spans="3:4">
      <c r="C342" s="80" t="str">
        <v>HYDERABAD</v>
      </c>
      <c r="D342" s="80" t="str">
        <v>Hyderabad</v>
      </c>
    </row>
    <row r="343" spans="3:4">
      <c r="C343" s="80" t="str">
        <v>VISAKHAPATNAM</v>
      </c>
      <c r="D343" s="80" t="str">
        <v>Visakhapatnam</v>
      </c>
    </row>
    <row r="344" spans="3:4">
      <c r="C344" s="80" t="str">
        <v>CHENNAI</v>
      </c>
      <c r="D344" s="80" t="str">
        <v>Chennai</v>
      </c>
    </row>
    <row r="345" spans="3:4">
      <c r="C345" s="80" t="str">
        <v>MYSORE</v>
      </c>
      <c r="D345" s="80" t="str">
        <v>Mysore</v>
      </c>
    </row>
    <row r="346" spans="3:4">
      <c r="D346" t="str">
        <v/>
      </c>
    </row>
  </sheetData>
  <mergeCells count="1">
    <mergeCell ref="A1:Z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8AD23-4CCB-4125-A1F6-873CFFE034C6}">
  <dimension ref="A1:X937"/>
  <sheetViews>
    <sheetView topLeftCell="A926" workbookViewId="0">
      <selection activeCell="E937" sqref="E937"/>
    </sheetView>
  </sheetViews>
  <sheetFormatPr defaultRowHeight="15"/>
  <cols>
    <col min="1" max="1" width="44.7109375" customWidth="1"/>
    <col min="2" max="2" width="44.5703125" customWidth="1"/>
    <col min="3" max="3" width="49.85546875" customWidth="1"/>
    <col min="4" max="4" width="36.5703125" bestFit="1" customWidth="1"/>
    <col min="5" max="5" width="20.28515625" bestFit="1" customWidth="1"/>
    <col min="6" max="6" width="35" bestFit="1" customWidth="1"/>
  </cols>
  <sheetData>
    <row r="1" spans="1:24" ht="21">
      <c r="A1" s="103" t="s">
        <v>4428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</row>
    <row r="2" spans="1:24" ht="43.5">
      <c r="A2" s="15" t="s">
        <v>4429</v>
      </c>
      <c r="C2" s="38" t="s">
        <v>4430</v>
      </c>
      <c r="D2" s="38" t="s">
        <v>4431</v>
      </c>
    </row>
    <row r="3" spans="1:24">
      <c r="C3" s="1">
        <f ca="1">TODAY()</f>
        <v>45987</v>
      </c>
      <c r="D3" s="1">
        <f ca="1">WORKDAY(C3,10)</f>
        <v>46001</v>
      </c>
    </row>
    <row r="5" spans="1:24" ht="43.5">
      <c r="A5" s="15" t="s">
        <v>4432</v>
      </c>
      <c r="C5" s="38" t="s">
        <v>4433</v>
      </c>
      <c r="D5" s="38" t="s">
        <v>4434</v>
      </c>
      <c r="E5" s="38" t="s">
        <v>4435</v>
      </c>
    </row>
    <row r="6" spans="1:24">
      <c r="C6" s="1">
        <f ca="1">TODAY()-768</f>
        <v>45219</v>
      </c>
      <c r="D6" s="1">
        <f ca="1">TODAY()+678</f>
        <v>46665</v>
      </c>
      <c r="E6">
        <f ca="1">NETWORKDAYS(C6,D6)</f>
        <v>1033</v>
      </c>
    </row>
    <row r="9" spans="1:24" ht="29.25">
      <c r="A9" s="15" t="s">
        <v>4436</v>
      </c>
      <c r="C9" s="38" t="s">
        <v>4437</v>
      </c>
      <c r="D9" s="38" t="s">
        <v>4438</v>
      </c>
      <c r="E9" s="38" t="s">
        <v>4439</v>
      </c>
      <c r="F9" s="38" t="s">
        <v>4440</v>
      </c>
    </row>
    <row r="10" spans="1:24">
      <c r="C10" s="1">
        <v>45982</v>
      </c>
      <c r="D10" s="81"/>
      <c r="E10" s="1">
        <f>WORKDAY(C10,6)</f>
        <v>45992</v>
      </c>
      <c r="F10" s="1">
        <f ca="1">WORKDAY(C10,6,A13:A14)</f>
        <v>45993</v>
      </c>
    </row>
    <row r="12" spans="1:24">
      <c r="A12" s="38" t="s">
        <v>4441</v>
      </c>
    </row>
    <row r="13" spans="1:24">
      <c r="A13" s="81">
        <f ca="1">TODAY()+2</f>
        <v>45989</v>
      </c>
    </row>
    <row r="14" spans="1:24">
      <c r="A14" s="81">
        <f ca="1">TODAY()-3</f>
        <v>45984</v>
      </c>
    </row>
    <row r="18" spans="1:6" ht="29.25">
      <c r="A18" s="15" t="s">
        <v>4442</v>
      </c>
      <c r="C18" s="38" t="s">
        <v>4437</v>
      </c>
      <c r="D18" s="38" t="s">
        <v>4438</v>
      </c>
      <c r="E18" s="38" t="s">
        <v>4439</v>
      </c>
      <c r="F18" s="38" t="s">
        <v>4440</v>
      </c>
    </row>
    <row r="19" spans="1:6">
      <c r="C19" s="1">
        <v>45982</v>
      </c>
      <c r="D19" s="1">
        <v>45991</v>
      </c>
      <c r="E19">
        <f>NETWORKDAYS(C19,D19)</f>
        <v>6</v>
      </c>
      <c r="F19">
        <f ca="1">NETWORKDAYS(C19,D19,A13:A14)</f>
        <v>5</v>
      </c>
    </row>
    <row r="22" spans="1:6" ht="29.25">
      <c r="A22" s="15" t="s">
        <v>4443</v>
      </c>
      <c r="C22" s="38" t="s">
        <v>4444</v>
      </c>
      <c r="D22" s="38" t="s">
        <v>4445</v>
      </c>
      <c r="E22" s="38" t="s">
        <v>4446</v>
      </c>
    </row>
    <row r="23" spans="1:6">
      <c r="C23" s="1">
        <f ca="1">TODAY()-786</f>
        <v>45201</v>
      </c>
      <c r="D23" s="1">
        <f ca="1">TODAY()+567</f>
        <v>46554</v>
      </c>
      <c r="E23">
        <f ca="1">NETWORKDAYS(C23,D23)</f>
        <v>968</v>
      </c>
    </row>
    <row r="26" spans="1:6" ht="29.25">
      <c r="A26" s="15" t="s">
        <v>4447</v>
      </c>
      <c r="B26" t="s">
        <v>4448</v>
      </c>
      <c r="C26" t="s">
        <v>4449</v>
      </c>
      <c r="D26" t="s">
        <v>4450</v>
      </c>
      <c r="E26" t="s">
        <v>4451</v>
      </c>
    </row>
    <row r="27" spans="1:6">
      <c r="B27" s="1">
        <f ca="1">TODAY()</f>
        <v>45987</v>
      </c>
      <c r="C27" s="1">
        <f ca="1">EOMONTH(B27,-1)+1</f>
        <v>45962</v>
      </c>
      <c r="D27" s="1">
        <f ca="1">EOMONTH(B27,0)</f>
        <v>45991</v>
      </c>
      <c r="E27">
        <f ca="1">NETWORKDAYS(C27,D27)</f>
        <v>20</v>
      </c>
    </row>
    <row r="30" spans="1:6" ht="29.25">
      <c r="A30" s="15" t="s">
        <v>4452</v>
      </c>
      <c r="B30" s="82" t="s">
        <v>4453</v>
      </c>
      <c r="D30" t="s">
        <v>4454</v>
      </c>
    </row>
    <row r="31" spans="1:6">
      <c r="B31" s="83" t="s">
        <v>2</v>
      </c>
      <c r="D31" s="15" t="str">
        <f>IF(ISNUMBER(MATCH(B31, {"Andhra Pradesh","Telangana","Karnataka","Tamil Nadu","Kerala","Puducherry"}, 0)),
"SOUTH",
"NORTH")</f>
        <v>SOUTH</v>
      </c>
    </row>
    <row r="32" spans="1:6" ht="29.25">
      <c r="B32" s="83" t="s">
        <v>4455</v>
      </c>
      <c r="D32" s="15" t="str">
        <f>IF(ISNUMBER(MATCH(B32, {"Andhra Pradesh","Telangana","Karnataka","Tamil Nadu","Kerala","Puducherry"}, 0)),
"SOUTH",
"NORTH")</f>
        <v>NORTH</v>
      </c>
    </row>
    <row r="33" spans="2:4">
      <c r="B33" s="83" t="s">
        <v>4456</v>
      </c>
      <c r="D33" s="15" t="str">
        <f>IF(ISNUMBER(MATCH(B33, {"Andhra Pradesh","Telangana","Karnataka","Tamil Nadu","Kerala","Puducherry"}, 0)),
"SOUTH",
"NORTH")</f>
        <v>NORTH</v>
      </c>
    </row>
    <row r="34" spans="2:4">
      <c r="B34" s="83" t="s">
        <v>4457</v>
      </c>
      <c r="D34" s="15" t="str">
        <f>IF(ISNUMBER(MATCH(B34, {"Andhra Pradesh","Telangana","Karnataka","Tamil Nadu","Kerala","Puducherry"}, 0)),
"SOUTH",
"NORTH")</f>
        <v>NORTH</v>
      </c>
    </row>
    <row r="35" spans="2:4">
      <c r="B35" s="83" t="s">
        <v>4458</v>
      </c>
      <c r="D35" s="15" t="str">
        <f>IF(ISNUMBER(MATCH(B35, {"Andhra Pradesh","Telangana","Karnataka","Tamil Nadu","Kerala","Puducherry"}, 0)),
"SOUTH",
"NORTH")</f>
        <v>NORTH</v>
      </c>
    </row>
    <row r="36" spans="2:4">
      <c r="B36" s="83" t="s">
        <v>4459</v>
      </c>
      <c r="D36" s="15" t="str">
        <f>IF(ISNUMBER(MATCH(B36, {"Andhra Pradesh","Telangana","Karnataka","Tamil Nadu","Kerala","Puducherry"}, 0)),
"SOUTH",
"NORTH")</f>
        <v>NORTH</v>
      </c>
    </row>
    <row r="37" spans="2:4">
      <c r="B37" s="83" t="s">
        <v>4460</v>
      </c>
      <c r="D37" s="15" t="str">
        <f>IF(ISNUMBER(MATCH(B37, {"Andhra Pradesh","Telangana","Karnataka","Tamil Nadu","Kerala","Puducherry"}, 0)),
"SOUTH",
"NORTH")</f>
        <v>NORTH</v>
      </c>
    </row>
    <row r="38" spans="2:4">
      <c r="B38" s="83" t="s">
        <v>4461</v>
      </c>
      <c r="D38" s="15" t="str">
        <f>IF(ISNUMBER(MATCH(B38, {"Andhra Pradesh","Telangana","Karnataka","Tamil Nadu","Kerala","Puducherry"}, 0)),
"SOUTH",
"NORTH")</f>
        <v>NORTH</v>
      </c>
    </row>
    <row r="39" spans="2:4">
      <c r="B39" s="83" t="s">
        <v>4462</v>
      </c>
      <c r="D39" s="15" t="str">
        <f>IF(ISNUMBER(MATCH(B39, {"Andhra Pradesh","Telangana","Karnataka","Tamil Nadu","Kerala","Puducherry"}, 0)),
"SOUTH",
"NORTH")</f>
        <v>NORTH</v>
      </c>
    </row>
    <row r="40" spans="2:4">
      <c r="B40" s="83" t="s">
        <v>4463</v>
      </c>
      <c r="D40" s="15" t="str">
        <f>IF(ISNUMBER(MATCH(B40, {"Andhra Pradesh","Telangana","Karnataka","Tamil Nadu","Kerala","Puducherry"}, 0)),
"SOUTH",
"NORTH")</f>
        <v>NORTH</v>
      </c>
    </row>
    <row r="41" spans="2:4">
      <c r="B41" s="83" t="s">
        <v>3</v>
      </c>
      <c r="D41" s="15" t="str">
        <f>IF(ISNUMBER(MATCH(B41, {"Andhra Pradesh","Telangana","Karnataka","Tamil Nadu","Kerala","Puducherry"}, 0)),
"SOUTH",
"NORTH")</f>
        <v>SOUTH</v>
      </c>
    </row>
    <row r="42" spans="2:4">
      <c r="B42" s="83" t="s">
        <v>4</v>
      </c>
      <c r="D42" s="15" t="str">
        <f>IF(ISNUMBER(MATCH(B42, {"Andhra Pradesh","Telangana","Karnataka","Tamil Nadu","Kerala","Puducherry"}, 0)),
"SOUTH",
"NORTH")</f>
        <v>SOUTH</v>
      </c>
    </row>
    <row r="43" spans="2:4">
      <c r="B43" s="83" t="s">
        <v>4464</v>
      </c>
      <c r="D43" s="15" t="str">
        <f>IF(ISNUMBER(MATCH(B43, {"Andhra Pradesh","Telangana","Karnataka","Tamil Nadu","Kerala","Puducherry"}, 0)),
"SOUTH",
"NORTH")</f>
        <v>NORTH</v>
      </c>
    </row>
    <row r="44" spans="2:4">
      <c r="B44" s="83" t="s">
        <v>4465</v>
      </c>
      <c r="D44" s="15" t="str">
        <f>IF(ISNUMBER(MATCH(B44, {"Andhra Pradesh","Telangana","Karnataka","Tamil Nadu","Kerala","Puducherry"}, 0)),
"SOUTH",
"NORTH")</f>
        <v>NORTH</v>
      </c>
    </row>
    <row r="45" spans="2:4">
      <c r="B45" s="83" t="s">
        <v>4466</v>
      </c>
      <c r="D45" s="15" t="str">
        <f>IF(ISNUMBER(MATCH(B45, {"Andhra Pradesh","Telangana","Karnataka","Tamil Nadu","Kerala","Puducherry"}, 0)),
"SOUTH",
"NORTH")</f>
        <v>NORTH</v>
      </c>
    </row>
    <row r="46" spans="2:4">
      <c r="B46" s="83" t="s">
        <v>4467</v>
      </c>
      <c r="D46" s="15" t="str">
        <f>IF(ISNUMBER(MATCH(B46, {"Andhra Pradesh","Telangana","Karnataka","Tamil Nadu","Kerala","Puducherry"}, 0)),
"SOUTH",
"NORTH")</f>
        <v>NORTH</v>
      </c>
    </row>
    <row r="47" spans="2:4">
      <c r="B47" s="83" t="s">
        <v>4468</v>
      </c>
      <c r="D47" s="15" t="str">
        <f>IF(ISNUMBER(MATCH(B47, {"Andhra Pradesh","Telangana","Karnataka","Tamil Nadu","Kerala","Puducherry"}, 0)),
"SOUTH",
"NORTH")</f>
        <v>NORTH</v>
      </c>
    </row>
    <row r="48" spans="2:4">
      <c r="B48" s="83" t="s">
        <v>4469</v>
      </c>
      <c r="D48" s="15" t="str">
        <f>IF(ISNUMBER(MATCH(B48, {"Andhra Pradesh","Telangana","Karnataka","Tamil Nadu","Kerala","Puducherry"}, 0)),
"SOUTH",
"NORTH")</f>
        <v>NORTH</v>
      </c>
    </row>
    <row r="49" spans="1:4">
      <c r="B49" s="83" t="s">
        <v>4470</v>
      </c>
      <c r="D49" s="15" t="str">
        <f>IF(ISNUMBER(MATCH(B49, {"Andhra Pradesh","Telangana","Karnataka","Tamil Nadu","Kerala","Puducherry"}, 0)),
"SOUTH",
"NORTH")</f>
        <v>NORTH</v>
      </c>
    </row>
    <row r="50" spans="1:4">
      <c r="B50" s="83" t="s">
        <v>4471</v>
      </c>
      <c r="D50" s="15" t="str">
        <f>IF(ISNUMBER(MATCH(B50, {"Andhra Pradesh","Telangana","Karnataka","Tamil Nadu","Kerala","Puducherry"}, 0)),
"SOUTH",
"NORTH")</f>
        <v>NORTH</v>
      </c>
    </row>
    <row r="51" spans="1:4">
      <c r="B51" s="83" t="s">
        <v>4472</v>
      </c>
      <c r="D51" s="15" t="str">
        <f>IF(ISNUMBER(MATCH(B51, {"Andhra Pradesh","Telangana","Karnataka","Tamil Nadu","Kerala","Puducherry"}, 0)),
"SOUTH",
"NORTH")</f>
        <v>NORTH</v>
      </c>
    </row>
    <row r="52" spans="1:4">
      <c r="B52" s="83" t="s">
        <v>4473</v>
      </c>
      <c r="D52" s="15" t="str">
        <f>IF(ISNUMBER(MATCH(B52, {"Andhra Pradesh","Telangana","Karnataka","Tamil Nadu","Kerala","Puducherry"}, 0)),
"SOUTH",
"NORTH")</f>
        <v>NORTH</v>
      </c>
    </row>
    <row r="53" spans="1:4">
      <c r="B53" s="83" t="s">
        <v>5</v>
      </c>
      <c r="D53" s="15" t="str">
        <f>IF(ISNUMBER(MATCH(B53, {"Andhra Pradesh","Telangana","Karnataka","Tamil Nadu","Kerala","Puducherry"}, 0)),
"SOUTH",
"NORTH")</f>
        <v>SOUTH</v>
      </c>
    </row>
    <row r="54" spans="1:4">
      <c r="B54" s="83" t="s">
        <v>6</v>
      </c>
      <c r="D54" s="15" t="str">
        <f>IF(ISNUMBER(MATCH(B54, {"Andhra Pradesh","Telangana","Karnataka","Tamil Nadu","Kerala","Puducherry"}, 0)),
"SOUTH",
"NORTH")</f>
        <v>SOUTH</v>
      </c>
    </row>
    <row r="55" spans="1:4">
      <c r="B55" s="83" t="s">
        <v>4474</v>
      </c>
      <c r="D55" s="15" t="str">
        <f>IF(ISNUMBER(MATCH(B55, {"Andhra Pradesh","Telangana","Karnataka","Tamil Nadu","Kerala","Puducherry"}, 0)),
"SOUTH",
"NORTH")</f>
        <v>NORTH</v>
      </c>
    </row>
    <row r="56" spans="1:4">
      <c r="B56" s="83" t="s">
        <v>4475</v>
      </c>
      <c r="D56" s="15" t="str">
        <f>IF(ISNUMBER(MATCH(B56, {"Andhra Pradesh","Telangana","Karnataka","Tamil Nadu","Kerala","Puducherry"}, 0)),
"SOUTH",
"NORTH")</f>
        <v>NORTH</v>
      </c>
    </row>
    <row r="57" spans="1:4">
      <c r="B57" s="83" t="s">
        <v>4476</v>
      </c>
      <c r="D57" s="15" t="str">
        <f>IF(ISNUMBER(MATCH(B57, {"Andhra Pradesh","Telangana","Karnataka","Tamil Nadu","Kerala","Puducherry"}, 0)),
"SOUTH",
"NORTH")</f>
        <v>NORTH</v>
      </c>
    </row>
    <row r="58" spans="1:4">
      <c r="B58" s="83" t="s">
        <v>4477</v>
      </c>
      <c r="D58" s="15" t="str">
        <f>IF(ISNUMBER(MATCH(B58, {"Andhra Pradesh","Telangana","Karnataka","Tamil Nadu","Kerala","Puducherry"}, 0)),
"SOUTH",
"NORTH")</f>
        <v>NORTH</v>
      </c>
    </row>
    <row r="62" spans="1:4" ht="29.25">
      <c r="A62" s="15" t="s">
        <v>4478</v>
      </c>
      <c r="B62" t="s">
        <v>4479</v>
      </c>
      <c r="C62" t="s">
        <v>4480</v>
      </c>
    </row>
    <row r="63" spans="1:4">
      <c r="B63" cm="1">
        <f t="array" ref="B63:B222">Sales[PRICE_PER_UNIT]</f>
        <v>62011</v>
      </c>
      <c r="C63" t="str" cm="1">
        <f t="array" ref="C63">_xlfn.IFS(B63&gt;=50000,"HIGH",B63&gt;=25000,"MEDIUM",B63&lt;25000,"LOW")</f>
        <v>HIGH</v>
      </c>
    </row>
    <row r="64" spans="1:4">
      <c r="B64">
        <v>56642</v>
      </c>
      <c r="C64" t="str" cm="1">
        <f t="array" ref="C64">_xlfn.IFS(B64&gt;=50000,"HIGH",B64&gt;=25000,"MEDIUM",B64&lt;25000,"LOW")</f>
        <v>HIGH</v>
      </c>
    </row>
    <row r="65" spans="1:3">
      <c r="B65">
        <v>53967</v>
      </c>
      <c r="C65" t="str" cm="1">
        <f t="array" ref="C65">_xlfn.IFS(B65&gt;=50000,"HIGH",B65&gt;=25000,"MEDIUM",B65&lt;25000,"LOW")</f>
        <v>HIGH</v>
      </c>
    </row>
    <row r="66" spans="1:3">
      <c r="A66" t="s">
        <v>4363</v>
      </c>
      <c r="B66">
        <v>91084</v>
      </c>
      <c r="C66" t="str" cm="1">
        <f t="array" ref="C66">_xlfn.IFS(B66&gt;=50000,"HIGH",B66&gt;=25000,"MEDIUM",B66&lt;25000,"LOW")</f>
        <v>HIGH</v>
      </c>
    </row>
    <row r="67" spans="1:3">
      <c r="A67" t="s">
        <v>4364</v>
      </c>
      <c r="B67">
        <v>104901</v>
      </c>
      <c r="C67" t="str" cm="1">
        <f t="array" ref="C67">_xlfn.IFS(B67&gt;=50000,"HIGH",B67&gt;=25000,"MEDIUM",B67&lt;25000,"LOW")</f>
        <v>HIGH</v>
      </c>
    </row>
    <row r="68" spans="1:3">
      <c r="A68" t="s">
        <v>4365</v>
      </c>
      <c r="B68">
        <v>87400</v>
      </c>
      <c r="C68" t="str" cm="1">
        <f t="array" ref="C68">_xlfn.IFS(B68&gt;=50000,"HIGH",B68&gt;=25000,"MEDIUM",B68&lt;25000,"LOW")</f>
        <v>HIGH</v>
      </c>
    </row>
    <row r="69" spans="1:3">
      <c r="B69">
        <v>79624</v>
      </c>
      <c r="C69" t="str" cm="1">
        <f t="array" ref="C69">_xlfn.IFS(B69&gt;=50000,"HIGH",B69&gt;=25000,"MEDIUM",B69&lt;25000,"LOW")</f>
        <v>HIGH</v>
      </c>
    </row>
    <row r="70" spans="1:3">
      <c r="B70">
        <v>26045</v>
      </c>
      <c r="C70" t="str" cm="1">
        <f t="array" ref="C70">_xlfn.IFS(B70&gt;=50000,"HIGH",B70&gt;=25000,"MEDIUM",B70&lt;25000,"LOW")</f>
        <v>MEDIUM</v>
      </c>
    </row>
    <row r="71" spans="1:3">
      <c r="B71">
        <v>67954</v>
      </c>
      <c r="C71" t="str" cm="1">
        <f t="array" ref="C71">_xlfn.IFS(B71&gt;=50000,"HIGH",B71&gt;=25000,"MEDIUM",B71&lt;25000,"LOW")</f>
        <v>HIGH</v>
      </c>
    </row>
    <row r="72" spans="1:3">
      <c r="B72">
        <v>95837</v>
      </c>
      <c r="C72" t="str" cm="1">
        <f t="array" ref="C72">_xlfn.IFS(B72&gt;=50000,"HIGH",B72&gt;=25000,"MEDIUM",B72&lt;25000,"LOW")</f>
        <v>HIGH</v>
      </c>
    </row>
    <row r="73" spans="1:3">
      <c r="B73">
        <v>55340</v>
      </c>
      <c r="C73" t="str" cm="1">
        <f t="array" ref="C73">_xlfn.IFS(B73&gt;=50000,"HIGH",B73&gt;=25000,"MEDIUM",B73&lt;25000,"LOW")</f>
        <v>HIGH</v>
      </c>
    </row>
    <row r="74" spans="1:3">
      <c r="B74">
        <v>71100</v>
      </c>
      <c r="C74" t="str" cm="1">
        <f t="array" ref="C74">_xlfn.IFS(B74&gt;=50000,"HIGH",B74&gt;=25000,"MEDIUM",B74&lt;25000,"LOW")</f>
        <v>HIGH</v>
      </c>
    </row>
    <row r="75" spans="1:3">
      <c r="B75">
        <v>113267</v>
      </c>
      <c r="C75" t="str" cm="1">
        <f t="array" ref="C75">_xlfn.IFS(B75&gt;=50000,"HIGH",B75&gt;=25000,"MEDIUM",B75&lt;25000,"LOW")</f>
        <v>HIGH</v>
      </c>
    </row>
    <row r="76" spans="1:3">
      <c r="B76">
        <v>110308</v>
      </c>
      <c r="C76" t="str" cm="1">
        <f t="array" ref="C76">_xlfn.IFS(B76&gt;=50000,"HIGH",B76&gt;=25000,"MEDIUM",B76&lt;25000,"LOW")</f>
        <v>HIGH</v>
      </c>
    </row>
    <row r="77" spans="1:3">
      <c r="B77">
        <v>45458</v>
      </c>
      <c r="C77" t="str" cm="1">
        <f t="array" ref="C77">_xlfn.IFS(B77&gt;=50000,"HIGH",B77&gt;=25000,"MEDIUM",B77&lt;25000,"LOW")</f>
        <v>MEDIUM</v>
      </c>
    </row>
    <row r="78" spans="1:3">
      <c r="B78">
        <v>57429</v>
      </c>
      <c r="C78" t="str" cm="1">
        <f t="array" ref="C78">_xlfn.IFS(B78&gt;=50000,"HIGH",B78&gt;=25000,"MEDIUM",B78&lt;25000,"LOW")</f>
        <v>HIGH</v>
      </c>
    </row>
    <row r="79" spans="1:3">
      <c r="B79">
        <v>33402</v>
      </c>
      <c r="C79" t="str" cm="1">
        <f t="array" ref="C79">_xlfn.IFS(B79&gt;=50000,"HIGH",B79&gt;=25000,"MEDIUM",B79&lt;25000,"LOW")</f>
        <v>MEDIUM</v>
      </c>
    </row>
    <row r="80" spans="1:3">
      <c r="B80">
        <v>57381</v>
      </c>
      <c r="C80" t="str" cm="1">
        <f t="array" ref="C80">_xlfn.IFS(B80&gt;=50000,"HIGH",B80&gt;=25000,"MEDIUM",B80&lt;25000,"LOW")</f>
        <v>HIGH</v>
      </c>
    </row>
    <row r="81" spans="2:3">
      <c r="B81">
        <v>28161</v>
      </c>
      <c r="C81" t="str" cm="1">
        <f t="array" ref="C81">_xlfn.IFS(B81&gt;=50000,"HIGH",B81&gt;=25000,"MEDIUM",B81&lt;25000,"LOW")</f>
        <v>MEDIUM</v>
      </c>
    </row>
    <row r="82" spans="2:3">
      <c r="B82">
        <v>100663</v>
      </c>
      <c r="C82" t="str" cm="1">
        <f t="array" ref="C82">_xlfn.IFS(B82&gt;=50000,"HIGH",B82&gt;=25000,"MEDIUM",B82&lt;25000,"LOW")</f>
        <v>HIGH</v>
      </c>
    </row>
    <row r="83" spans="2:3">
      <c r="B83">
        <v>107793</v>
      </c>
      <c r="C83" t="str" cm="1">
        <f t="array" ref="C83">_xlfn.IFS(B83&gt;=50000,"HIGH",B83&gt;=25000,"MEDIUM",B83&lt;25000,"LOW")</f>
        <v>HIGH</v>
      </c>
    </row>
    <row r="84" spans="2:3">
      <c r="B84">
        <v>95552</v>
      </c>
      <c r="C84" t="str" cm="1">
        <f t="array" ref="C84">_xlfn.IFS(B84&gt;=50000,"HIGH",B84&gt;=25000,"MEDIUM",B84&lt;25000,"LOW")</f>
        <v>HIGH</v>
      </c>
    </row>
    <row r="85" spans="2:3">
      <c r="B85">
        <v>89611</v>
      </c>
      <c r="C85" t="str" cm="1">
        <f t="array" ref="C85">_xlfn.IFS(B85&gt;=50000,"HIGH",B85&gt;=25000,"MEDIUM",B85&lt;25000,"LOW")</f>
        <v>HIGH</v>
      </c>
    </row>
    <row r="86" spans="2:3">
      <c r="B86">
        <v>62573</v>
      </c>
      <c r="C86" t="str" cm="1">
        <f t="array" ref="C86">_xlfn.IFS(B86&gt;=50000,"HIGH",B86&gt;=25000,"MEDIUM",B86&lt;25000,"LOW")</f>
        <v>HIGH</v>
      </c>
    </row>
    <row r="87" spans="2:3">
      <c r="B87">
        <v>87968</v>
      </c>
      <c r="C87" t="str" cm="1">
        <f t="array" ref="C87">_xlfn.IFS(B87&gt;=50000,"HIGH",B87&gt;=25000,"MEDIUM",B87&lt;25000,"LOW")</f>
        <v>HIGH</v>
      </c>
    </row>
    <row r="88" spans="2:3">
      <c r="B88">
        <v>58053</v>
      </c>
      <c r="C88" t="str" cm="1">
        <f t="array" ref="C88">_xlfn.IFS(B88&gt;=50000,"HIGH",B88&gt;=25000,"MEDIUM",B88&lt;25000,"LOW")</f>
        <v>HIGH</v>
      </c>
    </row>
    <row r="89" spans="2:3">
      <c r="B89">
        <v>116551</v>
      </c>
      <c r="C89" t="str" cm="1">
        <f t="array" ref="C89">_xlfn.IFS(B89&gt;=50000,"HIGH",B89&gt;=25000,"MEDIUM",B89&lt;25000,"LOW")</f>
        <v>HIGH</v>
      </c>
    </row>
    <row r="90" spans="2:3">
      <c r="B90">
        <v>62500</v>
      </c>
      <c r="C90" t="str" cm="1">
        <f t="array" ref="C90">_xlfn.IFS(B90&gt;=50000,"HIGH",B90&gt;=25000,"MEDIUM",B90&lt;25000,"LOW")</f>
        <v>HIGH</v>
      </c>
    </row>
    <row r="91" spans="2:3">
      <c r="B91">
        <v>13403</v>
      </c>
      <c r="C91" t="str" cm="1">
        <f t="array" ref="C91">_xlfn.IFS(B91&gt;=50000,"HIGH",B91&gt;=25000,"MEDIUM",B91&lt;25000,"LOW")</f>
        <v>LOW</v>
      </c>
    </row>
    <row r="92" spans="2:3">
      <c r="B92">
        <v>71406</v>
      </c>
      <c r="C92" t="str" cm="1">
        <f t="array" ref="C92">_xlfn.IFS(B92&gt;=50000,"HIGH",B92&gt;=25000,"MEDIUM",B92&lt;25000,"LOW")</f>
        <v>HIGH</v>
      </c>
    </row>
    <row r="93" spans="2:3">
      <c r="B93">
        <v>68983</v>
      </c>
      <c r="C93" t="str" cm="1">
        <f t="array" ref="C93">_xlfn.IFS(B93&gt;=50000,"HIGH",B93&gt;=25000,"MEDIUM",B93&lt;25000,"LOW")</f>
        <v>HIGH</v>
      </c>
    </row>
    <row r="94" spans="2:3">
      <c r="B94">
        <v>54984</v>
      </c>
      <c r="C94" t="str" cm="1">
        <f t="array" ref="C94">_xlfn.IFS(B94&gt;=50000,"HIGH",B94&gt;=25000,"MEDIUM",B94&lt;25000,"LOW")</f>
        <v>HIGH</v>
      </c>
    </row>
    <row r="95" spans="2:3">
      <c r="B95">
        <v>23594</v>
      </c>
      <c r="C95" t="str" cm="1">
        <f t="array" ref="C95">_xlfn.IFS(B95&gt;=50000,"HIGH",B95&gt;=25000,"MEDIUM",B95&lt;25000,"LOW")</f>
        <v>LOW</v>
      </c>
    </row>
    <row r="96" spans="2:3">
      <c r="B96">
        <v>22456</v>
      </c>
      <c r="C96" t="str" cm="1">
        <f t="array" ref="C96">_xlfn.IFS(B96&gt;=50000,"HIGH",B96&gt;=25000,"MEDIUM",B96&lt;25000,"LOW")</f>
        <v>LOW</v>
      </c>
    </row>
    <row r="97" spans="2:3">
      <c r="B97">
        <v>65659</v>
      </c>
      <c r="C97" t="str" cm="1">
        <f t="array" ref="C97">_xlfn.IFS(B97&gt;=50000,"HIGH",B97&gt;=25000,"MEDIUM",B97&lt;25000,"LOW")</f>
        <v>HIGH</v>
      </c>
    </row>
    <row r="98" spans="2:3">
      <c r="B98">
        <v>103163</v>
      </c>
      <c r="C98" t="str" cm="1">
        <f t="array" ref="C98">_xlfn.IFS(B98&gt;=50000,"HIGH",B98&gt;=25000,"MEDIUM",B98&lt;25000,"LOW")</f>
        <v>HIGH</v>
      </c>
    </row>
    <row r="99" spans="2:3">
      <c r="B99">
        <v>61702</v>
      </c>
      <c r="C99" t="str" cm="1">
        <f t="array" ref="C99">_xlfn.IFS(B99&gt;=50000,"HIGH",B99&gt;=25000,"MEDIUM",B99&lt;25000,"LOW")</f>
        <v>HIGH</v>
      </c>
    </row>
    <row r="100" spans="2:3">
      <c r="B100">
        <v>95916</v>
      </c>
      <c r="C100" t="str" cm="1">
        <f t="array" ref="C100">_xlfn.IFS(B100&gt;=50000,"HIGH",B100&gt;=25000,"MEDIUM",B100&lt;25000,"LOW")</f>
        <v>HIGH</v>
      </c>
    </row>
    <row r="101" spans="2:3">
      <c r="B101">
        <v>66725</v>
      </c>
      <c r="C101" t="str" cm="1">
        <f t="array" ref="C101">_xlfn.IFS(B101&gt;=50000,"HIGH",B101&gt;=25000,"MEDIUM",B101&lt;25000,"LOW")</f>
        <v>HIGH</v>
      </c>
    </row>
    <row r="102" spans="2:3">
      <c r="B102">
        <v>79393</v>
      </c>
      <c r="C102" t="str" cm="1">
        <f t="array" ref="C102">_xlfn.IFS(B102&gt;=50000,"HIGH",B102&gt;=25000,"MEDIUM",B102&lt;25000,"LOW")</f>
        <v>HIGH</v>
      </c>
    </row>
    <row r="103" spans="2:3">
      <c r="B103">
        <v>26124</v>
      </c>
      <c r="C103" t="str" cm="1">
        <f t="array" ref="C103">_xlfn.IFS(B103&gt;=50000,"HIGH",B103&gt;=25000,"MEDIUM",B103&lt;25000,"LOW")</f>
        <v>MEDIUM</v>
      </c>
    </row>
    <row r="104" spans="2:3">
      <c r="B104">
        <v>25166</v>
      </c>
      <c r="C104" t="str" cm="1">
        <f t="array" ref="C104">_xlfn.IFS(B104&gt;=50000,"HIGH",B104&gt;=25000,"MEDIUM",B104&lt;25000,"LOW")</f>
        <v>MEDIUM</v>
      </c>
    </row>
    <row r="105" spans="2:3">
      <c r="B105">
        <v>87933</v>
      </c>
      <c r="C105" t="str" cm="1">
        <f t="array" ref="C105">_xlfn.IFS(B105&gt;=50000,"HIGH",B105&gt;=25000,"MEDIUM",B105&lt;25000,"LOW")</f>
        <v>HIGH</v>
      </c>
    </row>
    <row r="106" spans="2:3">
      <c r="B106">
        <v>23297</v>
      </c>
      <c r="C106" t="str" cm="1">
        <f t="array" ref="C106">_xlfn.IFS(B106&gt;=50000,"HIGH",B106&gt;=25000,"MEDIUM",B106&lt;25000,"LOW")</f>
        <v>LOW</v>
      </c>
    </row>
    <row r="107" spans="2:3">
      <c r="B107">
        <v>87672</v>
      </c>
      <c r="C107" t="str" cm="1">
        <f t="array" ref="C107">_xlfn.IFS(B107&gt;=50000,"HIGH",B107&gt;=25000,"MEDIUM",B107&lt;25000,"LOW")</f>
        <v>HIGH</v>
      </c>
    </row>
    <row r="108" spans="2:3">
      <c r="B108">
        <v>84444</v>
      </c>
      <c r="C108" t="str" cm="1">
        <f t="array" ref="C108">_xlfn.IFS(B108&gt;=50000,"HIGH",B108&gt;=25000,"MEDIUM",B108&lt;25000,"LOW")</f>
        <v>HIGH</v>
      </c>
    </row>
    <row r="109" spans="2:3">
      <c r="B109">
        <v>96499</v>
      </c>
      <c r="C109" t="str" cm="1">
        <f t="array" ref="C109">_xlfn.IFS(B109&gt;=50000,"HIGH",B109&gt;=25000,"MEDIUM",B109&lt;25000,"LOW")</f>
        <v>HIGH</v>
      </c>
    </row>
    <row r="110" spans="2:3">
      <c r="B110">
        <v>92592</v>
      </c>
      <c r="C110" t="str" cm="1">
        <f t="array" ref="C110">_xlfn.IFS(B110&gt;=50000,"HIGH",B110&gt;=25000,"MEDIUM",B110&lt;25000,"LOW")</f>
        <v>HIGH</v>
      </c>
    </row>
    <row r="111" spans="2:3">
      <c r="B111">
        <v>65907</v>
      </c>
      <c r="C111" t="str" cm="1">
        <f t="array" ref="C111">_xlfn.IFS(B111&gt;=50000,"HIGH",B111&gt;=25000,"MEDIUM",B111&lt;25000,"LOW")</f>
        <v>HIGH</v>
      </c>
    </row>
    <row r="112" spans="2:3">
      <c r="B112">
        <v>60349</v>
      </c>
      <c r="C112" t="str" cm="1">
        <f t="array" ref="C112">_xlfn.IFS(B112&gt;=50000,"HIGH",B112&gt;=25000,"MEDIUM",B112&lt;25000,"LOW")</f>
        <v>HIGH</v>
      </c>
    </row>
    <row r="113" spans="2:3">
      <c r="B113">
        <v>115162</v>
      </c>
      <c r="C113" t="str" cm="1">
        <f t="array" ref="C113">_xlfn.IFS(B113&gt;=50000,"HIGH",B113&gt;=25000,"MEDIUM",B113&lt;25000,"LOW")</f>
        <v>HIGH</v>
      </c>
    </row>
    <row r="114" spans="2:3">
      <c r="B114">
        <v>30710</v>
      </c>
      <c r="C114" t="str" cm="1">
        <f t="array" ref="C114">_xlfn.IFS(B114&gt;=50000,"HIGH",B114&gt;=25000,"MEDIUM",B114&lt;25000,"LOW")</f>
        <v>MEDIUM</v>
      </c>
    </row>
    <row r="115" spans="2:3">
      <c r="B115">
        <v>22816</v>
      </c>
      <c r="C115" t="str" cm="1">
        <f t="array" ref="C115">_xlfn.IFS(B115&gt;=50000,"HIGH",B115&gt;=25000,"MEDIUM",B115&lt;25000,"LOW")</f>
        <v>LOW</v>
      </c>
    </row>
    <row r="116" spans="2:3">
      <c r="B116">
        <v>119589</v>
      </c>
      <c r="C116" t="str" cm="1">
        <f t="array" ref="C116">_xlfn.IFS(B116&gt;=50000,"HIGH",B116&gt;=25000,"MEDIUM",B116&lt;25000,"LOW")</f>
        <v>HIGH</v>
      </c>
    </row>
    <row r="117" spans="2:3">
      <c r="B117">
        <v>117107</v>
      </c>
      <c r="C117" t="str" cm="1">
        <f t="array" ref="C117">_xlfn.IFS(B117&gt;=50000,"HIGH",B117&gt;=25000,"MEDIUM",B117&lt;25000,"LOW")</f>
        <v>HIGH</v>
      </c>
    </row>
    <row r="118" spans="2:3">
      <c r="B118">
        <v>83072</v>
      </c>
      <c r="C118" t="str" cm="1">
        <f t="array" ref="C118">_xlfn.IFS(B118&gt;=50000,"HIGH",B118&gt;=25000,"MEDIUM",B118&lt;25000,"LOW")</f>
        <v>HIGH</v>
      </c>
    </row>
    <row r="119" spans="2:3">
      <c r="B119">
        <v>50654</v>
      </c>
      <c r="C119" t="str" cm="1">
        <f t="array" ref="C119">_xlfn.IFS(B119&gt;=50000,"HIGH",B119&gt;=25000,"MEDIUM",B119&lt;25000,"LOW")</f>
        <v>HIGH</v>
      </c>
    </row>
    <row r="120" spans="2:3">
      <c r="B120">
        <v>71760</v>
      </c>
      <c r="C120" t="str" cm="1">
        <f t="array" ref="C120">_xlfn.IFS(B120&gt;=50000,"HIGH",B120&gt;=25000,"MEDIUM",B120&lt;25000,"LOW")</f>
        <v>HIGH</v>
      </c>
    </row>
    <row r="121" spans="2:3">
      <c r="B121">
        <v>95618</v>
      </c>
      <c r="C121" t="str" cm="1">
        <f t="array" ref="C121">_xlfn.IFS(B121&gt;=50000,"HIGH",B121&gt;=25000,"MEDIUM",B121&lt;25000,"LOW")</f>
        <v>HIGH</v>
      </c>
    </row>
    <row r="122" spans="2:3">
      <c r="B122">
        <v>52476</v>
      </c>
      <c r="C122" t="str" cm="1">
        <f t="array" ref="C122">_xlfn.IFS(B122&gt;=50000,"HIGH",B122&gt;=25000,"MEDIUM",B122&lt;25000,"LOW")</f>
        <v>HIGH</v>
      </c>
    </row>
    <row r="123" spans="2:3">
      <c r="B123">
        <v>77679</v>
      </c>
      <c r="C123" t="str" cm="1">
        <f t="array" ref="C123">_xlfn.IFS(B123&gt;=50000,"HIGH",B123&gt;=25000,"MEDIUM",B123&lt;25000,"LOW")</f>
        <v>HIGH</v>
      </c>
    </row>
    <row r="124" spans="2:3">
      <c r="B124">
        <v>53632</v>
      </c>
      <c r="C124" t="str" cm="1">
        <f t="array" ref="C124">_xlfn.IFS(B124&gt;=50000,"HIGH",B124&gt;=25000,"MEDIUM",B124&lt;25000,"LOW")</f>
        <v>HIGH</v>
      </c>
    </row>
    <row r="125" spans="2:3">
      <c r="B125">
        <v>63622</v>
      </c>
      <c r="C125" t="str" cm="1">
        <f t="array" ref="C125">_xlfn.IFS(B125&gt;=50000,"HIGH",B125&gt;=25000,"MEDIUM",B125&lt;25000,"LOW")</f>
        <v>HIGH</v>
      </c>
    </row>
    <row r="126" spans="2:3">
      <c r="B126">
        <v>81670</v>
      </c>
      <c r="C126" t="str" cm="1">
        <f t="array" ref="C126">_xlfn.IFS(B126&gt;=50000,"HIGH",B126&gt;=25000,"MEDIUM",B126&lt;25000,"LOW")</f>
        <v>HIGH</v>
      </c>
    </row>
    <row r="127" spans="2:3">
      <c r="B127">
        <v>48970</v>
      </c>
      <c r="C127" t="str" cm="1">
        <f t="array" ref="C127">_xlfn.IFS(B127&gt;=50000,"HIGH",B127&gt;=25000,"MEDIUM",B127&lt;25000,"LOW")</f>
        <v>MEDIUM</v>
      </c>
    </row>
    <row r="128" spans="2:3">
      <c r="B128">
        <v>99447</v>
      </c>
      <c r="C128" t="str" cm="1">
        <f t="array" ref="C128">_xlfn.IFS(B128&gt;=50000,"HIGH",B128&gt;=25000,"MEDIUM",B128&lt;25000,"LOW")</f>
        <v>HIGH</v>
      </c>
    </row>
    <row r="129" spans="2:3">
      <c r="B129">
        <v>49573</v>
      </c>
      <c r="C129" t="str" cm="1">
        <f t="array" ref="C129">_xlfn.IFS(B129&gt;=50000,"HIGH",B129&gt;=25000,"MEDIUM",B129&lt;25000,"LOW")</f>
        <v>MEDIUM</v>
      </c>
    </row>
    <row r="130" spans="2:3">
      <c r="B130">
        <v>61792</v>
      </c>
      <c r="C130" t="str" cm="1">
        <f t="array" ref="C130">_xlfn.IFS(B130&gt;=50000,"HIGH",B130&gt;=25000,"MEDIUM",B130&lt;25000,"LOW")</f>
        <v>HIGH</v>
      </c>
    </row>
    <row r="131" spans="2:3">
      <c r="B131">
        <v>44283</v>
      </c>
      <c r="C131" t="str" cm="1">
        <f t="array" ref="C131">_xlfn.IFS(B131&gt;=50000,"HIGH",B131&gt;=25000,"MEDIUM",B131&lt;25000,"LOW")</f>
        <v>MEDIUM</v>
      </c>
    </row>
    <row r="132" spans="2:3">
      <c r="B132">
        <v>44188</v>
      </c>
      <c r="C132" t="str" cm="1">
        <f t="array" ref="C132">_xlfn.IFS(B132&gt;=50000,"HIGH",B132&gt;=25000,"MEDIUM",B132&lt;25000,"LOW")</f>
        <v>MEDIUM</v>
      </c>
    </row>
    <row r="133" spans="2:3">
      <c r="B133">
        <v>50840</v>
      </c>
      <c r="C133" t="str" cm="1">
        <f t="array" ref="C133">_xlfn.IFS(B133&gt;=50000,"HIGH",B133&gt;=25000,"MEDIUM",B133&lt;25000,"LOW")</f>
        <v>HIGH</v>
      </c>
    </row>
    <row r="134" spans="2:3">
      <c r="B134">
        <v>49533</v>
      </c>
      <c r="C134" t="str" cm="1">
        <f t="array" ref="C134">_xlfn.IFS(B134&gt;=50000,"HIGH",B134&gt;=25000,"MEDIUM",B134&lt;25000,"LOW")</f>
        <v>MEDIUM</v>
      </c>
    </row>
    <row r="135" spans="2:3">
      <c r="B135">
        <v>54509</v>
      </c>
      <c r="C135" t="str" cm="1">
        <f t="array" ref="C135">_xlfn.IFS(B135&gt;=50000,"HIGH",B135&gt;=25000,"MEDIUM",B135&lt;25000,"LOW")</f>
        <v>HIGH</v>
      </c>
    </row>
    <row r="136" spans="2:3">
      <c r="B136">
        <v>67976</v>
      </c>
      <c r="C136" t="str" cm="1">
        <f t="array" ref="C136">_xlfn.IFS(B136&gt;=50000,"HIGH",B136&gt;=25000,"MEDIUM",B136&lt;25000,"LOW")</f>
        <v>HIGH</v>
      </c>
    </row>
    <row r="137" spans="2:3">
      <c r="B137">
        <v>45942</v>
      </c>
      <c r="C137" t="str" cm="1">
        <f t="array" ref="C137">_xlfn.IFS(B137&gt;=50000,"HIGH",B137&gt;=25000,"MEDIUM",B137&lt;25000,"LOW")</f>
        <v>MEDIUM</v>
      </c>
    </row>
    <row r="138" spans="2:3">
      <c r="B138">
        <v>115336</v>
      </c>
      <c r="C138" t="str" cm="1">
        <f t="array" ref="C138">_xlfn.IFS(B138&gt;=50000,"HIGH",B138&gt;=25000,"MEDIUM",B138&lt;25000,"LOW")</f>
        <v>HIGH</v>
      </c>
    </row>
    <row r="139" spans="2:3">
      <c r="B139">
        <v>41447</v>
      </c>
      <c r="C139" t="str" cm="1">
        <f t="array" ref="C139">_xlfn.IFS(B139&gt;=50000,"HIGH",B139&gt;=25000,"MEDIUM",B139&lt;25000,"LOW")</f>
        <v>MEDIUM</v>
      </c>
    </row>
    <row r="140" spans="2:3">
      <c r="B140">
        <v>87888</v>
      </c>
      <c r="C140" t="str" cm="1">
        <f t="array" ref="C140">_xlfn.IFS(B140&gt;=50000,"HIGH",B140&gt;=25000,"MEDIUM",B140&lt;25000,"LOW")</f>
        <v>HIGH</v>
      </c>
    </row>
    <row r="141" spans="2:3">
      <c r="B141">
        <v>58146</v>
      </c>
      <c r="C141" t="str" cm="1">
        <f t="array" ref="C141">_xlfn.IFS(B141&gt;=50000,"HIGH",B141&gt;=25000,"MEDIUM",B141&lt;25000,"LOW")</f>
        <v>HIGH</v>
      </c>
    </row>
    <row r="142" spans="2:3">
      <c r="B142">
        <v>96072</v>
      </c>
      <c r="C142" t="str" cm="1">
        <f t="array" ref="C142">_xlfn.IFS(B142&gt;=50000,"HIGH",B142&gt;=25000,"MEDIUM",B142&lt;25000,"LOW")</f>
        <v>HIGH</v>
      </c>
    </row>
    <row r="143" spans="2:3">
      <c r="B143">
        <v>69461</v>
      </c>
      <c r="C143" t="str" cm="1">
        <f t="array" ref="C143">_xlfn.IFS(B143&gt;=50000,"HIGH",B143&gt;=25000,"MEDIUM",B143&lt;25000,"LOW")</f>
        <v>HIGH</v>
      </c>
    </row>
    <row r="144" spans="2:3">
      <c r="B144">
        <v>83539</v>
      </c>
      <c r="C144" t="str" cm="1">
        <f t="array" ref="C144">_xlfn.IFS(B144&gt;=50000,"HIGH",B144&gt;=25000,"MEDIUM",B144&lt;25000,"LOW")</f>
        <v>HIGH</v>
      </c>
    </row>
    <row r="145" spans="2:3">
      <c r="B145">
        <v>100948</v>
      </c>
      <c r="C145" t="str" cm="1">
        <f t="array" ref="C145">_xlfn.IFS(B145&gt;=50000,"HIGH",B145&gt;=25000,"MEDIUM",B145&lt;25000,"LOW")</f>
        <v>HIGH</v>
      </c>
    </row>
    <row r="146" spans="2:3">
      <c r="B146">
        <v>93983</v>
      </c>
      <c r="C146" t="str" cm="1">
        <f t="array" ref="C146">_xlfn.IFS(B146&gt;=50000,"HIGH",B146&gt;=25000,"MEDIUM",B146&lt;25000,"LOW")</f>
        <v>HIGH</v>
      </c>
    </row>
    <row r="147" spans="2:3">
      <c r="B147">
        <v>15212</v>
      </c>
      <c r="C147" t="str" cm="1">
        <f t="array" ref="C147">_xlfn.IFS(B147&gt;=50000,"HIGH",B147&gt;=25000,"MEDIUM",B147&lt;25000,"LOW")</f>
        <v>LOW</v>
      </c>
    </row>
    <row r="148" spans="2:3">
      <c r="B148">
        <v>45613</v>
      </c>
      <c r="C148" t="str" cm="1">
        <f t="array" ref="C148">_xlfn.IFS(B148&gt;=50000,"HIGH",B148&gt;=25000,"MEDIUM",B148&lt;25000,"LOW")</f>
        <v>MEDIUM</v>
      </c>
    </row>
    <row r="149" spans="2:3">
      <c r="B149">
        <v>100961</v>
      </c>
      <c r="C149" t="str" cm="1">
        <f t="array" ref="C149">_xlfn.IFS(B149&gt;=50000,"HIGH",B149&gt;=25000,"MEDIUM",B149&lt;25000,"LOW")</f>
        <v>HIGH</v>
      </c>
    </row>
    <row r="150" spans="2:3">
      <c r="B150">
        <v>98041</v>
      </c>
      <c r="C150" t="str" cm="1">
        <f t="array" ref="C150">_xlfn.IFS(B150&gt;=50000,"HIGH",B150&gt;=25000,"MEDIUM",B150&lt;25000,"LOW")</f>
        <v>HIGH</v>
      </c>
    </row>
    <row r="151" spans="2:3">
      <c r="B151">
        <v>70126</v>
      </c>
      <c r="C151" t="str" cm="1">
        <f t="array" ref="C151">_xlfn.IFS(B151&gt;=50000,"HIGH",B151&gt;=25000,"MEDIUM",B151&lt;25000,"LOW")</f>
        <v>HIGH</v>
      </c>
    </row>
    <row r="152" spans="2:3">
      <c r="B152">
        <v>81687</v>
      </c>
      <c r="C152" t="str" cm="1">
        <f t="array" ref="C152">_xlfn.IFS(B152&gt;=50000,"HIGH",B152&gt;=25000,"MEDIUM",B152&lt;25000,"LOW")</f>
        <v>HIGH</v>
      </c>
    </row>
    <row r="153" spans="2:3">
      <c r="B153">
        <v>80420</v>
      </c>
      <c r="C153" t="str" cm="1">
        <f t="array" ref="C153">_xlfn.IFS(B153&gt;=50000,"HIGH",B153&gt;=25000,"MEDIUM",B153&lt;25000,"LOW")</f>
        <v>HIGH</v>
      </c>
    </row>
    <row r="154" spans="2:3">
      <c r="B154">
        <v>68782</v>
      </c>
      <c r="C154" t="str" cm="1">
        <f t="array" ref="C154">_xlfn.IFS(B154&gt;=50000,"HIGH",B154&gt;=25000,"MEDIUM",B154&lt;25000,"LOW")</f>
        <v>HIGH</v>
      </c>
    </row>
    <row r="155" spans="2:3">
      <c r="B155">
        <v>57240</v>
      </c>
      <c r="C155" t="str" cm="1">
        <f t="array" ref="C155">_xlfn.IFS(B155&gt;=50000,"HIGH",B155&gt;=25000,"MEDIUM",B155&lt;25000,"LOW")</f>
        <v>HIGH</v>
      </c>
    </row>
    <row r="156" spans="2:3">
      <c r="B156">
        <v>63680</v>
      </c>
      <c r="C156" t="str" cm="1">
        <f t="array" ref="C156">_xlfn.IFS(B156&gt;=50000,"HIGH",B156&gt;=25000,"MEDIUM",B156&lt;25000,"LOW")</f>
        <v>HIGH</v>
      </c>
    </row>
    <row r="157" spans="2:3">
      <c r="B157">
        <v>45254</v>
      </c>
      <c r="C157" t="str" cm="1">
        <f t="array" ref="C157">_xlfn.IFS(B157&gt;=50000,"HIGH",B157&gt;=25000,"MEDIUM",B157&lt;25000,"LOW")</f>
        <v>MEDIUM</v>
      </c>
    </row>
    <row r="158" spans="2:3">
      <c r="B158">
        <v>50220</v>
      </c>
      <c r="C158" t="str" cm="1">
        <f t="array" ref="C158">_xlfn.IFS(B158&gt;=50000,"HIGH",B158&gt;=25000,"MEDIUM",B158&lt;25000,"LOW")</f>
        <v>HIGH</v>
      </c>
    </row>
    <row r="159" spans="2:3">
      <c r="B159">
        <v>41980</v>
      </c>
      <c r="C159" t="str" cm="1">
        <f t="array" ref="C159">_xlfn.IFS(B159&gt;=50000,"HIGH",B159&gt;=25000,"MEDIUM",B159&lt;25000,"LOW")</f>
        <v>MEDIUM</v>
      </c>
    </row>
    <row r="160" spans="2:3">
      <c r="B160">
        <v>85445</v>
      </c>
      <c r="C160" t="str" cm="1">
        <f t="array" ref="C160">_xlfn.IFS(B160&gt;=50000,"HIGH",B160&gt;=25000,"MEDIUM",B160&lt;25000,"LOW")</f>
        <v>HIGH</v>
      </c>
    </row>
    <row r="161" spans="2:3">
      <c r="B161">
        <v>69619</v>
      </c>
      <c r="C161" t="str" cm="1">
        <f t="array" ref="C161">_xlfn.IFS(B161&gt;=50000,"HIGH",B161&gt;=25000,"MEDIUM",B161&lt;25000,"LOW")</f>
        <v>HIGH</v>
      </c>
    </row>
    <row r="162" spans="2:3">
      <c r="B162">
        <v>33125</v>
      </c>
      <c r="C162" t="str" cm="1">
        <f t="array" ref="C162">_xlfn.IFS(B162&gt;=50000,"HIGH",B162&gt;=25000,"MEDIUM",B162&lt;25000,"LOW")</f>
        <v>MEDIUM</v>
      </c>
    </row>
    <row r="163" spans="2:3">
      <c r="B163">
        <v>19109</v>
      </c>
      <c r="C163" t="str" cm="1">
        <f t="array" ref="C163">_xlfn.IFS(B163&gt;=50000,"HIGH",B163&gt;=25000,"MEDIUM",B163&lt;25000,"LOW")</f>
        <v>LOW</v>
      </c>
    </row>
    <row r="164" spans="2:3">
      <c r="B164">
        <v>82353</v>
      </c>
      <c r="C164" t="str" cm="1">
        <f t="array" ref="C164">_xlfn.IFS(B164&gt;=50000,"HIGH",B164&gt;=25000,"MEDIUM",B164&lt;25000,"LOW")</f>
        <v>HIGH</v>
      </c>
    </row>
    <row r="165" spans="2:3">
      <c r="B165">
        <v>65285</v>
      </c>
      <c r="C165" t="str" cm="1">
        <f t="array" ref="C165">_xlfn.IFS(B165&gt;=50000,"HIGH",B165&gt;=25000,"MEDIUM",B165&lt;25000,"LOW")</f>
        <v>HIGH</v>
      </c>
    </row>
    <row r="166" spans="2:3">
      <c r="B166">
        <v>68107</v>
      </c>
      <c r="C166" t="str" cm="1">
        <f t="array" ref="C166">_xlfn.IFS(B166&gt;=50000,"HIGH",B166&gt;=25000,"MEDIUM",B166&lt;25000,"LOW")</f>
        <v>HIGH</v>
      </c>
    </row>
    <row r="167" spans="2:3">
      <c r="B167">
        <v>105836</v>
      </c>
      <c r="C167" t="str" cm="1">
        <f t="array" ref="C167">_xlfn.IFS(B167&gt;=50000,"HIGH",B167&gt;=25000,"MEDIUM",B167&lt;25000,"LOW")</f>
        <v>HIGH</v>
      </c>
    </row>
    <row r="168" spans="2:3">
      <c r="B168">
        <v>82795</v>
      </c>
      <c r="C168" t="str" cm="1">
        <f t="array" ref="C168">_xlfn.IFS(B168&gt;=50000,"HIGH",B168&gt;=25000,"MEDIUM",B168&lt;25000,"LOW")</f>
        <v>HIGH</v>
      </c>
    </row>
    <row r="169" spans="2:3">
      <c r="B169">
        <v>100311</v>
      </c>
      <c r="C169" t="str" cm="1">
        <f t="array" ref="C169">_xlfn.IFS(B169&gt;=50000,"HIGH",B169&gt;=25000,"MEDIUM",B169&lt;25000,"LOW")</f>
        <v>HIGH</v>
      </c>
    </row>
    <row r="170" spans="2:3">
      <c r="B170">
        <v>72979</v>
      </c>
      <c r="C170" t="str" cm="1">
        <f t="array" ref="C170">_xlfn.IFS(B170&gt;=50000,"HIGH",B170&gt;=25000,"MEDIUM",B170&lt;25000,"LOW")</f>
        <v>HIGH</v>
      </c>
    </row>
    <row r="171" spans="2:3">
      <c r="B171">
        <v>108534</v>
      </c>
      <c r="C171" t="str" cm="1">
        <f t="array" ref="C171">_xlfn.IFS(B171&gt;=50000,"HIGH",B171&gt;=25000,"MEDIUM",B171&lt;25000,"LOW")</f>
        <v>HIGH</v>
      </c>
    </row>
    <row r="172" spans="2:3">
      <c r="B172">
        <v>102302</v>
      </c>
      <c r="C172" t="str" cm="1">
        <f t="array" ref="C172">_xlfn.IFS(B172&gt;=50000,"HIGH",B172&gt;=25000,"MEDIUM",B172&lt;25000,"LOW")</f>
        <v>HIGH</v>
      </c>
    </row>
    <row r="173" spans="2:3">
      <c r="B173">
        <v>95160</v>
      </c>
      <c r="C173" t="str" cm="1">
        <f t="array" ref="C173">_xlfn.IFS(B173&gt;=50000,"HIGH",B173&gt;=25000,"MEDIUM",B173&lt;25000,"LOW")</f>
        <v>HIGH</v>
      </c>
    </row>
    <row r="174" spans="2:3">
      <c r="B174">
        <v>47995</v>
      </c>
      <c r="C174" t="str" cm="1">
        <f t="array" ref="C174">_xlfn.IFS(B174&gt;=50000,"HIGH",B174&gt;=25000,"MEDIUM",B174&lt;25000,"LOW")</f>
        <v>MEDIUM</v>
      </c>
    </row>
    <row r="175" spans="2:3">
      <c r="B175">
        <v>47277</v>
      </c>
      <c r="C175" t="str" cm="1">
        <f t="array" ref="C175">_xlfn.IFS(B175&gt;=50000,"HIGH",B175&gt;=25000,"MEDIUM",B175&lt;25000,"LOW")</f>
        <v>MEDIUM</v>
      </c>
    </row>
    <row r="176" spans="2:3">
      <c r="B176">
        <v>77624</v>
      </c>
      <c r="C176" t="str" cm="1">
        <f t="array" ref="C176">_xlfn.IFS(B176&gt;=50000,"HIGH",B176&gt;=25000,"MEDIUM",B176&lt;25000,"LOW")</f>
        <v>HIGH</v>
      </c>
    </row>
    <row r="177" spans="2:3">
      <c r="B177">
        <v>102776</v>
      </c>
      <c r="C177" t="str" cm="1">
        <f t="array" ref="C177">_xlfn.IFS(B177&gt;=50000,"HIGH",B177&gt;=25000,"MEDIUM",B177&lt;25000,"LOW")</f>
        <v>HIGH</v>
      </c>
    </row>
    <row r="178" spans="2:3">
      <c r="B178">
        <v>110876</v>
      </c>
      <c r="C178" t="str" cm="1">
        <f t="array" ref="C178">_xlfn.IFS(B178&gt;=50000,"HIGH",B178&gt;=25000,"MEDIUM",B178&lt;25000,"LOW")</f>
        <v>HIGH</v>
      </c>
    </row>
    <row r="179" spans="2:3">
      <c r="B179">
        <v>89091</v>
      </c>
      <c r="C179" t="str" cm="1">
        <f t="array" ref="C179">_xlfn.IFS(B179&gt;=50000,"HIGH",B179&gt;=25000,"MEDIUM",B179&lt;25000,"LOW")</f>
        <v>HIGH</v>
      </c>
    </row>
    <row r="180" spans="2:3">
      <c r="B180">
        <v>43797</v>
      </c>
      <c r="C180" t="str" cm="1">
        <f t="array" ref="C180">_xlfn.IFS(B180&gt;=50000,"HIGH",B180&gt;=25000,"MEDIUM",B180&lt;25000,"LOW")</f>
        <v>MEDIUM</v>
      </c>
    </row>
    <row r="181" spans="2:3">
      <c r="B181">
        <v>81376</v>
      </c>
      <c r="C181" t="str" cm="1">
        <f t="array" ref="C181">_xlfn.IFS(B181&gt;=50000,"HIGH",B181&gt;=25000,"MEDIUM",B181&lt;25000,"LOW")</f>
        <v>HIGH</v>
      </c>
    </row>
    <row r="182" spans="2:3">
      <c r="B182">
        <v>56557</v>
      </c>
      <c r="C182" t="str" cm="1">
        <f t="array" ref="C182">_xlfn.IFS(B182&gt;=50000,"HIGH",B182&gt;=25000,"MEDIUM",B182&lt;25000,"LOW")</f>
        <v>HIGH</v>
      </c>
    </row>
    <row r="183" spans="2:3">
      <c r="B183">
        <v>79084</v>
      </c>
      <c r="C183" t="str" cm="1">
        <f t="array" ref="C183">_xlfn.IFS(B183&gt;=50000,"HIGH",B183&gt;=25000,"MEDIUM",B183&lt;25000,"LOW")</f>
        <v>HIGH</v>
      </c>
    </row>
    <row r="184" spans="2:3">
      <c r="B184">
        <v>97934</v>
      </c>
      <c r="C184" t="str" cm="1">
        <f t="array" ref="C184">_xlfn.IFS(B184&gt;=50000,"HIGH",B184&gt;=25000,"MEDIUM",B184&lt;25000,"LOW")</f>
        <v>HIGH</v>
      </c>
    </row>
    <row r="185" spans="2:3">
      <c r="B185">
        <v>66123</v>
      </c>
      <c r="C185" t="str" cm="1">
        <f t="array" ref="C185">_xlfn.IFS(B185&gt;=50000,"HIGH",B185&gt;=25000,"MEDIUM",B185&lt;25000,"LOW")</f>
        <v>HIGH</v>
      </c>
    </row>
    <row r="186" spans="2:3">
      <c r="B186">
        <v>39135</v>
      </c>
      <c r="C186" t="str" cm="1">
        <f t="array" ref="C186">_xlfn.IFS(B186&gt;=50000,"HIGH",B186&gt;=25000,"MEDIUM",B186&lt;25000,"LOW")</f>
        <v>MEDIUM</v>
      </c>
    </row>
    <row r="187" spans="2:3">
      <c r="B187">
        <v>62646</v>
      </c>
      <c r="C187" t="str" cm="1">
        <f t="array" ref="C187">_xlfn.IFS(B187&gt;=50000,"HIGH",B187&gt;=25000,"MEDIUM",B187&lt;25000,"LOW")</f>
        <v>HIGH</v>
      </c>
    </row>
    <row r="188" spans="2:3">
      <c r="B188">
        <v>89014</v>
      </c>
      <c r="C188" t="str" cm="1">
        <f t="array" ref="C188">_xlfn.IFS(B188&gt;=50000,"HIGH",B188&gt;=25000,"MEDIUM",B188&lt;25000,"LOW")</f>
        <v>HIGH</v>
      </c>
    </row>
    <row r="189" spans="2:3">
      <c r="B189">
        <v>67281</v>
      </c>
      <c r="C189" t="str" cm="1">
        <f t="array" ref="C189">_xlfn.IFS(B189&gt;=50000,"HIGH",B189&gt;=25000,"MEDIUM",B189&lt;25000,"LOW")</f>
        <v>HIGH</v>
      </c>
    </row>
    <row r="190" spans="2:3">
      <c r="B190">
        <v>15624</v>
      </c>
      <c r="C190" t="str" cm="1">
        <f t="array" ref="C190">_xlfn.IFS(B190&gt;=50000,"HIGH",B190&gt;=25000,"MEDIUM",B190&lt;25000,"LOW")</f>
        <v>LOW</v>
      </c>
    </row>
    <row r="191" spans="2:3">
      <c r="B191">
        <v>78139</v>
      </c>
      <c r="C191" t="str" cm="1">
        <f t="array" ref="C191">_xlfn.IFS(B191&gt;=50000,"HIGH",B191&gt;=25000,"MEDIUM",B191&lt;25000,"LOW")</f>
        <v>HIGH</v>
      </c>
    </row>
    <row r="192" spans="2:3">
      <c r="B192">
        <v>62355</v>
      </c>
      <c r="C192" t="str" cm="1">
        <f t="array" ref="C192">_xlfn.IFS(B192&gt;=50000,"HIGH",B192&gt;=25000,"MEDIUM",B192&lt;25000,"LOW")</f>
        <v>HIGH</v>
      </c>
    </row>
    <row r="193" spans="2:3">
      <c r="B193">
        <v>67121</v>
      </c>
      <c r="C193" t="str" cm="1">
        <f t="array" ref="C193">_xlfn.IFS(B193&gt;=50000,"HIGH",B193&gt;=25000,"MEDIUM",B193&lt;25000,"LOW")</f>
        <v>HIGH</v>
      </c>
    </row>
    <row r="194" spans="2:3">
      <c r="B194">
        <v>56224</v>
      </c>
      <c r="C194" t="str" cm="1">
        <f t="array" ref="C194">_xlfn.IFS(B194&gt;=50000,"HIGH",B194&gt;=25000,"MEDIUM",B194&lt;25000,"LOW")</f>
        <v>HIGH</v>
      </c>
    </row>
    <row r="195" spans="2:3">
      <c r="B195">
        <v>88989</v>
      </c>
      <c r="C195" t="str" cm="1">
        <f t="array" ref="C195">_xlfn.IFS(B195&gt;=50000,"HIGH",B195&gt;=25000,"MEDIUM",B195&lt;25000,"LOW")</f>
        <v>HIGH</v>
      </c>
    </row>
    <row r="196" spans="2:3">
      <c r="B196">
        <v>114507</v>
      </c>
      <c r="C196" t="str" cm="1">
        <f t="array" ref="C196">_xlfn.IFS(B196&gt;=50000,"HIGH",B196&gt;=25000,"MEDIUM",B196&lt;25000,"LOW")</f>
        <v>HIGH</v>
      </c>
    </row>
    <row r="197" spans="2:3">
      <c r="B197">
        <v>105811</v>
      </c>
      <c r="C197" t="str" cm="1">
        <f t="array" ref="C197">_xlfn.IFS(B197&gt;=50000,"HIGH",B197&gt;=25000,"MEDIUM",B197&lt;25000,"LOW")</f>
        <v>HIGH</v>
      </c>
    </row>
    <row r="198" spans="2:3">
      <c r="B198">
        <v>42564</v>
      </c>
      <c r="C198" t="str" cm="1">
        <f t="array" ref="C198">_xlfn.IFS(B198&gt;=50000,"HIGH",B198&gt;=25000,"MEDIUM",B198&lt;25000,"LOW")</f>
        <v>MEDIUM</v>
      </c>
    </row>
    <row r="199" spans="2:3">
      <c r="B199">
        <v>17461</v>
      </c>
      <c r="C199" t="str" cm="1">
        <f t="array" ref="C199">_xlfn.IFS(B199&gt;=50000,"HIGH",B199&gt;=25000,"MEDIUM",B199&lt;25000,"LOW")</f>
        <v>LOW</v>
      </c>
    </row>
    <row r="200" spans="2:3">
      <c r="B200">
        <v>26059</v>
      </c>
      <c r="C200" t="str" cm="1">
        <f t="array" ref="C200">_xlfn.IFS(B200&gt;=50000,"HIGH",B200&gt;=25000,"MEDIUM",B200&lt;25000,"LOW")</f>
        <v>MEDIUM</v>
      </c>
    </row>
    <row r="201" spans="2:3">
      <c r="B201">
        <v>27872</v>
      </c>
      <c r="C201" t="str" cm="1">
        <f t="array" ref="C201">_xlfn.IFS(B201&gt;=50000,"HIGH",B201&gt;=25000,"MEDIUM",B201&lt;25000,"LOW")</f>
        <v>MEDIUM</v>
      </c>
    </row>
    <row r="202" spans="2:3">
      <c r="B202">
        <v>73160</v>
      </c>
      <c r="C202" t="str" cm="1">
        <f t="array" ref="C202">_xlfn.IFS(B202&gt;=50000,"HIGH",B202&gt;=25000,"MEDIUM",B202&lt;25000,"LOW")</f>
        <v>HIGH</v>
      </c>
    </row>
    <row r="203" spans="2:3">
      <c r="B203">
        <v>81879</v>
      </c>
      <c r="C203" t="str" cm="1">
        <f t="array" ref="C203">_xlfn.IFS(B203&gt;=50000,"HIGH",B203&gt;=25000,"MEDIUM",B203&lt;25000,"LOW")</f>
        <v>HIGH</v>
      </c>
    </row>
    <row r="204" spans="2:3">
      <c r="B204">
        <v>77223</v>
      </c>
      <c r="C204" t="str" cm="1">
        <f t="array" ref="C204">_xlfn.IFS(B204&gt;=50000,"HIGH",B204&gt;=25000,"MEDIUM",B204&lt;25000,"LOW")</f>
        <v>HIGH</v>
      </c>
    </row>
    <row r="205" spans="2:3">
      <c r="B205">
        <v>52724</v>
      </c>
      <c r="C205" t="str" cm="1">
        <f t="array" ref="C205">_xlfn.IFS(B205&gt;=50000,"HIGH",B205&gt;=25000,"MEDIUM",B205&lt;25000,"LOW")</f>
        <v>HIGH</v>
      </c>
    </row>
    <row r="206" spans="2:3">
      <c r="B206">
        <v>51361</v>
      </c>
      <c r="C206" t="str" cm="1">
        <f t="array" ref="C206">_xlfn.IFS(B206&gt;=50000,"HIGH",B206&gt;=25000,"MEDIUM",B206&lt;25000,"LOW")</f>
        <v>HIGH</v>
      </c>
    </row>
    <row r="207" spans="2:3">
      <c r="B207">
        <v>68987</v>
      </c>
      <c r="C207" t="str" cm="1">
        <f t="array" ref="C207">_xlfn.IFS(B207&gt;=50000,"HIGH",B207&gt;=25000,"MEDIUM",B207&lt;25000,"LOW")</f>
        <v>HIGH</v>
      </c>
    </row>
    <row r="208" spans="2:3">
      <c r="B208">
        <v>57087</v>
      </c>
      <c r="C208" t="str" cm="1">
        <f t="array" ref="C208">_xlfn.IFS(B208&gt;=50000,"HIGH",B208&gt;=25000,"MEDIUM",B208&lt;25000,"LOW")</f>
        <v>HIGH</v>
      </c>
    </row>
    <row r="209" spans="2:3">
      <c r="B209">
        <v>94011</v>
      </c>
      <c r="C209" t="str" cm="1">
        <f t="array" ref="C209">_xlfn.IFS(B209&gt;=50000,"HIGH",B209&gt;=25000,"MEDIUM",B209&lt;25000,"LOW")</f>
        <v>HIGH</v>
      </c>
    </row>
    <row r="210" spans="2:3">
      <c r="B210">
        <v>113879</v>
      </c>
      <c r="C210" t="str" cm="1">
        <f t="array" ref="C210">_xlfn.IFS(B210&gt;=50000,"HIGH",B210&gt;=25000,"MEDIUM",B210&lt;25000,"LOW")</f>
        <v>HIGH</v>
      </c>
    </row>
    <row r="211" spans="2:3">
      <c r="B211">
        <v>45868</v>
      </c>
      <c r="C211" t="str" cm="1">
        <f t="array" ref="C211">_xlfn.IFS(B211&gt;=50000,"HIGH",B211&gt;=25000,"MEDIUM",B211&lt;25000,"LOW")</f>
        <v>MEDIUM</v>
      </c>
    </row>
    <row r="212" spans="2:3">
      <c r="B212">
        <v>47082</v>
      </c>
      <c r="C212" t="str" cm="1">
        <f t="array" ref="C212">_xlfn.IFS(B212&gt;=50000,"HIGH",B212&gt;=25000,"MEDIUM",B212&lt;25000,"LOW")</f>
        <v>MEDIUM</v>
      </c>
    </row>
    <row r="213" spans="2:3">
      <c r="B213">
        <v>32893</v>
      </c>
      <c r="C213" t="str" cm="1">
        <f t="array" ref="C213">_xlfn.IFS(B213&gt;=50000,"HIGH",B213&gt;=25000,"MEDIUM",B213&lt;25000,"LOW")</f>
        <v>MEDIUM</v>
      </c>
    </row>
    <row r="214" spans="2:3">
      <c r="B214">
        <v>31273</v>
      </c>
      <c r="C214" t="str" cm="1">
        <f t="array" ref="C214">_xlfn.IFS(B214&gt;=50000,"HIGH",B214&gt;=25000,"MEDIUM",B214&lt;25000,"LOW")</f>
        <v>MEDIUM</v>
      </c>
    </row>
    <row r="215" spans="2:3">
      <c r="B215">
        <v>69307</v>
      </c>
      <c r="C215" t="str" cm="1">
        <f t="array" ref="C215">_xlfn.IFS(B215&gt;=50000,"HIGH",B215&gt;=25000,"MEDIUM",B215&lt;25000,"LOW")</f>
        <v>HIGH</v>
      </c>
    </row>
    <row r="216" spans="2:3">
      <c r="B216">
        <v>88403</v>
      </c>
      <c r="C216" t="str" cm="1">
        <f t="array" ref="C216">_xlfn.IFS(B216&gt;=50000,"HIGH",B216&gt;=25000,"MEDIUM",B216&lt;25000,"LOW")</f>
        <v>HIGH</v>
      </c>
    </row>
    <row r="217" spans="2:3">
      <c r="B217">
        <v>72235</v>
      </c>
      <c r="C217" t="str" cm="1">
        <f t="array" ref="C217">_xlfn.IFS(B217&gt;=50000,"HIGH",B217&gt;=25000,"MEDIUM",B217&lt;25000,"LOW")</f>
        <v>HIGH</v>
      </c>
    </row>
    <row r="218" spans="2:3">
      <c r="B218">
        <v>61574</v>
      </c>
      <c r="C218" t="str" cm="1">
        <f t="array" ref="C218">_xlfn.IFS(B218&gt;=50000,"HIGH",B218&gt;=25000,"MEDIUM",B218&lt;25000,"LOW")</f>
        <v>HIGH</v>
      </c>
    </row>
    <row r="219" spans="2:3">
      <c r="B219">
        <v>57884</v>
      </c>
      <c r="C219" t="str" cm="1">
        <f t="array" ref="C219">_xlfn.IFS(B219&gt;=50000,"HIGH",B219&gt;=25000,"MEDIUM",B219&lt;25000,"LOW")</f>
        <v>HIGH</v>
      </c>
    </row>
    <row r="220" spans="2:3">
      <c r="B220">
        <v>119905</v>
      </c>
      <c r="C220" t="str" cm="1">
        <f t="array" ref="C220">_xlfn.IFS(B220&gt;=50000,"HIGH",B220&gt;=25000,"MEDIUM",B220&lt;25000,"LOW")</f>
        <v>HIGH</v>
      </c>
    </row>
    <row r="221" spans="2:3">
      <c r="B221">
        <v>100493</v>
      </c>
      <c r="C221" t="str" cm="1">
        <f t="array" ref="C221">_xlfn.IFS(B221&gt;=50000,"HIGH",B221&gt;=25000,"MEDIUM",B221&lt;25000,"LOW")</f>
        <v>HIGH</v>
      </c>
    </row>
    <row r="222" spans="2:3">
      <c r="B222">
        <v>84305</v>
      </c>
      <c r="C222" t="str" cm="1">
        <f t="array" ref="C222">_xlfn.IFS(B222&gt;=50000,"HIGH",B222&gt;=25000,"MEDIUM",B222&lt;25000,"LOW")</f>
        <v>HIGH</v>
      </c>
    </row>
    <row r="226" spans="1:3" ht="29.25">
      <c r="A226" s="15" t="s">
        <v>4481</v>
      </c>
      <c r="B226">
        <f>COUNTIFS(Sales[QUANTITY],"&gt;=3", Sales[PRODUCT_CTG],"Laptop")</f>
        <v>60</v>
      </c>
      <c r="C226">
        <f>COUNTIFS(Sales[PRODUCT_CTG],"Laptop", Sales[QUANTITY],"&gt;=3")</f>
        <v>60</v>
      </c>
    </row>
    <row r="229" spans="1:3" ht="29.25">
      <c r="A229" s="15" t="s">
        <v>4482</v>
      </c>
      <c r="B229" s="15" cm="1">
        <f t="array" ref="B229">SUMPRODUCT(--(Sales[DELIVERY]-Sales[ORDERDATE] &lt;= 4))</f>
        <v>6</v>
      </c>
      <c r="C229" t="str" cm="1">
        <f t="array" ref="C229:C388">IF(Sales[DELIVERY]-Sales[ORDERDATE]&lt;=4,"FAST_DELIVERY","NORMAL")</f>
        <v>NORMAL</v>
      </c>
    </row>
    <row r="230" spans="1:3">
      <c r="C230" t="str">
        <v>NORMAL</v>
      </c>
    </row>
    <row r="231" spans="1:3">
      <c r="C231" t="str">
        <v>NORMAL</v>
      </c>
    </row>
    <row r="232" spans="1:3">
      <c r="C232" t="str">
        <v>NORMAL</v>
      </c>
    </row>
    <row r="233" spans="1:3">
      <c r="C233" t="str">
        <v>NORMAL</v>
      </c>
    </row>
    <row r="234" spans="1:3">
      <c r="C234" t="str">
        <v>NORMAL</v>
      </c>
    </row>
    <row r="235" spans="1:3">
      <c r="C235" t="str">
        <v>NORMAL</v>
      </c>
    </row>
    <row r="236" spans="1:3">
      <c r="C236" t="str">
        <v>NORMAL</v>
      </c>
    </row>
    <row r="237" spans="1:3">
      <c r="C237" t="str">
        <v>NORMAL</v>
      </c>
    </row>
    <row r="238" spans="1:3">
      <c r="C238" t="str">
        <v>NORMAL</v>
      </c>
    </row>
    <row r="239" spans="1:3">
      <c r="C239" t="str">
        <v>NORMAL</v>
      </c>
    </row>
    <row r="240" spans="1:3">
      <c r="C240" t="str">
        <v>NORMAL</v>
      </c>
    </row>
    <row r="241" spans="3:3">
      <c r="C241" t="str">
        <v>NORMAL</v>
      </c>
    </row>
    <row r="242" spans="3:3">
      <c r="C242" t="str">
        <v>NORMAL</v>
      </c>
    </row>
    <row r="243" spans="3:3">
      <c r="C243" t="str">
        <v>NORMAL</v>
      </c>
    </row>
    <row r="244" spans="3:3">
      <c r="C244" t="str">
        <v>NORMAL</v>
      </c>
    </row>
    <row r="245" spans="3:3">
      <c r="C245" t="str">
        <v>NORMAL</v>
      </c>
    </row>
    <row r="246" spans="3:3">
      <c r="C246" t="str">
        <v>NORMAL</v>
      </c>
    </row>
    <row r="247" spans="3:3">
      <c r="C247" t="str">
        <v>NORMAL</v>
      </c>
    </row>
    <row r="248" spans="3:3">
      <c r="C248" t="str">
        <v>NORMAL</v>
      </c>
    </row>
    <row r="249" spans="3:3">
      <c r="C249" t="str">
        <v>NORMAL</v>
      </c>
    </row>
    <row r="250" spans="3:3">
      <c r="C250" t="str">
        <v>NORMAL</v>
      </c>
    </row>
    <row r="251" spans="3:3">
      <c r="C251" t="str">
        <v>NORMAL</v>
      </c>
    </row>
    <row r="252" spans="3:3">
      <c r="C252" t="str">
        <v>NORMAL</v>
      </c>
    </row>
    <row r="253" spans="3:3">
      <c r="C253" t="str">
        <v>NORMAL</v>
      </c>
    </row>
    <row r="254" spans="3:3">
      <c r="C254" t="str">
        <v>NORMAL</v>
      </c>
    </row>
    <row r="255" spans="3:3">
      <c r="C255" t="str">
        <v>NORMAL</v>
      </c>
    </row>
    <row r="256" spans="3:3">
      <c r="C256" t="str">
        <v>NORMAL</v>
      </c>
    </row>
    <row r="257" spans="3:3">
      <c r="C257" t="str">
        <v>NORMAL</v>
      </c>
    </row>
    <row r="258" spans="3:3">
      <c r="C258" t="str">
        <v>NORMAL</v>
      </c>
    </row>
    <row r="259" spans="3:3">
      <c r="C259" t="str">
        <v>NORMAL</v>
      </c>
    </row>
    <row r="260" spans="3:3">
      <c r="C260" t="str">
        <v>NORMAL</v>
      </c>
    </row>
    <row r="261" spans="3:3">
      <c r="C261" t="str">
        <v>NORMAL</v>
      </c>
    </row>
    <row r="262" spans="3:3">
      <c r="C262" t="str">
        <v>NORMAL</v>
      </c>
    </row>
    <row r="263" spans="3:3">
      <c r="C263" t="str">
        <v>NORMAL</v>
      </c>
    </row>
    <row r="264" spans="3:3">
      <c r="C264" t="str">
        <v>NORMAL</v>
      </c>
    </row>
    <row r="265" spans="3:3">
      <c r="C265" t="str">
        <v>NORMAL</v>
      </c>
    </row>
    <row r="266" spans="3:3">
      <c r="C266" t="str">
        <v>NORMAL</v>
      </c>
    </row>
    <row r="267" spans="3:3">
      <c r="C267" t="str">
        <v>NORMAL</v>
      </c>
    </row>
    <row r="268" spans="3:3">
      <c r="C268" t="str">
        <v>NORMAL</v>
      </c>
    </row>
    <row r="269" spans="3:3">
      <c r="C269" t="str">
        <v>NORMAL</v>
      </c>
    </row>
    <row r="270" spans="3:3">
      <c r="C270" t="str">
        <v>NORMAL</v>
      </c>
    </row>
    <row r="271" spans="3:3">
      <c r="C271" t="str">
        <v>NORMAL</v>
      </c>
    </row>
    <row r="272" spans="3:3">
      <c r="C272" t="str">
        <v>NORMAL</v>
      </c>
    </row>
    <row r="273" spans="3:3">
      <c r="C273" t="str">
        <v>NORMAL</v>
      </c>
    </row>
    <row r="274" spans="3:3">
      <c r="C274" t="str">
        <v>NORMAL</v>
      </c>
    </row>
    <row r="275" spans="3:3">
      <c r="C275" t="str">
        <v>NORMAL</v>
      </c>
    </row>
    <row r="276" spans="3:3">
      <c r="C276" t="str">
        <v>NORMAL</v>
      </c>
    </row>
    <row r="277" spans="3:3">
      <c r="C277" t="str">
        <v>NORMAL</v>
      </c>
    </row>
    <row r="278" spans="3:3">
      <c r="C278" t="str">
        <v>NORMAL</v>
      </c>
    </row>
    <row r="279" spans="3:3">
      <c r="C279" t="str">
        <v>NORMAL</v>
      </c>
    </row>
    <row r="280" spans="3:3">
      <c r="C280" t="str">
        <v>NORMAL</v>
      </c>
    </row>
    <row r="281" spans="3:3">
      <c r="C281" t="str">
        <v>NORMAL</v>
      </c>
    </row>
    <row r="282" spans="3:3">
      <c r="C282" t="str">
        <v>NORMAL</v>
      </c>
    </row>
    <row r="283" spans="3:3">
      <c r="C283" t="str">
        <v>NORMAL</v>
      </c>
    </row>
    <row r="284" spans="3:3">
      <c r="C284" t="str">
        <v>NORMAL</v>
      </c>
    </row>
    <row r="285" spans="3:3">
      <c r="C285" t="str">
        <v>NORMAL</v>
      </c>
    </row>
    <row r="286" spans="3:3">
      <c r="C286" t="str">
        <v>NORMAL</v>
      </c>
    </row>
    <row r="287" spans="3:3">
      <c r="C287" t="str">
        <v>NORMAL</v>
      </c>
    </row>
    <row r="288" spans="3:3">
      <c r="C288" t="str">
        <v>NORMAL</v>
      </c>
    </row>
    <row r="289" spans="3:3">
      <c r="C289" t="str">
        <v>FAST_DELIVERY</v>
      </c>
    </row>
    <row r="290" spans="3:3">
      <c r="C290" t="str">
        <v>NORMAL</v>
      </c>
    </row>
    <row r="291" spans="3:3">
      <c r="C291" t="str">
        <v>NORMAL</v>
      </c>
    </row>
    <row r="292" spans="3:3">
      <c r="C292" t="str">
        <v>NORMAL</v>
      </c>
    </row>
    <row r="293" spans="3:3">
      <c r="C293" t="str">
        <v>NORMAL</v>
      </c>
    </row>
    <row r="294" spans="3:3">
      <c r="C294" t="str">
        <v>NORMAL</v>
      </c>
    </row>
    <row r="295" spans="3:3">
      <c r="C295" t="str">
        <v>NORMAL</v>
      </c>
    </row>
    <row r="296" spans="3:3">
      <c r="C296" t="str">
        <v>NORMAL</v>
      </c>
    </row>
    <row r="297" spans="3:3">
      <c r="C297" t="str">
        <v>NORMAL</v>
      </c>
    </row>
    <row r="298" spans="3:3">
      <c r="C298" t="str">
        <v>NORMAL</v>
      </c>
    </row>
    <row r="299" spans="3:3">
      <c r="C299" t="str">
        <v>NORMAL</v>
      </c>
    </row>
    <row r="300" spans="3:3">
      <c r="C300" t="str">
        <v>NORMAL</v>
      </c>
    </row>
    <row r="301" spans="3:3">
      <c r="C301" t="str">
        <v>NORMAL</v>
      </c>
    </row>
    <row r="302" spans="3:3">
      <c r="C302" t="str">
        <v>NORMAL</v>
      </c>
    </row>
    <row r="303" spans="3:3">
      <c r="C303" t="str">
        <v>NORMAL</v>
      </c>
    </row>
    <row r="304" spans="3:3">
      <c r="C304" t="str">
        <v>NORMAL</v>
      </c>
    </row>
    <row r="305" spans="3:3">
      <c r="C305" t="str">
        <v>NORMAL</v>
      </c>
    </row>
    <row r="306" spans="3:3">
      <c r="C306" t="str">
        <v>FAST_DELIVERY</v>
      </c>
    </row>
    <row r="307" spans="3:3">
      <c r="C307" t="str">
        <v>NORMAL</v>
      </c>
    </row>
    <row r="308" spans="3:3">
      <c r="C308" t="str">
        <v>NORMAL</v>
      </c>
    </row>
    <row r="309" spans="3:3">
      <c r="C309" t="str">
        <v>NORMAL</v>
      </c>
    </row>
    <row r="310" spans="3:3">
      <c r="C310" t="str">
        <v>NORMAL</v>
      </c>
    </row>
    <row r="311" spans="3:3">
      <c r="C311" t="str">
        <v>NORMAL</v>
      </c>
    </row>
    <row r="312" spans="3:3">
      <c r="C312" t="str">
        <v>NORMAL</v>
      </c>
    </row>
    <row r="313" spans="3:3">
      <c r="C313" t="str">
        <v>NORMAL</v>
      </c>
    </row>
    <row r="314" spans="3:3">
      <c r="C314" t="str">
        <v>NORMAL</v>
      </c>
    </row>
    <row r="315" spans="3:3">
      <c r="C315" t="str">
        <v>NORMAL</v>
      </c>
    </row>
    <row r="316" spans="3:3">
      <c r="C316" t="str">
        <v>NORMAL</v>
      </c>
    </row>
    <row r="317" spans="3:3">
      <c r="C317" t="str">
        <v>NORMAL</v>
      </c>
    </row>
    <row r="318" spans="3:3">
      <c r="C318" t="str">
        <v>NORMAL</v>
      </c>
    </row>
    <row r="319" spans="3:3">
      <c r="C319" t="str">
        <v>NORMAL</v>
      </c>
    </row>
    <row r="320" spans="3:3">
      <c r="C320" t="str">
        <v>NORMAL</v>
      </c>
    </row>
    <row r="321" spans="3:3">
      <c r="C321" t="str">
        <v>NORMAL</v>
      </c>
    </row>
    <row r="322" spans="3:3">
      <c r="C322" t="str">
        <v>NORMAL</v>
      </c>
    </row>
    <row r="323" spans="3:3">
      <c r="C323" t="str">
        <v>NORMAL</v>
      </c>
    </row>
    <row r="324" spans="3:3">
      <c r="C324" t="str">
        <v>NORMAL</v>
      </c>
    </row>
    <row r="325" spans="3:3">
      <c r="C325" t="str">
        <v>NORMAL</v>
      </c>
    </row>
    <row r="326" spans="3:3">
      <c r="C326" t="str">
        <v>NORMAL</v>
      </c>
    </row>
    <row r="327" spans="3:3">
      <c r="C327" t="str">
        <v>NORMAL</v>
      </c>
    </row>
    <row r="328" spans="3:3">
      <c r="C328" t="str">
        <v>NORMAL</v>
      </c>
    </row>
    <row r="329" spans="3:3">
      <c r="C329" t="str">
        <v>FAST_DELIVERY</v>
      </c>
    </row>
    <row r="330" spans="3:3">
      <c r="C330" t="str">
        <v>NORMAL</v>
      </c>
    </row>
    <row r="331" spans="3:3">
      <c r="C331" t="str">
        <v>NORMAL</v>
      </c>
    </row>
    <row r="332" spans="3:3">
      <c r="C332" t="str">
        <v>NORMAL</v>
      </c>
    </row>
    <row r="333" spans="3:3">
      <c r="C333" t="str">
        <v>NORMAL</v>
      </c>
    </row>
    <row r="334" spans="3:3">
      <c r="C334" t="str">
        <v>NORMAL</v>
      </c>
    </row>
    <row r="335" spans="3:3">
      <c r="C335" t="str">
        <v>NORMAL</v>
      </c>
    </row>
    <row r="336" spans="3:3">
      <c r="C336" t="str">
        <v>NORMAL</v>
      </c>
    </row>
    <row r="337" spans="3:3">
      <c r="C337" t="str">
        <v>NORMAL</v>
      </c>
    </row>
    <row r="338" spans="3:3">
      <c r="C338" t="str">
        <v>NORMAL</v>
      </c>
    </row>
    <row r="339" spans="3:3">
      <c r="C339" t="str">
        <v>FAST_DELIVERY</v>
      </c>
    </row>
    <row r="340" spans="3:3">
      <c r="C340" t="str">
        <v>FAST_DELIVERY</v>
      </c>
    </row>
    <row r="341" spans="3:3">
      <c r="C341" t="str">
        <v>NORMAL</v>
      </c>
    </row>
    <row r="342" spans="3:3">
      <c r="C342" t="str">
        <v>NORMAL</v>
      </c>
    </row>
    <row r="343" spans="3:3">
      <c r="C343" t="str">
        <v>NORMAL</v>
      </c>
    </row>
    <row r="344" spans="3:3">
      <c r="C344" t="str">
        <v>NORMAL</v>
      </c>
    </row>
    <row r="345" spans="3:3">
      <c r="C345" t="str">
        <v>NORMAL</v>
      </c>
    </row>
    <row r="346" spans="3:3">
      <c r="C346" t="str">
        <v>NORMAL</v>
      </c>
    </row>
    <row r="347" spans="3:3">
      <c r="C347" t="str">
        <v>NORMAL</v>
      </c>
    </row>
    <row r="348" spans="3:3">
      <c r="C348" t="str">
        <v>NORMAL</v>
      </c>
    </row>
    <row r="349" spans="3:3">
      <c r="C349" t="str">
        <v>NORMAL</v>
      </c>
    </row>
    <row r="350" spans="3:3">
      <c r="C350" t="str">
        <v>NORMAL</v>
      </c>
    </row>
    <row r="351" spans="3:3">
      <c r="C351" t="str">
        <v>NORMAL</v>
      </c>
    </row>
    <row r="352" spans="3:3">
      <c r="C352" t="str">
        <v>NORMAL</v>
      </c>
    </row>
    <row r="353" spans="3:3">
      <c r="C353" t="str">
        <v>NORMAL</v>
      </c>
    </row>
    <row r="354" spans="3:3">
      <c r="C354" t="str">
        <v>NORMAL</v>
      </c>
    </row>
    <row r="355" spans="3:3">
      <c r="C355" t="str">
        <v>NORMAL</v>
      </c>
    </row>
    <row r="356" spans="3:3">
      <c r="C356" t="str">
        <v>NORMAL</v>
      </c>
    </row>
    <row r="357" spans="3:3">
      <c r="C357" t="str">
        <v>NORMAL</v>
      </c>
    </row>
    <row r="358" spans="3:3">
      <c r="C358" t="str">
        <v>NORMAL</v>
      </c>
    </row>
    <row r="359" spans="3:3">
      <c r="C359" t="str">
        <v>NORMAL</v>
      </c>
    </row>
    <row r="360" spans="3:3">
      <c r="C360" t="str">
        <v>NORMAL</v>
      </c>
    </row>
    <row r="361" spans="3:3">
      <c r="C361" t="str">
        <v>NORMAL</v>
      </c>
    </row>
    <row r="362" spans="3:3">
      <c r="C362" t="str">
        <v>NORMAL</v>
      </c>
    </row>
    <row r="363" spans="3:3">
      <c r="C363" t="str">
        <v>NORMAL</v>
      </c>
    </row>
    <row r="364" spans="3:3">
      <c r="C364" t="str">
        <v>NORMAL</v>
      </c>
    </row>
    <row r="365" spans="3:3">
      <c r="C365" t="str">
        <v>NORMAL</v>
      </c>
    </row>
    <row r="366" spans="3:3">
      <c r="C366" t="str">
        <v>NORMAL</v>
      </c>
    </row>
    <row r="367" spans="3:3">
      <c r="C367" t="str">
        <v>NORMAL</v>
      </c>
    </row>
    <row r="368" spans="3:3">
      <c r="C368" t="str">
        <v>FAST_DELIVERY</v>
      </c>
    </row>
    <row r="369" spans="3:3">
      <c r="C369" t="str">
        <v>NORMAL</v>
      </c>
    </row>
    <row r="370" spans="3:3">
      <c r="C370" t="str">
        <v>NORMAL</v>
      </c>
    </row>
    <row r="371" spans="3:3">
      <c r="C371" t="str">
        <v>NORMAL</v>
      </c>
    </row>
    <row r="372" spans="3:3">
      <c r="C372" t="str">
        <v>NORMAL</v>
      </c>
    </row>
    <row r="373" spans="3:3">
      <c r="C373" t="str">
        <v>NORMAL</v>
      </c>
    </row>
    <row r="374" spans="3:3">
      <c r="C374" t="str">
        <v>NORMAL</v>
      </c>
    </row>
    <row r="375" spans="3:3">
      <c r="C375" t="str">
        <v>NORMAL</v>
      </c>
    </row>
    <row r="376" spans="3:3">
      <c r="C376" t="str">
        <v>NORMAL</v>
      </c>
    </row>
    <row r="377" spans="3:3">
      <c r="C377" t="str">
        <v>NORMAL</v>
      </c>
    </row>
    <row r="378" spans="3:3">
      <c r="C378" t="str">
        <v>NORMAL</v>
      </c>
    </row>
    <row r="379" spans="3:3">
      <c r="C379" t="str">
        <v>NORMAL</v>
      </c>
    </row>
    <row r="380" spans="3:3">
      <c r="C380" t="str">
        <v>NORMAL</v>
      </c>
    </row>
    <row r="381" spans="3:3">
      <c r="C381" t="str">
        <v>NORMAL</v>
      </c>
    </row>
    <row r="382" spans="3:3">
      <c r="C382" t="str">
        <v>NORMAL</v>
      </c>
    </row>
    <row r="383" spans="3:3">
      <c r="C383" t="str">
        <v>NORMAL</v>
      </c>
    </row>
    <row r="384" spans="3:3">
      <c r="C384" t="str">
        <v>NORMAL</v>
      </c>
    </row>
    <row r="385" spans="1:3">
      <c r="C385" t="str">
        <v>NORMAL</v>
      </c>
    </row>
    <row r="386" spans="1:3">
      <c r="C386" t="str">
        <v>NORMAL</v>
      </c>
    </row>
    <row r="387" spans="1:3">
      <c r="C387" t="str">
        <v>NORMAL</v>
      </c>
    </row>
    <row r="388" spans="1:3">
      <c r="C388" t="str">
        <v>NORMAL</v>
      </c>
    </row>
    <row r="393" spans="1:3" ht="29.25">
      <c r="A393" s="15" t="s">
        <v>4483</v>
      </c>
      <c r="B393" s="38" t="s">
        <v>0</v>
      </c>
      <c r="C393" s="38" t="s">
        <v>4484</v>
      </c>
    </row>
    <row r="394" spans="1:3">
      <c r="B394" t="str" cm="1">
        <f t="array" ref="B394:B398">_xlfn.UNIQUE(Sales[STATE])</f>
        <v>Kerala</v>
      </c>
      <c r="C394" t="str" cm="1">
        <f t="array" ref="C394">_xlfn.IFS(B394="Kerala","SOUTHWEST",B394="Karnataka","SOUTHWEST")</f>
        <v>SOUTHWEST</v>
      </c>
    </row>
    <row r="395" spans="1:3">
      <c r="B395" t="str">
        <v>Tamil Nadu</v>
      </c>
      <c r="C395" t="e" cm="1">
        <f t="array" ref="C395">_xlfn.IFS(B395="Kerala","SOUTHWEST",B395="Karnataka","SOUTHWEST")</f>
        <v>#N/A</v>
      </c>
    </row>
    <row r="396" spans="1:3">
      <c r="B396" t="str">
        <v>Andhra Pradesh</v>
      </c>
      <c r="C396" t="e" cm="1">
        <f t="array" ref="C396">_xlfn.IFS(B396="Kerala","SOUTHWEST",B396="Karnataka","SOUTHWEST")</f>
        <v>#N/A</v>
      </c>
    </row>
    <row r="397" spans="1:3">
      <c r="B397" t="str">
        <v>Telangana</v>
      </c>
      <c r="C397" t="e" cm="1">
        <f t="array" ref="C397">_xlfn.IFS(B397="Kerala","SOUTHWEST",B397="Karnataka","SOUTHWEST")</f>
        <v>#N/A</v>
      </c>
    </row>
    <row r="398" spans="1:3">
      <c r="B398" t="str">
        <v>Karnataka</v>
      </c>
      <c r="C398" t="str" cm="1">
        <f t="array" ref="C398">_xlfn.IFS(B398="Kerala","SOUTHWEST",B398="Karnataka","SOUTHWEST")</f>
        <v>SOUTHWEST</v>
      </c>
    </row>
    <row r="401" spans="1:3" ht="29.25">
      <c r="A401" s="15" t="s">
        <v>4485</v>
      </c>
      <c r="B401" s="51" t="s">
        <v>4486</v>
      </c>
      <c r="C401" s="51" t="s">
        <v>4487</v>
      </c>
    </row>
    <row r="402" spans="1:3">
      <c r="B402" s="84">
        <v>43724</v>
      </c>
      <c r="C402" s="1">
        <f>IF(ISBLANK(B402),"Pending Dispatch",B402)</f>
        <v>43724</v>
      </c>
    </row>
    <row r="403" spans="1:3">
      <c r="B403" s="85">
        <v>43969</v>
      </c>
      <c r="C403" s="1">
        <f t="shared" ref="C403:C427" si="0">IF(ISBLANK(B403),"Pending Dispatch",B403)</f>
        <v>43969</v>
      </c>
    </row>
    <row r="404" spans="1:3">
      <c r="B404" s="86">
        <v>43138</v>
      </c>
      <c r="C404" s="1">
        <f t="shared" si="0"/>
        <v>43138</v>
      </c>
    </row>
    <row r="405" spans="1:3">
      <c r="B405" s="84">
        <v>45356</v>
      </c>
      <c r="C405" s="1">
        <f t="shared" si="0"/>
        <v>45356</v>
      </c>
    </row>
    <row r="406" spans="1:3">
      <c r="B406" s="84">
        <v>44057</v>
      </c>
      <c r="C406" s="1">
        <f t="shared" si="0"/>
        <v>44057</v>
      </c>
    </row>
    <row r="407" spans="1:3">
      <c r="B407" s="84">
        <v>42811</v>
      </c>
      <c r="C407" s="1">
        <f t="shared" si="0"/>
        <v>42811</v>
      </c>
    </row>
    <row r="408" spans="1:3">
      <c r="B408" s="86"/>
      <c r="C408" s="1" t="str">
        <f t="shared" si="0"/>
        <v>Pending Dispatch</v>
      </c>
    </row>
    <row r="409" spans="1:3">
      <c r="B409" s="85">
        <v>45011</v>
      </c>
      <c r="C409" s="1">
        <f t="shared" si="0"/>
        <v>45011</v>
      </c>
    </row>
    <row r="410" spans="1:3">
      <c r="B410" s="84">
        <v>42940</v>
      </c>
      <c r="C410" s="1">
        <f t="shared" si="0"/>
        <v>42940</v>
      </c>
    </row>
    <row r="411" spans="1:3">
      <c r="B411" s="84">
        <v>43853</v>
      </c>
      <c r="C411" s="1">
        <f t="shared" si="0"/>
        <v>43853</v>
      </c>
    </row>
    <row r="412" spans="1:3">
      <c r="B412" s="86">
        <v>42340</v>
      </c>
      <c r="C412" s="1">
        <f t="shared" si="0"/>
        <v>42340</v>
      </c>
    </row>
    <row r="413" spans="1:3">
      <c r="B413" s="84">
        <v>44086</v>
      </c>
      <c r="C413" s="1">
        <f t="shared" si="0"/>
        <v>44086</v>
      </c>
    </row>
    <row r="414" spans="1:3">
      <c r="B414" s="84"/>
      <c r="C414" s="1" t="str">
        <f t="shared" si="0"/>
        <v>Pending Dispatch</v>
      </c>
    </row>
    <row r="415" spans="1:3">
      <c r="B415" s="84">
        <v>45285</v>
      </c>
      <c r="C415" s="1">
        <f t="shared" si="0"/>
        <v>45285</v>
      </c>
    </row>
    <row r="416" spans="1:3">
      <c r="B416" s="86">
        <v>42957</v>
      </c>
      <c r="C416" s="1">
        <f t="shared" si="0"/>
        <v>42957</v>
      </c>
    </row>
    <row r="417" spans="1:3">
      <c r="B417" s="85"/>
      <c r="C417" s="1" t="str">
        <f t="shared" si="0"/>
        <v>Pending Dispatch</v>
      </c>
    </row>
    <row r="418" spans="1:3">
      <c r="B418" s="84">
        <v>43650</v>
      </c>
      <c r="C418" s="1">
        <f t="shared" si="0"/>
        <v>43650</v>
      </c>
    </row>
    <row r="419" spans="1:3">
      <c r="B419" s="85">
        <v>43184</v>
      </c>
      <c r="C419" s="1">
        <f t="shared" si="0"/>
        <v>43184</v>
      </c>
    </row>
    <row r="420" spans="1:3">
      <c r="B420" s="84">
        <v>43261</v>
      </c>
      <c r="C420" s="1">
        <f t="shared" si="0"/>
        <v>43261</v>
      </c>
    </row>
    <row r="421" spans="1:3">
      <c r="B421" s="84">
        <v>42182</v>
      </c>
      <c r="C421" s="1">
        <f t="shared" si="0"/>
        <v>42182</v>
      </c>
    </row>
    <row r="422" spans="1:3">
      <c r="B422" s="86"/>
      <c r="C422" s="1" t="str">
        <f t="shared" si="0"/>
        <v>Pending Dispatch</v>
      </c>
    </row>
    <row r="423" spans="1:3">
      <c r="B423" s="84">
        <v>45351</v>
      </c>
      <c r="C423" s="1">
        <f t="shared" si="0"/>
        <v>45351</v>
      </c>
    </row>
    <row r="424" spans="1:3">
      <c r="B424" s="86">
        <v>44297</v>
      </c>
      <c r="C424" s="1">
        <f t="shared" si="0"/>
        <v>44297</v>
      </c>
    </row>
    <row r="425" spans="1:3">
      <c r="B425" s="84">
        <v>44386</v>
      </c>
      <c r="C425" s="1">
        <f t="shared" si="0"/>
        <v>44386</v>
      </c>
    </row>
    <row r="426" spans="1:3">
      <c r="B426" s="84"/>
      <c r="C426" s="1" t="str">
        <f t="shared" si="0"/>
        <v>Pending Dispatch</v>
      </c>
    </row>
    <row r="427" spans="1:3">
      <c r="B427" s="84">
        <v>45614</v>
      </c>
      <c r="C427" s="1">
        <f t="shared" si="0"/>
        <v>45614</v>
      </c>
    </row>
    <row r="431" spans="1:3" ht="29.25">
      <c r="A431" s="15" t="s">
        <v>4488</v>
      </c>
      <c r="B431" s="15" t="b" cm="1">
        <f t="array" ref="B431:B590">Sales[BRAND_NAME]=Sales[PRODUCT_CTG]</f>
        <v>0</v>
      </c>
    </row>
    <row r="432" spans="1:3">
      <c r="B432" t="b">
        <v>0</v>
      </c>
    </row>
    <row r="433" spans="2:2">
      <c r="B433" t="b">
        <v>0</v>
      </c>
    </row>
    <row r="434" spans="2:2">
      <c r="B434" t="b">
        <v>0</v>
      </c>
    </row>
    <row r="435" spans="2:2">
      <c r="B435" t="b">
        <v>0</v>
      </c>
    </row>
    <row r="436" spans="2:2">
      <c r="B436" t="b">
        <v>0</v>
      </c>
    </row>
    <row r="437" spans="2:2">
      <c r="B437" t="b">
        <v>0</v>
      </c>
    </row>
    <row r="438" spans="2:2">
      <c r="B438" t="b">
        <v>0</v>
      </c>
    </row>
    <row r="439" spans="2:2">
      <c r="B439" t="b">
        <v>0</v>
      </c>
    </row>
    <row r="440" spans="2:2">
      <c r="B440" t="b">
        <v>0</v>
      </c>
    </row>
    <row r="441" spans="2:2">
      <c r="B441" t="b">
        <v>0</v>
      </c>
    </row>
    <row r="442" spans="2:2">
      <c r="B442" t="b">
        <v>0</v>
      </c>
    </row>
    <row r="443" spans="2:2">
      <c r="B443" t="b">
        <v>0</v>
      </c>
    </row>
    <row r="444" spans="2:2">
      <c r="B444" t="b">
        <v>0</v>
      </c>
    </row>
    <row r="445" spans="2:2">
      <c r="B445" s="87" t="b">
        <v>0</v>
      </c>
    </row>
    <row r="446" spans="2:2">
      <c r="B446" t="b">
        <v>0</v>
      </c>
    </row>
    <row r="447" spans="2:2">
      <c r="B447" t="b">
        <v>0</v>
      </c>
    </row>
    <row r="448" spans="2:2">
      <c r="B448" t="b">
        <v>0</v>
      </c>
    </row>
    <row r="449" spans="2:2">
      <c r="B449" t="b">
        <v>0</v>
      </c>
    </row>
    <row r="450" spans="2:2">
      <c r="B450" t="b">
        <v>0</v>
      </c>
    </row>
    <row r="451" spans="2:2">
      <c r="B451" t="b">
        <v>0</v>
      </c>
    </row>
    <row r="452" spans="2:2">
      <c r="B452" t="b">
        <v>0</v>
      </c>
    </row>
    <row r="453" spans="2:2">
      <c r="B453" t="b">
        <v>0</v>
      </c>
    </row>
    <row r="454" spans="2:2">
      <c r="B454" t="b">
        <v>0</v>
      </c>
    </row>
    <row r="455" spans="2:2">
      <c r="B455" t="b">
        <v>0</v>
      </c>
    </row>
    <row r="456" spans="2:2">
      <c r="B456" t="b">
        <v>0</v>
      </c>
    </row>
    <row r="457" spans="2:2">
      <c r="B457" t="b">
        <v>0</v>
      </c>
    </row>
    <row r="458" spans="2:2">
      <c r="B458" t="b">
        <v>0</v>
      </c>
    </row>
    <row r="459" spans="2:2">
      <c r="B459" t="b">
        <v>0</v>
      </c>
    </row>
    <row r="460" spans="2:2">
      <c r="B460" t="b">
        <v>0</v>
      </c>
    </row>
    <row r="461" spans="2:2">
      <c r="B461" t="b">
        <v>0</v>
      </c>
    </row>
    <row r="462" spans="2:2">
      <c r="B462" t="b">
        <v>0</v>
      </c>
    </row>
    <row r="463" spans="2:2">
      <c r="B463" t="b">
        <v>0</v>
      </c>
    </row>
    <row r="464" spans="2:2">
      <c r="B464" t="b">
        <v>0</v>
      </c>
    </row>
    <row r="465" spans="2:2">
      <c r="B465" t="b">
        <v>0</v>
      </c>
    </row>
    <row r="466" spans="2:2">
      <c r="B466" t="b">
        <v>0</v>
      </c>
    </row>
    <row r="467" spans="2:2">
      <c r="B467" t="b">
        <v>0</v>
      </c>
    </row>
    <row r="468" spans="2:2">
      <c r="B468" t="b">
        <v>0</v>
      </c>
    </row>
    <row r="469" spans="2:2">
      <c r="B469" t="b">
        <v>0</v>
      </c>
    </row>
    <row r="470" spans="2:2">
      <c r="B470" t="b">
        <v>0</v>
      </c>
    </row>
    <row r="471" spans="2:2">
      <c r="B471" t="b">
        <v>0</v>
      </c>
    </row>
    <row r="472" spans="2:2">
      <c r="B472" t="b">
        <v>0</v>
      </c>
    </row>
    <row r="473" spans="2:2">
      <c r="B473" t="b">
        <v>0</v>
      </c>
    </row>
    <row r="474" spans="2:2">
      <c r="B474" t="b">
        <v>0</v>
      </c>
    </row>
    <row r="475" spans="2:2">
      <c r="B475" t="b">
        <v>0</v>
      </c>
    </row>
    <row r="476" spans="2:2">
      <c r="B476" t="b">
        <v>0</v>
      </c>
    </row>
    <row r="477" spans="2:2">
      <c r="B477" t="b">
        <v>0</v>
      </c>
    </row>
    <row r="478" spans="2:2">
      <c r="B478" t="b">
        <v>0</v>
      </c>
    </row>
    <row r="479" spans="2:2">
      <c r="B479" t="b">
        <v>0</v>
      </c>
    </row>
    <row r="480" spans="2:2">
      <c r="B480" t="b">
        <v>0</v>
      </c>
    </row>
    <row r="481" spans="2:2">
      <c r="B481" t="b">
        <v>0</v>
      </c>
    </row>
    <row r="482" spans="2:2">
      <c r="B482" t="b">
        <v>0</v>
      </c>
    </row>
    <row r="483" spans="2:2">
      <c r="B483" t="b">
        <v>0</v>
      </c>
    </row>
    <row r="484" spans="2:2">
      <c r="B484" t="b">
        <v>0</v>
      </c>
    </row>
    <row r="485" spans="2:2">
      <c r="B485" t="b">
        <v>0</v>
      </c>
    </row>
    <row r="486" spans="2:2">
      <c r="B486" t="b">
        <v>0</v>
      </c>
    </row>
    <row r="487" spans="2:2">
      <c r="B487" t="b">
        <v>0</v>
      </c>
    </row>
    <row r="488" spans="2:2">
      <c r="B488" t="b">
        <v>0</v>
      </c>
    </row>
    <row r="489" spans="2:2">
      <c r="B489" t="b">
        <v>0</v>
      </c>
    </row>
    <row r="490" spans="2:2">
      <c r="B490" t="b">
        <v>0</v>
      </c>
    </row>
    <row r="491" spans="2:2">
      <c r="B491" t="b">
        <v>0</v>
      </c>
    </row>
    <row r="492" spans="2:2">
      <c r="B492" t="b">
        <v>0</v>
      </c>
    </row>
    <row r="493" spans="2:2">
      <c r="B493" t="b">
        <v>0</v>
      </c>
    </row>
    <row r="494" spans="2:2">
      <c r="B494" t="b">
        <v>0</v>
      </c>
    </row>
    <row r="495" spans="2:2">
      <c r="B495" t="b">
        <v>0</v>
      </c>
    </row>
    <row r="496" spans="2:2">
      <c r="B496" t="b">
        <v>0</v>
      </c>
    </row>
    <row r="497" spans="2:2">
      <c r="B497" t="b">
        <v>0</v>
      </c>
    </row>
    <row r="498" spans="2:2">
      <c r="B498" t="b">
        <v>0</v>
      </c>
    </row>
    <row r="499" spans="2:2">
      <c r="B499" t="b">
        <v>0</v>
      </c>
    </row>
    <row r="500" spans="2:2">
      <c r="B500" t="b">
        <v>0</v>
      </c>
    </row>
    <row r="501" spans="2:2">
      <c r="B501" t="b">
        <v>0</v>
      </c>
    </row>
    <row r="502" spans="2:2">
      <c r="B502" t="b">
        <v>0</v>
      </c>
    </row>
    <row r="503" spans="2:2">
      <c r="B503" t="b">
        <v>0</v>
      </c>
    </row>
    <row r="504" spans="2:2">
      <c r="B504" t="b">
        <v>0</v>
      </c>
    </row>
    <row r="505" spans="2:2">
      <c r="B505" t="b">
        <v>0</v>
      </c>
    </row>
    <row r="506" spans="2:2">
      <c r="B506" t="b">
        <v>0</v>
      </c>
    </row>
    <row r="507" spans="2:2">
      <c r="B507" t="b">
        <v>0</v>
      </c>
    </row>
    <row r="508" spans="2:2">
      <c r="B508" t="b">
        <v>0</v>
      </c>
    </row>
    <row r="509" spans="2:2">
      <c r="B509" t="b">
        <v>0</v>
      </c>
    </row>
    <row r="510" spans="2:2">
      <c r="B510" t="b">
        <v>0</v>
      </c>
    </row>
    <row r="511" spans="2:2">
      <c r="B511" t="b">
        <v>0</v>
      </c>
    </row>
    <row r="512" spans="2:2">
      <c r="B512" t="b">
        <v>0</v>
      </c>
    </row>
    <row r="513" spans="2:2">
      <c r="B513" t="b">
        <v>0</v>
      </c>
    </row>
    <row r="514" spans="2:2">
      <c r="B514" t="b">
        <v>0</v>
      </c>
    </row>
    <row r="515" spans="2:2">
      <c r="B515" t="b">
        <v>0</v>
      </c>
    </row>
    <row r="516" spans="2:2">
      <c r="B516" t="b">
        <v>0</v>
      </c>
    </row>
    <row r="517" spans="2:2">
      <c r="B517" t="b">
        <v>0</v>
      </c>
    </row>
    <row r="518" spans="2:2">
      <c r="B518" t="b">
        <v>0</v>
      </c>
    </row>
    <row r="519" spans="2:2">
      <c r="B519" t="b">
        <v>0</v>
      </c>
    </row>
    <row r="520" spans="2:2">
      <c r="B520" t="b">
        <v>0</v>
      </c>
    </row>
    <row r="521" spans="2:2">
      <c r="B521" t="b">
        <v>0</v>
      </c>
    </row>
    <row r="522" spans="2:2">
      <c r="B522" t="b">
        <v>0</v>
      </c>
    </row>
    <row r="523" spans="2:2">
      <c r="B523" t="b">
        <v>0</v>
      </c>
    </row>
    <row r="524" spans="2:2">
      <c r="B524" t="b">
        <v>0</v>
      </c>
    </row>
    <row r="525" spans="2:2">
      <c r="B525" t="b">
        <v>0</v>
      </c>
    </row>
    <row r="526" spans="2:2">
      <c r="B526" t="b">
        <v>0</v>
      </c>
    </row>
    <row r="527" spans="2:2">
      <c r="B527" t="b">
        <v>0</v>
      </c>
    </row>
    <row r="528" spans="2:2">
      <c r="B528" t="b">
        <v>0</v>
      </c>
    </row>
    <row r="529" spans="2:2">
      <c r="B529" t="b">
        <v>0</v>
      </c>
    </row>
    <row r="530" spans="2:2">
      <c r="B530" t="b">
        <v>0</v>
      </c>
    </row>
    <row r="531" spans="2:2">
      <c r="B531" t="b">
        <v>0</v>
      </c>
    </row>
    <row r="532" spans="2:2">
      <c r="B532" t="b">
        <v>0</v>
      </c>
    </row>
    <row r="533" spans="2:2">
      <c r="B533" t="b">
        <v>0</v>
      </c>
    </row>
    <row r="534" spans="2:2">
      <c r="B534" t="b">
        <v>0</v>
      </c>
    </row>
    <row r="535" spans="2:2">
      <c r="B535" t="b">
        <v>0</v>
      </c>
    </row>
    <row r="536" spans="2:2">
      <c r="B536" t="b">
        <v>0</v>
      </c>
    </row>
    <row r="537" spans="2:2">
      <c r="B537" t="b">
        <v>0</v>
      </c>
    </row>
    <row r="538" spans="2:2">
      <c r="B538" t="b">
        <v>0</v>
      </c>
    </row>
    <row r="539" spans="2:2">
      <c r="B539" t="b">
        <v>0</v>
      </c>
    </row>
    <row r="540" spans="2:2">
      <c r="B540" t="b">
        <v>0</v>
      </c>
    </row>
    <row r="541" spans="2:2">
      <c r="B541" t="b">
        <v>0</v>
      </c>
    </row>
    <row r="542" spans="2:2">
      <c r="B542" t="b">
        <v>0</v>
      </c>
    </row>
    <row r="543" spans="2:2">
      <c r="B543" t="b">
        <v>0</v>
      </c>
    </row>
    <row r="544" spans="2:2">
      <c r="B544" t="b">
        <v>0</v>
      </c>
    </row>
    <row r="545" spans="2:2">
      <c r="B545" t="b">
        <v>0</v>
      </c>
    </row>
    <row r="546" spans="2:2">
      <c r="B546" t="b">
        <v>0</v>
      </c>
    </row>
    <row r="547" spans="2:2">
      <c r="B547" t="b">
        <v>0</v>
      </c>
    </row>
    <row r="548" spans="2:2">
      <c r="B548" t="b">
        <v>0</v>
      </c>
    </row>
    <row r="549" spans="2:2">
      <c r="B549" t="b">
        <v>0</v>
      </c>
    </row>
    <row r="550" spans="2:2">
      <c r="B550" t="b">
        <v>0</v>
      </c>
    </row>
    <row r="551" spans="2:2">
      <c r="B551" t="b">
        <v>0</v>
      </c>
    </row>
    <row r="552" spans="2:2">
      <c r="B552" t="b">
        <v>0</v>
      </c>
    </row>
    <row r="553" spans="2:2">
      <c r="B553" t="b">
        <v>0</v>
      </c>
    </row>
    <row r="554" spans="2:2">
      <c r="B554" t="b">
        <v>0</v>
      </c>
    </row>
    <row r="555" spans="2:2">
      <c r="B555" t="b">
        <v>0</v>
      </c>
    </row>
    <row r="556" spans="2:2">
      <c r="B556" t="b">
        <v>0</v>
      </c>
    </row>
    <row r="557" spans="2:2">
      <c r="B557" t="b">
        <v>0</v>
      </c>
    </row>
    <row r="558" spans="2:2">
      <c r="B558" t="b">
        <v>0</v>
      </c>
    </row>
    <row r="559" spans="2:2">
      <c r="B559" t="b">
        <v>0</v>
      </c>
    </row>
    <row r="560" spans="2:2">
      <c r="B560" t="b">
        <v>0</v>
      </c>
    </row>
    <row r="561" spans="2:2">
      <c r="B561" t="b">
        <v>0</v>
      </c>
    </row>
    <row r="562" spans="2:2">
      <c r="B562" t="b">
        <v>0</v>
      </c>
    </row>
    <row r="563" spans="2:2">
      <c r="B563" t="b">
        <v>0</v>
      </c>
    </row>
    <row r="564" spans="2:2">
      <c r="B564" t="b">
        <v>0</v>
      </c>
    </row>
    <row r="565" spans="2:2">
      <c r="B565" t="b">
        <v>0</v>
      </c>
    </row>
    <row r="566" spans="2:2">
      <c r="B566" t="b">
        <v>0</v>
      </c>
    </row>
    <row r="567" spans="2:2">
      <c r="B567" t="b">
        <v>0</v>
      </c>
    </row>
    <row r="568" spans="2:2">
      <c r="B568" t="b">
        <v>0</v>
      </c>
    </row>
    <row r="569" spans="2:2">
      <c r="B569" t="b">
        <v>0</v>
      </c>
    </row>
    <row r="570" spans="2:2">
      <c r="B570" t="b">
        <v>0</v>
      </c>
    </row>
    <row r="571" spans="2:2">
      <c r="B571" t="b">
        <v>0</v>
      </c>
    </row>
    <row r="572" spans="2:2">
      <c r="B572" t="b">
        <v>0</v>
      </c>
    </row>
    <row r="573" spans="2:2">
      <c r="B573" t="b">
        <v>0</v>
      </c>
    </row>
    <row r="574" spans="2:2">
      <c r="B574" t="b">
        <v>0</v>
      </c>
    </row>
    <row r="575" spans="2:2">
      <c r="B575" t="b">
        <v>0</v>
      </c>
    </row>
    <row r="576" spans="2:2">
      <c r="B576" t="b">
        <v>0</v>
      </c>
    </row>
    <row r="577" spans="2:2">
      <c r="B577" t="b">
        <v>0</v>
      </c>
    </row>
    <row r="578" spans="2:2">
      <c r="B578" t="b">
        <v>0</v>
      </c>
    </row>
    <row r="579" spans="2:2">
      <c r="B579" t="b">
        <v>0</v>
      </c>
    </row>
    <row r="580" spans="2:2">
      <c r="B580" t="b">
        <v>0</v>
      </c>
    </row>
    <row r="581" spans="2:2">
      <c r="B581" t="b">
        <v>0</v>
      </c>
    </row>
    <row r="582" spans="2:2">
      <c r="B582" t="b">
        <v>0</v>
      </c>
    </row>
    <row r="583" spans="2:2">
      <c r="B583" t="b">
        <v>0</v>
      </c>
    </row>
    <row r="584" spans="2:2">
      <c r="B584" t="b">
        <v>0</v>
      </c>
    </row>
    <row r="585" spans="2:2">
      <c r="B585" t="b">
        <v>0</v>
      </c>
    </row>
    <row r="586" spans="2:2">
      <c r="B586" t="b">
        <v>0</v>
      </c>
    </row>
    <row r="587" spans="2:2">
      <c r="B587" t="b">
        <v>0</v>
      </c>
    </row>
    <row r="588" spans="2:2">
      <c r="B588" t="b">
        <v>0</v>
      </c>
    </row>
    <row r="589" spans="2:2">
      <c r="B589" t="b">
        <v>0</v>
      </c>
    </row>
    <row r="590" spans="2:2">
      <c r="B590" t="b">
        <v>0</v>
      </c>
    </row>
    <row r="595" spans="1:2" ht="43.5">
      <c r="A595" s="15" t="s">
        <v>4489</v>
      </c>
      <c r="B595" s="15" t="str" cm="1">
        <f t="array" ref="B595:B754">IF(_xlfn.DAYS(Sales[DELIVERY],Sales[ORDERDATE])&lt;3,"PRIME - SPEED DELIVERY", "NORMAL")</f>
        <v>NORMAL</v>
      </c>
    </row>
    <row r="596" spans="1:2">
      <c r="B596" t="str">
        <v>NORMAL</v>
      </c>
    </row>
    <row r="597" spans="1:2">
      <c r="B597" t="str">
        <v>NORMAL</v>
      </c>
    </row>
    <row r="598" spans="1:2">
      <c r="B598" t="str">
        <v>NORMAL</v>
      </c>
    </row>
    <row r="599" spans="1:2">
      <c r="B599" t="str">
        <v>NORMAL</v>
      </c>
    </row>
    <row r="600" spans="1:2">
      <c r="B600" t="str">
        <v>NORMAL</v>
      </c>
    </row>
    <row r="601" spans="1:2">
      <c r="B601" t="str">
        <v>NORMAL</v>
      </c>
    </row>
    <row r="602" spans="1:2">
      <c r="B602" t="str">
        <v>NORMAL</v>
      </c>
    </row>
    <row r="603" spans="1:2">
      <c r="B603" t="str">
        <v>NORMAL</v>
      </c>
    </row>
    <row r="604" spans="1:2">
      <c r="B604" t="str">
        <v>NORMAL</v>
      </c>
    </row>
    <row r="605" spans="1:2">
      <c r="B605" t="str">
        <v>NORMAL</v>
      </c>
    </row>
    <row r="606" spans="1:2">
      <c r="B606" t="str">
        <v>NORMAL</v>
      </c>
    </row>
    <row r="607" spans="1:2">
      <c r="B607" t="str">
        <v>NORMAL</v>
      </c>
    </row>
    <row r="608" spans="1:2">
      <c r="B608" t="str">
        <v>NORMAL</v>
      </c>
    </row>
    <row r="609" spans="2:2">
      <c r="B609" t="str">
        <v>NORMAL</v>
      </c>
    </row>
    <row r="610" spans="2:2">
      <c r="B610" t="str">
        <v>NORMAL</v>
      </c>
    </row>
    <row r="611" spans="2:2">
      <c r="B611" t="str">
        <v>NORMAL</v>
      </c>
    </row>
    <row r="612" spans="2:2">
      <c r="B612" t="str">
        <v>NORMAL</v>
      </c>
    </row>
    <row r="613" spans="2:2">
      <c r="B613" t="str">
        <v>NORMAL</v>
      </c>
    </row>
    <row r="614" spans="2:2">
      <c r="B614" t="str">
        <v>NORMAL</v>
      </c>
    </row>
    <row r="615" spans="2:2">
      <c r="B615" t="str">
        <v>NORMAL</v>
      </c>
    </row>
    <row r="616" spans="2:2">
      <c r="B616" t="str">
        <v>NORMAL</v>
      </c>
    </row>
    <row r="617" spans="2:2">
      <c r="B617" t="str">
        <v>NORMAL</v>
      </c>
    </row>
    <row r="618" spans="2:2">
      <c r="B618" t="str">
        <v>NORMAL</v>
      </c>
    </row>
    <row r="619" spans="2:2">
      <c r="B619" t="str">
        <v>NORMAL</v>
      </c>
    </row>
    <row r="620" spans="2:2">
      <c r="B620" t="str">
        <v>NORMAL</v>
      </c>
    </row>
    <row r="621" spans="2:2">
      <c r="B621" t="str">
        <v>NORMAL</v>
      </c>
    </row>
    <row r="622" spans="2:2">
      <c r="B622" t="str">
        <v>NORMAL</v>
      </c>
    </row>
    <row r="623" spans="2:2">
      <c r="B623" t="str">
        <v>NORMAL</v>
      </c>
    </row>
    <row r="624" spans="2:2">
      <c r="B624" t="str">
        <v>NORMAL</v>
      </c>
    </row>
    <row r="625" spans="2:2">
      <c r="B625" t="str">
        <v>NORMAL</v>
      </c>
    </row>
    <row r="626" spans="2:2">
      <c r="B626" t="str">
        <v>NORMAL</v>
      </c>
    </row>
    <row r="627" spans="2:2">
      <c r="B627" t="str">
        <v>NORMAL</v>
      </c>
    </row>
    <row r="628" spans="2:2">
      <c r="B628" t="str">
        <v>NORMAL</v>
      </c>
    </row>
    <row r="629" spans="2:2">
      <c r="B629" t="str">
        <v>NORMAL</v>
      </c>
    </row>
    <row r="630" spans="2:2">
      <c r="B630" t="str">
        <v>NORMAL</v>
      </c>
    </row>
    <row r="631" spans="2:2">
      <c r="B631" t="str">
        <v>NORMAL</v>
      </c>
    </row>
    <row r="632" spans="2:2">
      <c r="B632" t="str">
        <v>NORMAL</v>
      </c>
    </row>
    <row r="633" spans="2:2">
      <c r="B633" t="str">
        <v>NORMAL</v>
      </c>
    </row>
    <row r="634" spans="2:2">
      <c r="B634" t="str">
        <v>NORMAL</v>
      </c>
    </row>
    <row r="635" spans="2:2">
      <c r="B635" t="str">
        <v>NORMAL</v>
      </c>
    </row>
    <row r="636" spans="2:2">
      <c r="B636" t="str">
        <v>NORMAL</v>
      </c>
    </row>
    <row r="637" spans="2:2">
      <c r="B637" t="str">
        <v>NORMAL</v>
      </c>
    </row>
    <row r="638" spans="2:2">
      <c r="B638" t="str">
        <v>NORMAL</v>
      </c>
    </row>
    <row r="639" spans="2:2">
      <c r="B639" t="str">
        <v>NORMAL</v>
      </c>
    </row>
    <row r="640" spans="2:2">
      <c r="B640" t="str">
        <v>NORMAL</v>
      </c>
    </row>
    <row r="641" spans="2:2">
      <c r="B641" t="str">
        <v>NORMAL</v>
      </c>
    </row>
    <row r="642" spans="2:2">
      <c r="B642" t="str">
        <v>NORMAL</v>
      </c>
    </row>
    <row r="643" spans="2:2">
      <c r="B643" t="str">
        <v>NORMAL</v>
      </c>
    </row>
    <row r="644" spans="2:2">
      <c r="B644" t="str">
        <v>NORMAL</v>
      </c>
    </row>
    <row r="645" spans="2:2">
      <c r="B645" t="str">
        <v>NORMAL</v>
      </c>
    </row>
    <row r="646" spans="2:2">
      <c r="B646" t="str">
        <v>NORMAL</v>
      </c>
    </row>
    <row r="647" spans="2:2">
      <c r="B647" t="str">
        <v>NORMAL</v>
      </c>
    </row>
    <row r="648" spans="2:2">
      <c r="B648" t="str">
        <v>NORMAL</v>
      </c>
    </row>
    <row r="649" spans="2:2">
      <c r="B649" t="str">
        <v>NORMAL</v>
      </c>
    </row>
    <row r="650" spans="2:2">
      <c r="B650" t="str">
        <v>NORMAL</v>
      </c>
    </row>
    <row r="651" spans="2:2">
      <c r="B651" t="str">
        <v>NORMAL</v>
      </c>
    </row>
    <row r="652" spans="2:2">
      <c r="B652" t="str">
        <v>NORMAL</v>
      </c>
    </row>
    <row r="653" spans="2:2">
      <c r="B653" t="str">
        <v>NORMAL</v>
      </c>
    </row>
    <row r="654" spans="2:2">
      <c r="B654" t="str">
        <v>NORMAL</v>
      </c>
    </row>
    <row r="655" spans="2:2">
      <c r="B655" t="str">
        <v>NORMAL</v>
      </c>
    </row>
    <row r="656" spans="2:2">
      <c r="B656" t="str">
        <v>NORMAL</v>
      </c>
    </row>
    <row r="657" spans="2:2">
      <c r="B657" t="str">
        <v>NORMAL</v>
      </c>
    </row>
    <row r="658" spans="2:2">
      <c r="B658" t="str">
        <v>NORMAL</v>
      </c>
    </row>
    <row r="659" spans="2:2">
      <c r="B659" t="str">
        <v>NORMAL</v>
      </c>
    </row>
    <row r="660" spans="2:2">
      <c r="B660" t="str">
        <v>NORMAL</v>
      </c>
    </row>
    <row r="661" spans="2:2">
      <c r="B661" t="str">
        <v>NORMAL</v>
      </c>
    </row>
    <row r="662" spans="2:2">
      <c r="B662" t="str">
        <v>NORMAL</v>
      </c>
    </row>
    <row r="663" spans="2:2">
      <c r="B663" t="str">
        <v>NORMAL</v>
      </c>
    </row>
    <row r="664" spans="2:2">
      <c r="B664" t="str">
        <v>NORMAL</v>
      </c>
    </row>
    <row r="665" spans="2:2">
      <c r="B665" t="str">
        <v>NORMAL</v>
      </c>
    </row>
    <row r="666" spans="2:2">
      <c r="B666" t="str">
        <v>NORMAL</v>
      </c>
    </row>
    <row r="667" spans="2:2">
      <c r="B667" t="str">
        <v>NORMAL</v>
      </c>
    </row>
    <row r="668" spans="2:2">
      <c r="B668" t="str">
        <v>NORMAL</v>
      </c>
    </row>
    <row r="669" spans="2:2">
      <c r="B669" t="str">
        <v>NORMAL</v>
      </c>
    </row>
    <row r="670" spans="2:2">
      <c r="B670" t="str">
        <v>NORMAL</v>
      </c>
    </row>
    <row r="671" spans="2:2">
      <c r="B671" t="str">
        <v>NORMAL</v>
      </c>
    </row>
    <row r="672" spans="2:2">
      <c r="B672" t="str">
        <v>NORMAL</v>
      </c>
    </row>
    <row r="673" spans="2:2">
      <c r="B673" t="str">
        <v>NORMAL</v>
      </c>
    </row>
    <row r="674" spans="2:2">
      <c r="B674" t="str">
        <v>NORMAL</v>
      </c>
    </row>
    <row r="675" spans="2:2">
      <c r="B675" t="str">
        <v>NORMAL</v>
      </c>
    </row>
    <row r="676" spans="2:2">
      <c r="B676" t="str">
        <v>NORMAL</v>
      </c>
    </row>
    <row r="677" spans="2:2">
      <c r="B677" t="str">
        <v>NORMAL</v>
      </c>
    </row>
    <row r="678" spans="2:2">
      <c r="B678" t="str">
        <v>NORMAL</v>
      </c>
    </row>
    <row r="679" spans="2:2">
      <c r="B679" t="str">
        <v>NORMAL</v>
      </c>
    </row>
    <row r="680" spans="2:2">
      <c r="B680" t="str">
        <v>NORMAL</v>
      </c>
    </row>
    <row r="681" spans="2:2">
      <c r="B681" t="str">
        <v>NORMAL</v>
      </c>
    </row>
    <row r="682" spans="2:2">
      <c r="B682" t="str">
        <v>NORMAL</v>
      </c>
    </row>
    <row r="683" spans="2:2">
      <c r="B683" t="str">
        <v>NORMAL</v>
      </c>
    </row>
    <row r="684" spans="2:2">
      <c r="B684" t="str">
        <v>NORMAL</v>
      </c>
    </row>
    <row r="685" spans="2:2">
      <c r="B685" t="str">
        <v>NORMAL</v>
      </c>
    </row>
    <row r="686" spans="2:2">
      <c r="B686" t="str">
        <v>NORMAL</v>
      </c>
    </row>
    <row r="687" spans="2:2">
      <c r="B687" t="str">
        <v>NORMAL</v>
      </c>
    </row>
    <row r="688" spans="2:2">
      <c r="B688" t="str">
        <v>NORMAL</v>
      </c>
    </row>
    <row r="689" spans="2:2">
      <c r="B689" t="str">
        <v>NORMAL</v>
      </c>
    </row>
    <row r="690" spans="2:2">
      <c r="B690" t="str">
        <v>NORMAL</v>
      </c>
    </row>
    <row r="691" spans="2:2">
      <c r="B691" t="str">
        <v>NORMAL</v>
      </c>
    </row>
    <row r="692" spans="2:2">
      <c r="B692" t="str">
        <v>NORMAL</v>
      </c>
    </row>
    <row r="693" spans="2:2">
      <c r="B693" t="str">
        <v>NORMAL</v>
      </c>
    </row>
    <row r="694" spans="2:2">
      <c r="B694" t="str">
        <v>NORMAL</v>
      </c>
    </row>
    <row r="695" spans="2:2">
      <c r="B695" t="str">
        <v>NORMAL</v>
      </c>
    </row>
    <row r="696" spans="2:2">
      <c r="B696" t="str">
        <v>NORMAL</v>
      </c>
    </row>
    <row r="697" spans="2:2">
      <c r="B697" t="str">
        <v>NORMAL</v>
      </c>
    </row>
    <row r="698" spans="2:2">
      <c r="B698" t="str">
        <v>NORMAL</v>
      </c>
    </row>
    <row r="699" spans="2:2">
      <c r="B699" t="str">
        <v>NORMAL</v>
      </c>
    </row>
    <row r="700" spans="2:2">
      <c r="B700" t="str">
        <v>NORMAL</v>
      </c>
    </row>
    <row r="701" spans="2:2">
      <c r="B701" t="str">
        <v>NORMAL</v>
      </c>
    </row>
    <row r="702" spans="2:2">
      <c r="B702" t="str">
        <v>NORMAL</v>
      </c>
    </row>
    <row r="703" spans="2:2">
      <c r="B703" t="str">
        <v>NORMAL</v>
      </c>
    </row>
    <row r="704" spans="2:2">
      <c r="B704" t="str">
        <v>NORMAL</v>
      </c>
    </row>
    <row r="705" spans="2:2">
      <c r="B705" t="str">
        <v>NORMAL</v>
      </c>
    </row>
    <row r="706" spans="2:2">
      <c r="B706" t="str">
        <v>NORMAL</v>
      </c>
    </row>
    <row r="707" spans="2:2">
      <c r="B707" t="str">
        <v>NORMAL</v>
      </c>
    </row>
    <row r="708" spans="2:2">
      <c r="B708" t="str">
        <v>NORMAL</v>
      </c>
    </row>
    <row r="709" spans="2:2">
      <c r="B709" t="str">
        <v>NORMAL</v>
      </c>
    </row>
    <row r="710" spans="2:2">
      <c r="B710" t="str">
        <v>NORMAL</v>
      </c>
    </row>
    <row r="711" spans="2:2">
      <c r="B711" t="str">
        <v>NORMAL</v>
      </c>
    </row>
    <row r="712" spans="2:2">
      <c r="B712" t="str">
        <v>NORMAL</v>
      </c>
    </row>
    <row r="713" spans="2:2">
      <c r="B713" t="str">
        <v>NORMAL</v>
      </c>
    </row>
    <row r="714" spans="2:2">
      <c r="B714" t="str">
        <v>NORMAL</v>
      </c>
    </row>
    <row r="715" spans="2:2">
      <c r="B715" t="str">
        <v>NORMAL</v>
      </c>
    </row>
    <row r="716" spans="2:2">
      <c r="B716" t="str">
        <v>NORMAL</v>
      </c>
    </row>
    <row r="717" spans="2:2">
      <c r="B717" t="str">
        <v>NORMAL</v>
      </c>
    </row>
    <row r="718" spans="2:2">
      <c r="B718" t="str">
        <v>NORMAL</v>
      </c>
    </row>
    <row r="719" spans="2:2">
      <c r="B719" t="str">
        <v>NORMAL</v>
      </c>
    </row>
    <row r="720" spans="2:2">
      <c r="B720" t="str">
        <v>NORMAL</v>
      </c>
    </row>
    <row r="721" spans="2:2">
      <c r="B721" t="str">
        <v>NORMAL</v>
      </c>
    </row>
    <row r="722" spans="2:2">
      <c r="B722" t="str">
        <v>NORMAL</v>
      </c>
    </row>
    <row r="723" spans="2:2">
      <c r="B723" t="str">
        <v>NORMAL</v>
      </c>
    </row>
    <row r="724" spans="2:2">
      <c r="B724" t="str">
        <v>NORMAL</v>
      </c>
    </row>
    <row r="725" spans="2:2">
      <c r="B725" t="str">
        <v>NORMAL</v>
      </c>
    </row>
    <row r="726" spans="2:2">
      <c r="B726" t="str">
        <v>NORMAL</v>
      </c>
    </row>
    <row r="727" spans="2:2">
      <c r="B727" t="str">
        <v>NORMAL</v>
      </c>
    </row>
    <row r="728" spans="2:2">
      <c r="B728" t="str">
        <v>NORMAL</v>
      </c>
    </row>
    <row r="729" spans="2:2">
      <c r="B729" t="str">
        <v>NORMAL</v>
      </c>
    </row>
    <row r="730" spans="2:2">
      <c r="B730" t="str">
        <v>NORMAL</v>
      </c>
    </row>
    <row r="731" spans="2:2">
      <c r="B731" t="str">
        <v>NORMAL</v>
      </c>
    </row>
    <row r="732" spans="2:2">
      <c r="B732" t="str">
        <v>NORMAL</v>
      </c>
    </row>
    <row r="733" spans="2:2">
      <c r="B733" t="str">
        <v>NORMAL</v>
      </c>
    </row>
    <row r="734" spans="2:2">
      <c r="B734" t="str">
        <v>NORMAL</v>
      </c>
    </row>
    <row r="735" spans="2:2">
      <c r="B735" t="str">
        <v>NORMAL</v>
      </c>
    </row>
    <row r="736" spans="2:2">
      <c r="B736" t="str">
        <v>NORMAL</v>
      </c>
    </row>
    <row r="737" spans="2:2">
      <c r="B737" t="str">
        <v>NORMAL</v>
      </c>
    </row>
    <row r="738" spans="2:2">
      <c r="B738" t="str">
        <v>NORMAL</v>
      </c>
    </row>
    <row r="739" spans="2:2">
      <c r="B739" t="str">
        <v>NORMAL</v>
      </c>
    </row>
    <row r="740" spans="2:2">
      <c r="B740" t="str">
        <v>NORMAL</v>
      </c>
    </row>
    <row r="741" spans="2:2">
      <c r="B741" t="str">
        <v>NORMAL</v>
      </c>
    </row>
    <row r="742" spans="2:2">
      <c r="B742" t="str">
        <v>NORMAL</v>
      </c>
    </row>
    <row r="743" spans="2:2">
      <c r="B743" t="str">
        <v>NORMAL</v>
      </c>
    </row>
    <row r="744" spans="2:2">
      <c r="B744" t="str">
        <v>NORMAL</v>
      </c>
    </row>
    <row r="745" spans="2:2">
      <c r="B745" t="str">
        <v>NORMAL</v>
      </c>
    </row>
    <row r="746" spans="2:2">
      <c r="B746" t="str">
        <v>NORMAL</v>
      </c>
    </row>
    <row r="747" spans="2:2">
      <c r="B747" t="str">
        <v>NORMAL</v>
      </c>
    </row>
    <row r="748" spans="2:2">
      <c r="B748" t="str">
        <v>NORMAL</v>
      </c>
    </row>
    <row r="749" spans="2:2">
      <c r="B749" t="str">
        <v>NORMAL</v>
      </c>
    </row>
    <row r="750" spans="2:2">
      <c r="B750" t="str">
        <v>NORMAL</v>
      </c>
    </row>
    <row r="751" spans="2:2">
      <c r="B751" t="str">
        <v>NORMAL</v>
      </c>
    </row>
    <row r="752" spans="2:2">
      <c r="B752" t="str">
        <v>NORMAL</v>
      </c>
    </row>
    <row r="753" spans="1:3">
      <c r="B753" t="str">
        <v>NORMAL</v>
      </c>
    </row>
    <row r="754" spans="1:3">
      <c r="B754" t="str">
        <v>NORMAL</v>
      </c>
    </row>
    <row r="763" spans="1:3" ht="29.25">
      <c r="A763" s="15" t="s">
        <v>4490</v>
      </c>
      <c r="B763" t="str" cm="1">
        <f t="array" ref="B763:B922">IF(Sales[PRICE_PER_UNIT]&lt;25000,"Budget SmartPhone","Expansive")</f>
        <v>Expansive</v>
      </c>
      <c r="C763" t="str" cm="1">
        <f t="array" ref="C763:C922">Sales[PRODUCT_NAME]</f>
        <v>Predator Helios</v>
      </c>
    </row>
    <row r="764" spans="1:3">
      <c r="B764" t="str">
        <v>Expansive</v>
      </c>
      <c r="C764" t="str">
        <v>Nothing Phone 2</v>
      </c>
    </row>
    <row r="765" spans="1:3">
      <c r="B765" t="str">
        <v>Expansive</v>
      </c>
      <c r="C765" t="str">
        <v>Redmi Note 12</v>
      </c>
    </row>
    <row r="766" spans="1:3">
      <c r="B766" t="str">
        <v>Expansive</v>
      </c>
      <c r="C766" t="str">
        <v>ROG Zephyrus</v>
      </c>
    </row>
    <row r="767" spans="1:3">
      <c r="B767" t="str">
        <v>Expansive</v>
      </c>
      <c r="C767" t="str">
        <v>ROG Zephyrus</v>
      </c>
    </row>
    <row r="768" spans="1:3">
      <c r="B768" t="str">
        <v>Expansive</v>
      </c>
      <c r="C768" t="str">
        <v>ThinkPad E14</v>
      </c>
    </row>
    <row r="769" spans="2:3">
      <c r="B769" t="str">
        <v>Expansive</v>
      </c>
      <c r="C769" t="str">
        <v>ROG Zephyrus</v>
      </c>
    </row>
    <row r="770" spans="2:3">
      <c r="B770" t="str">
        <v>Expansive</v>
      </c>
      <c r="C770" t="str">
        <v>Oppo Reno 10</v>
      </c>
    </row>
    <row r="771" spans="2:3">
      <c r="B771" t="str">
        <v>Expansive</v>
      </c>
      <c r="C771" t="str">
        <v>Inspiron 15</v>
      </c>
    </row>
    <row r="772" spans="2:3">
      <c r="B772" t="str">
        <v>Expansive</v>
      </c>
      <c r="C772" t="str">
        <v>Vivobook 15</v>
      </c>
    </row>
    <row r="773" spans="2:3">
      <c r="B773" t="str">
        <v>Expansive</v>
      </c>
      <c r="C773" t="str">
        <v>Pavilion 14</v>
      </c>
    </row>
    <row r="774" spans="2:3">
      <c r="B774" t="str">
        <v>Expansive</v>
      </c>
      <c r="C774" t="str">
        <v>Vivobook 15</v>
      </c>
    </row>
    <row r="775" spans="2:3">
      <c r="B775" t="str">
        <v>Expansive</v>
      </c>
      <c r="C775" t="str">
        <v>Pavilion 14</v>
      </c>
    </row>
    <row r="776" spans="2:3">
      <c r="B776" t="str">
        <v>Expansive</v>
      </c>
      <c r="C776" t="str">
        <v>Vivobook 15</v>
      </c>
    </row>
    <row r="777" spans="2:3">
      <c r="B777" t="str">
        <v>Expansive</v>
      </c>
      <c r="C777" t="str">
        <v>DELL</v>
      </c>
    </row>
    <row r="778" spans="2:3">
      <c r="B778" t="str">
        <v>Expansive</v>
      </c>
      <c r="C778" t="str">
        <v>Galaxy S23</v>
      </c>
    </row>
    <row r="779" spans="2:3">
      <c r="B779" t="str">
        <v>Expansive</v>
      </c>
      <c r="C779" t="str">
        <v>Galaxy S23</v>
      </c>
    </row>
    <row r="780" spans="2:3">
      <c r="B780" t="str">
        <v>Expansive</v>
      </c>
      <c r="C780" t="str">
        <v>OnePlus 13</v>
      </c>
    </row>
    <row r="781" spans="2:3">
      <c r="B781" t="str">
        <v>Expansive</v>
      </c>
      <c r="C781" t="str">
        <v>OnePlus 11</v>
      </c>
    </row>
    <row r="782" spans="2:3">
      <c r="B782" t="str">
        <v>Expansive</v>
      </c>
      <c r="C782" t="str">
        <v>Modern 14</v>
      </c>
    </row>
    <row r="783" spans="2:3">
      <c r="B783" t="str">
        <v>Expansive</v>
      </c>
      <c r="C783" t="str">
        <v>GF63 Thin</v>
      </c>
    </row>
    <row r="784" spans="2:3">
      <c r="B784" t="str">
        <v>Expansive</v>
      </c>
      <c r="C784" t="str">
        <v>GF63 Thin</v>
      </c>
    </row>
    <row r="785" spans="2:3">
      <c r="B785" t="str">
        <v>Expansive</v>
      </c>
      <c r="C785" t="str">
        <v>Modern 14</v>
      </c>
    </row>
    <row r="786" spans="2:3">
      <c r="B786" t="str">
        <v>Expansive</v>
      </c>
      <c r="C786" t="str">
        <v>Aspire 5</v>
      </c>
    </row>
    <row r="787" spans="2:3">
      <c r="B787" t="str">
        <v>Expansive</v>
      </c>
      <c r="C787" t="str">
        <v>Aspire 5</v>
      </c>
    </row>
    <row r="788" spans="2:3">
      <c r="B788" t="str">
        <v>Expansive</v>
      </c>
      <c r="C788" t="str">
        <v>Aspire 5</v>
      </c>
    </row>
    <row r="789" spans="2:3">
      <c r="B789" t="str">
        <v>Expansive</v>
      </c>
      <c r="C789" t="str">
        <v>Omen 16</v>
      </c>
    </row>
    <row r="790" spans="2:3">
      <c r="B790" t="str">
        <v>Expansive</v>
      </c>
      <c r="C790" t="str">
        <v>Omen 16</v>
      </c>
    </row>
    <row r="791" spans="2:3">
      <c r="B791" s="51" t="str">
        <v>Budget SmartPhone</v>
      </c>
      <c r="C791" s="51" t="str">
        <v>Pixel 7</v>
      </c>
    </row>
    <row r="792" spans="2:3">
      <c r="B792" t="str">
        <v>Expansive</v>
      </c>
      <c r="C792" t="str">
        <v>XPS 13</v>
      </c>
    </row>
    <row r="793" spans="2:3">
      <c r="B793" t="str">
        <v>Expansive</v>
      </c>
      <c r="C793" t="str">
        <v>XPS 13</v>
      </c>
    </row>
    <row r="794" spans="2:3">
      <c r="B794" t="str">
        <v>Expansive</v>
      </c>
      <c r="C794" t="str">
        <v>Predator Helios</v>
      </c>
    </row>
    <row r="795" spans="2:3">
      <c r="B795" t="str">
        <v>Budget SmartPhone</v>
      </c>
      <c r="C795" t="str">
        <v>Nothing Phone 2</v>
      </c>
    </row>
    <row r="796" spans="2:3">
      <c r="B796" t="str">
        <v>Budget SmartPhone</v>
      </c>
      <c r="C796" t="str">
        <v>Realme GT Neo3</v>
      </c>
    </row>
    <row r="797" spans="2:3">
      <c r="B797" t="str">
        <v>Expansive</v>
      </c>
      <c r="C797" t="str">
        <v>IdeaPad Slim 5</v>
      </c>
    </row>
    <row r="798" spans="2:3">
      <c r="B798" t="str">
        <v>Expansive</v>
      </c>
      <c r="C798" t="str">
        <v>IdeaPad Slim 5</v>
      </c>
    </row>
    <row r="799" spans="2:3">
      <c r="B799" t="str">
        <v>Expansive</v>
      </c>
      <c r="C799" t="str">
        <v>Redmi Note 12</v>
      </c>
    </row>
    <row r="800" spans="2:3">
      <c r="B800" t="str">
        <v>Expansive</v>
      </c>
      <c r="C800" t="str">
        <v>ThinkPad E14</v>
      </c>
    </row>
    <row r="801" spans="2:3">
      <c r="B801" t="str">
        <v>Expansive</v>
      </c>
      <c r="C801" t="str">
        <v>ROG Zephyrus</v>
      </c>
    </row>
    <row r="802" spans="2:3">
      <c r="B802" t="str">
        <v>Expansive</v>
      </c>
      <c r="C802" t="str">
        <v>ThinkPad E14</v>
      </c>
    </row>
    <row r="803" spans="2:3">
      <c r="B803" t="str">
        <v>Expansive</v>
      </c>
      <c r="C803" t="str">
        <v>Moto Edge 40</v>
      </c>
    </row>
    <row r="804" spans="2:3">
      <c r="B804" t="str">
        <v>Expansive</v>
      </c>
      <c r="C804" t="str">
        <v>Oppo Reno 10</v>
      </c>
    </row>
    <row r="805" spans="2:3">
      <c r="B805" t="str">
        <v>Expansive</v>
      </c>
      <c r="C805" t="str">
        <v>Moto Edge 40</v>
      </c>
    </row>
    <row r="806" spans="2:3">
      <c r="B806" t="str">
        <v>Budget SmartPhone</v>
      </c>
      <c r="C806" t="str">
        <v>Moto Edge 40</v>
      </c>
    </row>
    <row r="807" spans="2:3">
      <c r="B807" t="str">
        <v>Expansive</v>
      </c>
      <c r="C807" t="str">
        <v>Vivobook 15</v>
      </c>
    </row>
    <row r="808" spans="2:3">
      <c r="B808" t="str">
        <v>Expansive</v>
      </c>
      <c r="C808" t="str">
        <v>Pavilion 14</v>
      </c>
    </row>
    <row r="809" spans="2:3">
      <c r="B809" t="str">
        <v>Expansive</v>
      </c>
      <c r="C809" t="str">
        <v>Pavilion 14</v>
      </c>
    </row>
    <row r="810" spans="2:3">
      <c r="B810" t="str">
        <v>Expansive</v>
      </c>
      <c r="C810" t="str">
        <v>Vivobook 15</v>
      </c>
    </row>
    <row r="811" spans="2:3">
      <c r="B811" t="str">
        <v>Expansive</v>
      </c>
      <c r="C811" t="str">
        <v>Pavilion 14</v>
      </c>
    </row>
    <row r="812" spans="2:3">
      <c r="B812" t="str">
        <v>Expansive</v>
      </c>
      <c r="C812" t="str">
        <v>Pavilion 14</v>
      </c>
    </row>
    <row r="813" spans="2:3">
      <c r="B813" t="str">
        <v>Expansive</v>
      </c>
      <c r="C813" t="str">
        <v>Vivobook 15</v>
      </c>
    </row>
    <row r="814" spans="2:3">
      <c r="B814" t="str">
        <v>Expansive</v>
      </c>
      <c r="C814" t="str">
        <v>Galaxy S23</v>
      </c>
    </row>
    <row r="815" spans="2:3">
      <c r="B815" s="51" t="str">
        <v>Budget SmartPhone</v>
      </c>
      <c r="C815" s="51" t="str">
        <v>Galaxy S23</v>
      </c>
    </row>
    <row r="816" spans="2:3">
      <c r="B816" t="str">
        <v>Expansive</v>
      </c>
      <c r="C816" t="str">
        <v>Modern 14</v>
      </c>
    </row>
    <row r="817" spans="2:3">
      <c r="B817" t="str">
        <v>Expansive</v>
      </c>
      <c r="C817" t="str">
        <v>GF63 Thin</v>
      </c>
    </row>
    <row r="818" spans="2:3">
      <c r="B818" t="str">
        <v>Expansive</v>
      </c>
      <c r="C818" t="str">
        <v>GF63 Thin</v>
      </c>
    </row>
    <row r="819" spans="2:3">
      <c r="B819" t="str">
        <v>Expansive</v>
      </c>
      <c r="C819" t="str">
        <v>Vivo V27</v>
      </c>
    </row>
    <row r="820" spans="2:3">
      <c r="B820" t="str">
        <v>Expansive</v>
      </c>
      <c r="C820">
        <v>0</v>
      </c>
    </row>
    <row r="821" spans="2:3">
      <c r="B821" t="str">
        <v>Expansive</v>
      </c>
      <c r="C821" t="str">
        <v>Omen 16</v>
      </c>
    </row>
    <row r="822" spans="2:3">
      <c r="B822" t="str">
        <v>Expansive</v>
      </c>
      <c r="C822" t="str">
        <v>Omen 16</v>
      </c>
    </row>
    <row r="823" spans="2:3">
      <c r="B823" t="str">
        <v>Expansive</v>
      </c>
      <c r="C823" t="str">
        <v>Pixel 7</v>
      </c>
    </row>
    <row r="824" spans="2:3">
      <c r="B824" t="str">
        <v>Expansive</v>
      </c>
      <c r="C824" t="str">
        <v>XPS 13</v>
      </c>
    </row>
    <row r="825" spans="2:3">
      <c r="B825" t="str">
        <v>Expansive</v>
      </c>
      <c r="C825" t="str">
        <v>XPS 13</v>
      </c>
    </row>
    <row r="826" spans="2:3">
      <c r="B826" t="str">
        <v>Expansive</v>
      </c>
      <c r="C826" t="str">
        <v>XPS 13</v>
      </c>
    </row>
    <row r="827" spans="2:3">
      <c r="B827" t="str">
        <v>Expansive</v>
      </c>
      <c r="C827" t="str">
        <v>Predator Helios</v>
      </c>
    </row>
    <row r="828" spans="2:3">
      <c r="B828" t="str">
        <v>Expansive</v>
      </c>
      <c r="C828" t="str">
        <v>Predator Helios</v>
      </c>
    </row>
    <row r="829" spans="2:3">
      <c r="B829" t="str">
        <v>Expansive</v>
      </c>
      <c r="C829" t="str">
        <v>Predator Helios</v>
      </c>
    </row>
    <row r="830" spans="2:3">
      <c r="B830" t="str">
        <v>Expansive</v>
      </c>
      <c r="C830" t="str">
        <v>Realme GT Neo3</v>
      </c>
    </row>
    <row r="831" spans="2:3">
      <c r="B831" t="str">
        <v>Expansive</v>
      </c>
      <c r="C831" t="str">
        <v>Nothing Phone 2</v>
      </c>
    </row>
    <row r="832" spans="2:3">
      <c r="B832" t="str">
        <v>Expansive</v>
      </c>
      <c r="C832" t="str">
        <v>Nothing Phone 2</v>
      </c>
    </row>
    <row r="833" spans="2:3">
      <c r="B833" t="str">
        <v>Expansive</v>
      </c>
      <c r="C833" t="str">
        <v>Realme GT Neo3</v>
      </c>
    </row>
    <row r="834" spans="2:3">
      <c r="B834" t="str">
        <v>Expansive</v>
      </c>
      <c r="C834" t="str">
        <v>IdeaPad Slim 5</v>
      </c>
    </row>
    <row r="835" spans="2:3">
      <c r="B835" t="str">
        <v>Expansive</v>
      </c>
      <c r="C835" t="str">
        <v>IdeaPad Slim 5</v>
      </c>
    </row>
    <row r="836" spans="2:3">
      <c r="B836" t="str">
        <v>Expansive</v>
      </c>
      <c r="C836" t="str">
        <v>ROG Zephyrus</v>
      </c>
    </row>
    <row r="837" spans="2:3">
      <c r="B837" t="str">
        <v>Expansive</v>
      </c>
      <c r="C837" t="str">
        <v>ThinkPad E14</v>
      </c>
    </row>
    <row r="838" spans="2:3">
      <c r="B838" t="str">
        <v>Expansive</v>
      </c>
      <c r="C838" t="str">
        <v>ROG Zephyrus</v>
      </c>
    </row>
    <row r="839" spans="2:3">
      <c r="B839" t="str">
        <v>Expansive</v>
      </c>
      <c r="C839" t="str">
        <v>Moto Edge 40</v>
      </c>
    </row>
    <row r="840" spans="2:3">
      <c r="B840" t="str">
        <v>Expansive</v>
      </c>
      <c r="C840" t="str">
        <v>Moto Edge 40</v>
      </c>
    </row>
    <row r="841" spans="2:3">
      <c r="B841" t="str">
        <v>Expansive</v>
      </c>
      <c r="C841" t="str">
        <v>Oppo Reno 10</v>
      </c>
    </row>
    <row r="842" spans="2:3">
      <c r="B842" t="str">
        <v>Expansive</v>
      </c>
      <c r="C842" t="str">
        <v>Inspiron 15</v>
      </c>
    </row>
    <row r="843" spans="2:3">
      <c r="B843" t="str">
        <v>Expansive</v>
      </c>
      <c r="C843" t="str">
        <v>Inspiron 15</v>
      </c>
    </row>
    <row r="844" spans="2:3">
      <c r="B844" t="str">
        <v>Expansive</v>
      </c>
      <c r="C844" t="str">
        <v>Vivobook 15</v>
      </c>
    </row>
    <row r="845" spans="2:3">
      <c r="B845" t="str">
        <v>Expansive</v>
      </c>
      <c r="C845" t="str">
        <v>Pavilion 14</v>
      </c>
    </row>
    <row r="846" spans="2:3">
      <c r="B846" t="str">
        <v>Expansive</v>
      </c>
      <c r="C846" t="str">
        <v>Vivobook 15</v>
      </c>
    </row>
    <row r="847" spans="2:3">
      <c r="B847" s="51" t="str">
        <v>Budget SmartPhone</v>
      </c>
      <c r="C847" s="51" t="str">
        <v>OnePlus 11</v>
      </c>
    </row>
    <row r="848" spans="2:3">
      <c r="B848" t="str">
        <v>Expansive</v>
      </c>
      <c r="C848" t="str">
        <v>GF63 Thin</v>
      </c>
    </row>
    <row r="849" spans="2:3">
      <c r="B849" t="str">
        <v>Expansive</v>
      </c>
      <c r="C849" t="str">
        <v>GF63 Thin</v>
      </c>
    </row>
    <row r="850" spans="2:3">
      <c r="B850" t="str">
        <v>Expansive</v>
      </c>
      <c r="C850" t="str">
        <v>Aspire 5</v>
      </c>
    </row>
    <row r="851" spans="2:3">
      <c r="B851" t="str">
        <v>Expansive</v>
      </c>
      <c r="C851" t="str">
        <v>Aspire 5</v>
      </c>
    </row>
    <row r="852" spans="2:3">
      <c r="B852" t="str">
        <v>Expansive</v>
      </c>
      <c r="C852" t="str">
        <v>Omen 16</v>
      </c>
    </row>
    <row r="853" spans="2:3">
      <c r="B853" t="str">
        <v>Expansive</v>
      </c>
      <c r="C853" t="str">
        <v>Pixel 7</v>
      </c>
    </row>
    <row r="854" spans="2:3">
      <c r="B854" t="str">
        <v>Expansive</v>
      </c>
      <c r="C854" t="str">
        <v>Pixel 7</v>
      </c>
    </row>
    <row r="855" spans="2:3">
      <c r="B855" t="str">
        <v>Expansive</v>
      </c>
      <c r="C855" t="str">
        <v>Predator Helios</v>
      </c>
    </row>
    <row r="856" spans="2:3">
      <c r="B856" t="str">
        <v>Expansive</v>
      </c>
      <c r="C856" t="str">
        <v>Predator Helios</v>
      </c>
    </row>
    <row r="857" spans="2:3">
      <c r="B857" t="str">
        <v>Expansive</v>
      </c>
      <c r="C857" t="str">
        <v>Realme GT Neo3</v>
      </c>
    </row>
    <row r="858" spans="2:3">
      <c r="B858" t="str">
        <v>Expansive</v>
      </c>
      <c r="C858" t="str">
        <v>Realme GT Neo3</v>
      </c>
    </row>
    <row r="859" spans="2:3">
      <c r="B859" t="str">
        <v>Expansive</v>
      </c>
      <c r="C859" t="str">
        <v>Nothing Phone 2</v>
      </c>
    </row>
    <row r="860" spans="2:3">
      <c r="B860" t="str">
        <v>Expansive</v>
      </c>
      <c r="C860" t="str">
        <v>IdeaPad Slim 5</v>
      </c>
    </row>
    <row r="861" spans="2:3">
      <c r="B861" t="str">
        <v>Expansive</v>
      </c>
      <c r="C861" t="str">
        <v>Redmi Note 12</v>
      </c>
    </row>
    <row r="862" spans="2:3">
      <c r="B862" t="str">
        <v>Expansive</v>
      </c>
      <c r="C862" t="str">
        <v>Redmi Note 12</v>
      </c>
    </row>
    <row r="863" spans="2:3">
      <c r="B863" s="51" t="str">
        <v>Budget SmartPhone</v>
      </c>
      <c r="C863" s="51" t="str">
        <v>Redmi Note 12</v>
      </c>
    </row>
    <row r="864" spans="2:3">
      <c r="B864" t="str">
        <v>Expansive</v>
      </c>
      <c r="C864" t="str">
        <v>ROG Zephyrus</v>
      </c>
    </row>
    <row r="865" spans="2:3">
      <c r="B865" t="str">
        <v>Expansive</v>
      </c>
      <c r="C865" t="str">
        <v>ThinkPad E14</v>
      </c>
    </row>
    <row r="866" spans="2:3">
      <c r="B866" t="str">
        <v>Expansive</v>
      </c>
      <c r="C866" t="str">
        <v>ThinkPad E14</v>
      </c>
    </row>
    <row r="867" spans="2:3">
      <c r="B867" t="str">
        <v>Expansive</v>
      </c>
      <c r="C867" t="str">
        <v>ROG Zephyrus</v>
      </c>
    </row>
    <row r="868" spans="2:3">
      <c r="B868" t="str">
        <v>Expansive</v>
      </c>
      <c r="C868" t="str">
        <v>Oppo Reno 10</v>
      </c>
    </row>
    <row r="869" spans="2:3">
      <c r="B869" t="str">
        <v>Expansive</v>
      </c>
      <c r="C869" t="str">
        <v>Pavilion 14</v>
      </c>
    </row>
    <row r="870" spans="2:3">
      <c r="B870" t="str">
        <v>Expansive</v>
      </c>
      <c r="C870" t="str">
        <v>Vivobook 15</v>
      </c>
    </row>
    <row r="871" spans="2:3">
      <c r="B871" t="str">
        <v>Expansive</v>
      </c>
      <c r="C871" t="str">
        <v>Vivobook 15</v>
      </c>
    </row>
    <row r="872" spans="2:3">
      <c r="B872" t="str">
        <v>Expansive</v>
      </c>
      <c r="C872" t="str">
        <v>Pavilion 14</v>
      </c>
    </row>
    <row r="873" spans="2:3">
      <c r="B873" t="str">
        <v>Expansive</v>
      </c>
      <c r="C873" t="str">
        <v>Vivobook 15</v>
      </c>
    </row>
    <row r="874" spans="2:3">
      <c r="B874" t="str">
        <v>Expansive</v>
      </c>
      <c r="C874" t="str">
        <v>OnePlus 11</v>
      </c>
    </row>
    <row r="875" spans="2:3">
      <c r="B875" t="str">
        <v>Expansive</v>
      </c>
      <c r="C875" t="str">
        <v>OnePlus 11</v>
      </c>
    </row>
    <row r="876" spans="2:3">
      <c r="B876" t="str">
        <v>Expansive</v>
      </c>
      <c r="C876" t="str">
        <v>GF63 Thin</v>
      </c>
    </row>
    <row r="877" spans="2:3">
      <c r="B877" t="str">
        <v>Expansive</v>
      </c>
      <c r="C877" t="str">
        <v>GF63 Thin</v>
      </c>
    </row>
    <row r="878" spans="2:3">
      <c r="B878" t="str">
        <v>Expansive</v>
      </c>
      <c r="C878" t="str">
        <v>Modern 14</v>
      </c>
    </row>
    <row r="879" spans="2:3">
      <c r="B879" t="str">
        <v>Expansive</v>
      </c>
      <c r="C879" t="str">
        <v>iPhone 14</v>
      </c>
    </row>
    <row r="880" spans="2:3">
      <c r="B880" t="str">
        <v>Expansive</v>
      </c>
      <c r="C880" t="str">
        <v>iPhone 14</v>
      </c>
    </row>
    <row r="881" spans="2:3">
      <c r="B881" t="str">
        <v>Expansive</v>
      </c>
      <c r="C881" t="str">
        <v>iPhone 14</v>
      </c>
    </row>
    <row r="882" spans="2:3">
      <c r="B882" t="str">
        <v>Expansive</v>
      </c>
      <c r="C882" t="str">
        <v>Aspire 5</v>
      </c>
    </row>
    <row r="883" spans="2:3">
      <c r="B883" t="str">
        <v>Expansive</v>
      </c>
      <c r="C883" t="str">
        <v>Aspire 5</v>
      </c>
    </row>
    <row r="884" spans="2:3">
      <c r="B884" t="str">
        <v>Expansive</v>
      </c>
      <c r="C884" t="str">
        <v>Aspire 5</v>
      </c>
    </row>
    <row r="885" spans="2:3">
      <c r="B885" t="str">
        <v>Expansive</v>
      </c>
      <c r="C885" t="str">
        <v>Vivo V27</v>
      </c>
    </row>
    <row r="886" spans="2:3">
      <c r="B886" t="str">
        <v>Expansive</v>
      </c>
      <c r="C886" t="str">
        <v>Vivo V27</v>
      </c>
    </row>
    <row r="887" spans="2:3">
      <c r="B887" t="str">
        <v>Expansive</v>
      </c>
      <c r="C887" t="str">
        <v>Vivo V27</v>
      </c>
    </row>
    <row r="888" spans="2:3">
      <c r="B888" t="str">
        <v>Expansive</v>
      </c>
      <c r="C888" t="str">
        <v>Omen 16</v>
      </c>
    </row>
    <row r="889" spans="2:3">
      <c r="B889" t="str">
        <v>Expansive</v>
      </c>
      <c r="C889" t="str">
        <v>Predator Helios</v>
      </c>
    </row>
    <row r="890" spans="2:3">
      <c r="B890" s="51" t="str">
        <v>Budget SmartPhone</v>
      </c>
      <c r="C890" s="51" t="str">
        <v>Nothing Phone 2</v>
      </c>
    </row>
    <row r="891" spans="2:3">
      <c r="B891" t="str">
        <v>Expansive</v>
      </c>
      <c r="C891" t="str">
        <v>Realme GT Neo3</v>
      </c>
    </row>
    <row r="892" spans="2:3">
      <c r="B892" t="str">
        <v>Expansive</v>
      </c>
      <c r="C892" t="str">
        <v>Nothing Phone 2</v>
      </c>
    </row>
    <row r="893" spans="2:3">
      <c r="B893" t="str">
        <v>Expansive</v>
      </c>
      <c r="C893" t="str">
        <v>Nothing Phone 2</v>
      </c>
    </row>
    <row r="894" spans="2:3">
      <c r="B894" t="str">
        <v>Expansive</v>
      </c>
      <c r="C894" t="str">
        <v>IdeaPad Slim 5</v>
      </c>
    </row>
    <row r="895" spans="2:3">
      <c r="B895" t="str">
        <v>Expansive</v>
      </c>
      <c r="C895" t="str">
        <v>Redmi Note 12</v>
      </c>
    </row>
    <row r="896" spans="2:3">
      <c r="B896" t="str">
        <v>Expansive</v>
      </c>
      <c r="C896" t="str">
        <v>ROG Zephyrus</v>
      </c>
    </row>
    <row r="897" spans="2:3">
      <c r="B897" t="str">
        <v>Expansive</v>
      </c>
      <c r="C897" t="str">
        <v>ThinkPad E14</v>
      </c>
    </row>
    <row r="898" spans="2:3">
      <c r="B898" t="str">
        <v>Expansive</v>
      </c>
      <c r="C898" t="str">
        <v>Moto Edge 40</v>
      </c>
    </row>
    <row r="899" spans="2:3">
      <c r="B899" s="51" t="str">
        <v>Budget SmartPhone</v>
      </c>
      <c r="C899" s="51" t="str">
        <v>Oppo Reno 10</v>
      </c>
    </row>
    <row r="900" spans="2:3">
      <c r="B900" t="str">
        <v>Expansive</v>
      </c>
      <c r="C900" t="str">
        <v>Moto Edge 40</v>
      </c>
    </row>
    <row r="901" spans="2:3">
      <c r="B901" t="str">
        <v>Expansive</v>
      </c>
      <c r="C901" t="str">
        <v>Moto Edge 40</v>
      </c>
    </row>
    <row r="902" spans="2:3">
      <c r="B902" t="str">
        <v>Expansive</v>
      </c>
      <c r="C902" t="str">
        <v>Inspiron 15</v>
      </c>
    </row>
    <row r="903" spans="2:3">
      <c r="B903" t="str">
        <v>Expansive</v>
      </c>
      <c r="C903" t="str">
        <v>Pavilion 14</v>
      </c>
    </row>
    <row r="904" spans="2:3">
      <c r="B904" t="str">
        <v>Expansive</v>
      </c>
      <c r="C904" t="str">
        <v>Pavilion 14</v>
      </c>
    </row>
    <row r="905" spans="2:3">
      <c r="B905" t="str">
        <v>Expansive</v>
      </c>
      <c r="C905" t="str">
        <v>Vivobook 15</v>
      </c>
    </row>
    <row r="906" spans="2:3">
      <c r="B906" t="str">
        <v>Expansive</v>
      </c>
      <c r="C906" t="str">
        <v>Galaxy S23</v>
      </c>
    </row>
    <row r="907" spans="2:3">
      <c r="B907" t="str">
        <v>Expansive</v>
      </c>
      <c r="C907" t="str">
        <v>Galaxy S23</v>
      </c>
    </row>
    <row r="908" spans="2:3">
      <c r="B908" t="str">
        <v>Expansive</v>
      </c>
      <c r="C908" t="str">
        <v>GF63 Thin</v>
      </c>
    </row>
    <row r="909" spans="2:3">
      <c r="B909" t="str">
        <v>Expansive</v>
      </c>
      <c r="C909" t="str">
        <v>GF63 Thin</v>
      </c>
    </row>
    <row r="910" spans="2:3">
      <c r="B910" t="str">
        <v>Expansive</v>
      </c>
      <c r="C910" t="str">
        <v>Modern 14</v>
      </c>
    </row>
    <row r="911" spans="2:3">
      <c r="B911" t="str">
        <v>Expansive</v>
      </c>
      <c r="C911" t="str">
        <v>GF63 Thin</v>
      </c>
    </row>
    <row r="912" spans="2:3">
      <c r="B912" t="str">
        <v>Expansive</v>
      </c>
      <c r="C912" t="str">
        <v>GF63 Thin</v>
      </c>
    </row>
    <row r="913" spans="2:3">
      <c r="B913" t="str">
        <v>Expansive</v>
      </c>
      <c r="C913" t="str">
        <v>iPhone 14</v>
      </c>
    </row>
    <row r="914" spans="2:3">
      <c r="B914" t="str">
        <v>Expansive</v>
      </c>
      <c r="C914" t="str">
        <v>Vivo V27</v>
      </c>
    </row>
    <row r="915" spans="2:3">
      <c r="B915" t="str">
        <v>Expansive</v>
      </c>
      <c r="C915" t="str">
        <v>Vivo V27</v>
      </c>
    </row>
    <row r="916" spans="2:3">
      <c r="B916" t="str">
        <v>Expansive</v>
      </c>
      <c r="C916" t="str">
        <v>Omen 16</v>
      </c>
    </row>
    <row r="917" spans="2:3">
      <c r="B917" t="str">
        <v>Expansive</v>
      </c>
      <c r="C917" t="str">
        <v>Omen 16</v>
      </c>
    </row>
    <row r="918" spans="2:3">
      <c r="B918" t="str">
        <v>Expansive</v>
      </c>
      <c r="C918" t="str">
        <v>Omen 16</v>
      </c>
    </row>
    <row r="919" spans="2:3">
      <c r="B919" t="str">
        <v>Expansive</v>
      </c>
      <c r="C919" t="str">
        <v>Pixel 7</v>
      </c>
    </row>
    <row r="920" spans="2:3">
      <c r="B920" t="str">
        <v>Expansive</v>
      </c>
      <c r="C920" t="str">
        <v>XPS 13</v>
      </c>
    </row>
    <row r="921" spans="2:3">
      <c r="B921" t="str">
        <v>Expansive</v>
      </c>
      <c r="C921" t="str">
        <v>XPS 13</v>
      </c>
    </row>
    <row r="922" spans="2:3">
      <c r="B922" t="str">
        <v>Expansive</v>
      </c>
      <c r="C922" t="str">
        <v>XPS 13</v>
      </c>
    </row>
    <row r="929" spans="1:3" ht="29.25">
      <c r="A929" s="15" t="s">
        <v>4491</v>
      </c>
    </row>
    <row r="930" spans="1:3">
      <c r="B930" s="90" t="s">
        <v>4492</v>
      </c>
      <c r="C930" s="90" t="s">
        <v>4493</v>
      </c>
    </row>
    <row r="931" spans="1:3">
      <c r="B931" s="89">
        <f ca="1">TODAY()</f>
        <v>45987</v>
      </c>
      <c r="C931" s="88" t="str">
        <f ca="1">IF(MONTH(B931)&gt;10,"Holidays Season","No Holidays")</f>
        <v>Holidays Season</v>
      </c>
    </row>
    <row r="932" spans="1:3">
      <c r="B932" s="89">
        <f ca="1">TODAY()+45</f>
        <v>46032</v>
      </c>
      <c r="C932" s="88" t="str">
        <f t="shared" ref="C932:C937" ca="1" si="1">IF(MONTH(B932)&gt;10,"Holidays Season","No Holidays")</f>
        <v>No Holidays</v>
      </c>
    </row>
    <row r="933" spans="1:3">
      <c r="B933" s="89">
        <f ca="1">TODAY()+360</f>
        <v>46347</v>
      </c>
      <c r="C933" s="88" t="str">
        <f t="shared" ca="1" si="1"/>
        <v>Holidays Season</v>
      </c>
    </row>
    <row r="934" spans="1:3">
      <c r="B934" s="89">
        <f ca="1">TODAY()-350</f>
        <v>45637</v>
      </c>
      <c r="C934" s="88" t="str">
        <f t="shared" ca="1" si="1"/>
        <v>Holidays Season</v>
      </c>
    </row>
    <row r="935" spans="1:3">
      <c r="B935" s="89">
        <f ca="1">TODAY()-700</f>
        <v>45287</v>
      </c>
      <c r="C935" s="88" t="str">
        <f t="shared" ca="1" si="1"/>
        <v>Holidays Season</v>
      </c>
    </row>
    <row r="936" spans="1:3">
      <c r="B936" s="89">
        <f ca="1">TODAY()+600</f>
        <v>46587</v>
      </c>
      <c r="C936" s="88" t="str">
        <f t="shared" ca="1" si="1"/>
        <v>No Holidays</v>
      </c>
    </row>
    <row r="937" spans="1:3">
      <c r="B937" s="89">
        <f ca="1">TODAY()+150</f>
        <v>46137</v>
      </c>
      <c r="C937" s="88" t="str">
        <f t="shared" ca="1" si="1"/>
        <v>No Holidays</v>
      </c>
    </row>
  </sheetData>
  <mergeCells count="1">
    <mergeCell ref="A1:X1"/>
  </mergeCells>
  <conditionalFormatting sqref="C63:C222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{9EF084BE-304C-4021-840E-75F3778B2244}</x14:id>
        </ext>
      </extLst>
    </cfRule>
  </conditionalFormatting>
  <conditionalFormatting sqref="B63:B22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{F50CD9FE-3A05-4CC6-A217-CA49B41E1F5B}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EF084BE-304C-4021-840E-75F3778B224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C63:C222</xm:sqref>
        </x14:conditionalFormatting>
        <x14:conditionalFormatting xmlns:xm="http://schemas.microsoft.com/office/excel/2006/main">
          <x14:cfRule type="dataBar" id="{F50CD9FE-3A05-4CC6-A217-CA49B41E1F5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B63:B222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C2AAE-89B1-4102-9A24-4B457C718E38}">
  <dimension ref="A1:Z8"/>
  <sheetViews>
    <sheetView workbookViewId="0">
      <selection activeCell="A16" sqref="A16"/>
    </sheetView>
  </sheetViews>
  <sheetFormatPr defaultRowHeight="15"/>
  <cols>
    <col min="1" max="1" width="36.5703125" bestFit="1" customWidth="1"/>
    <col min="2" max="2" width="26" bestFit="1" customWidth="1"/>
    <col min="3" max="3" width="17.85546875" customWidth="1"/>
  </cols>
  <sheetData>
    <row r="1" spans="1:26" ht="21">
      <c r="A1" s="103" t="s">
        <v>4494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</row>
    <row r="2" spans="1:26" ht="29.25">
      <c r="A2" s="15" t="s">
        <v>4495</v>
      </c>
      <c r="B2" t="s">
        <v>4496</v>
      </c>
      <c r="C2" s="91"/>
    </row>
    <row r="5" spans="1:26" ht="29.25">
      <c r="A5" s="15" t="s">
        <v>4497</v>
      </c>
      <c r="B5" t="s">
        <v>4498</v>
      </c>
    </row>
    <row r="8" spans="1:26" ht="29.25">
      <c r="A8" s="15" t="s">
        <v>4499</v>
      </c>
    </row>
  </sheetData>
  <mergeCells count="1">
    <mergeCell ref="A1:Z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D7885B88DC954AA978BDB0DDDF9770" ma:contentTypeVersion="7" ma:contentTypeDescription="Create a new document." ma:contentTypeScope="" ma:versionID="f6f608c1dc1159ca25130e94c875d29d">
  <xsd:schema xmlns:xsd="http://www.w3.org/2001/XMLSchema" xmlns:xs="http://www.w3.org/2001/XMLSchema" xmlns:p="http://schemas.microsoft.com/office/2006/metadata/properties" xmlns:ns2="f4ee22d1-bfd2-40b6-895a-d9e7486c421f" targetNamespace="http://schemas.microsoft.com/office/2006/metadata/properties" ma:root="true" ma:fieldsID="85817dd2a71ee88dad81ada41b439dc7" ns2:_="">
    <xsd:import namespace="f4ee22d1-bfd2-40b6-895a-d9e7486c42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ee22d1-bfd2-40b6-895a-d9e7486c42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FEA2E9C-C11E-4552-A65C-93641F5744EB}"/>
</file>

<file path=customXml/itemProps2.xml><?xml version="1.0" encoding="utf-8"?>
<ds:datastoreItem xmlns:ds="http://schemas.openxmlformats.org/officeDocument/2006/customXml" ds:itemID="{6704C02F-68DE-4FDE-8247-77C37F37AC2E}"/>
</file>

<file path=customXml/itemProps3.xml><?xml version="1.0" encoding="utf-8"?>
<ds:datastoreItem xmlns:ds="http://schemas.openxmlformats.org/officeDocument/2006/customXml" ds:itemID="{9906301D-EFFF-4819-859E-9A6EF71A82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BHARATH BUSHAN</dc:creator>
  <cp:keywords/>
  <dc:description/>
  <cp:lastModifiedBy>Sriman sree</cp:lastModifiedBy>
  <cp:revision/>
  <dcterms:created xsi:type="dcterms:W3CDTF">2025-11-21T13:11:40Z</dcterms:created>
  <dcterms:modified xsi:type="dcterms:W3CDTF">2025-11-26T18:10:49Z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0x010100F8D7885B88DC954AA978BDB0DDDF9770</vt:lpwstr>
  </property>
</Properties>
</file>