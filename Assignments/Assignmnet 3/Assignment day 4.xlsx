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Data Analyst\"/>
    </mc:Choice>
  </mc:AlternateContent>
  <xr:revisionPtr revIDLastSave="0" documentId="13_ncr:2001_{5DE54FC5-1AE0-4AF3-B381-8CB5FFA73BDE}" xr6:coauthVersionLast="47" xr6:coauthVersionMax="47" xr10:uidLastSave="{00000000-0000-0000-0000-000000000000}"/>
  <bookViews>
    <workbookView xWindow="-120" yWindow="-120" windowWidth="29040" windowHeight="15720" firstSheet="2" activeTab="5" xr2:uid="{02613B8C-7F8D-44B6-A5EF-D84E4A3479AE}"/>
  </bookViews>
  <sheets>
    <sheet name="Assigmnet 2" sheetId="1" state="hidden" r:id="rId1"/>
    <sheet name="Employee_Table 1" sheetId="2" r:id="rId2"/>
    <sheet name="Employee_table 2_Location_wise" sheetId="10" r:id="rId3"/>
    <sheet name="Employee_Table 3_Dept_Wise" sheetId="11" r:id="rId4"/>
    <sheet name="Employee_Table 4_Manager_wise" sheetId="12" r:id="rId5"/>
    <sheet name="Employee_Table 5_Gender_Wise" sheetId="13" r:id="rId6"/>
    <sheet name="Employee_table 7" sheetId="15" state="hidden" r:id="rId7"/>
    <sheet name="Sheet1" sheetId="4" state="hidden" r:id="rId8"/>
    <sheet name="Sheet2" sheetId="5" state="hidden" r:id="rId9"/>
    <sheet name="Sheet3" sheetId="6" state="hidden" r:id="rId10"/>
    <sheet name="Sheet4" sheetId="7" state="hidden" r:id="rId11"/>
    <sheet name="Sheet5" sheetId="8" state="hidden" r:id="rId12"/>
    <sheet name="Sheet6" sheetId="9" state="hidden" r:id="rId1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13" l="1"/>
  <c r="D26" i="12"/>
  <c r="D26" i="11"/>
  <c r="D26" i="10"/>
  <c r="I26" i="2"/>
  <c r="A26" i="2"/>
</calcChain>
</file>

<file path=xl/sharedStrings.xml><?xml version="1.0" encoding="utf-8"?>
<sst xmlns="http://schemas.openxmlformats.org/spreadsheetml/2006/main" count="709" uniqueCount="118">
  <si>
    <t>John</t>
  </si>
  <si>
    <t>Names</t>
  </si>
  <si>
    <t>Age</t>
  </si>
  <si>
    <t>Salaries</t>
  </si>
  <si>
    <t>Staff Information</t>
  </si>
  <si>
    <t>David</t>
  </si>
  <si>
    <t>Alice</t>
  </si>
  <si>
    <t>Emily</t>
  </si>
  <si>
    <t>Charlie</t>
  </si>
  <si>
    <t>EMPID</t>
  </si>
  <si>
    <t>FIRSTNAME</t>
  </si>
  <si>
    <t>LASTNAME</t>
  </si>
  <si>
    <t>GENDER</t>
  </si>
  <si>
    <t>DATEOFBIRTH</t>
  </si>
  <si>
    <t>MAILID</t>
  </si>
  <si>
    <t>LOCATION</t>
  </si>
  <si>
    <t>SALARY</t>
  </si>
  <si>
    <t>DATEOFJOIN</t>
  </si>
  <si>
    <t>MANAGERID</t>
  </si>
  <si>
    <t>STATUS</t>
  </si>
  <si>
    <t>BLOODGROUP</t>
  </si>
  <si>
    <t>BHANU</t>
  </si>
  <si>
    <t>T</t>
  </si>
  <si>
    <t>Male</t>
  </si>
  <si>
    <t>bhanut@genpact.com</t>
  </si>
  <si>
    <t>Bangalore</t>
  </si>
  <si>
    <t>CyberSecurity</t>
  </si>
  <si>
    <t>A-</t>
  </si>
  <si>
    <t>PARIMI</t>
  </si>
  <si>
    <t>SHIVA</t>
  </si>
  <si>
    <t>parimishiva@bbtechhouse.com</t>
  </si>
  <si>
    <t>Hyderabad</t>
  </si>
  <si>
    <t>B+</t>
  </si>
  <si>
    <t>PRANEETH</t>
  </si>
  <si>
    <t>B</t>
  </si>
  <si>
    <t>praneethb@wipro.com</t>
  </si>
  <si>
    <t>Delhi</t>
  </si>
  <si>
    <t>B-</t>
  </si>
  <si>
    <t>SUHAS</t>
  </si>
  <si>
    <t>A</t>
  </si>
  <si>
    <t>Female</t>
  </si>
  <si>
    <t>suhasa@hcl.com</t>
  </si>
  <si>
    <t>Chennai</t>
  </si>
  <si>
    <t>Finance</t>
  </si>
  <si>
    <t>A+</t>
  </si>
  <si>
    <t>KUSHALI</t>
  </si>
  <si>
    <t>Rathi</t>
  </si>
  <si>
    <t>kushalirathi@email.com</t>
  </si>
  <si>
    <t>Mumbai</t>
  </si>
  <si>
    <t>AB+</t>
  </si>
  <si>
    <t>VIJAY</t>
  </si>
  <si>
    <t>Verma</t>
  </si>
  <si>
    <t>vijayverma@infosys.com</t>
  </si>
  <si>
    <t>TEJASHWAR</t>
  </si>
  <si>
    <t>M</t>
  </si>
  <si>
    <t>tejashwarm@email.com</t>
  </si>
  <si>
    <t>O+</t>
  </si>
  <si>
    <t>VARDHAN</t>
  </si>
  <si>
    <t>Reddy</t>
  </si>
  <si>
    <t>MALE</t>
  </si>
  <si>
    <t>vardhanreddy@mindtree.com</t>
  </si>
  <si>
    <t>HR</t>
  </si>
  <si>
    <t>SHYAM</t>
  </si>
  <si>
    <t>Sharma</t>
  </si>
  <si>
    <t>shyamsharma@hcl.com</t>
  </si>
  <si>
    <t xml:space="preserve">BHARATH </t>
  </si>
  <si>
    <t>BUSHAN</t>
  </si>
  <si>
    <t>bharathbushan@accenture.com</t>
  </si>
  <si>
    <t>PIYUSH</t>
  </si>
  <si>
    <t>S</t>
  </si>
  <si>
    <t>piyushs@accenture.com</t>
  </si>
  <si>
    <t>Amaravathi</t>
  </si>
  <si>
    <t>IT</t>
  </si>
  <si>
    <t>O-</t>
  </si>
  <si>
    <t>shivas@bbtechhouse.com</t>
  </si>
  <si>
    <t>HYDERABAD</t>
  </si>
  <si>
    <t>SUBRAT</t>
  </si>
  <si>
    <t>K</t>
  </si>
  <si>
    <t>subratk@infosys.com</t>
  </si>
  <si>
    <t>YASHWANTH</t>
  </si>
  <si>
    <t>CH</t>
  </si>
  <si>
    <t>yashwanthch@infosys.com</t>
  </si>
  <si>
    <t>Vinay</t>
  </si>
  <si>
    <t>Shukla</t>
  </si>
  <si>
    <t>vinayshukla@infosys.com</t>
  </si>
  <si>
    <t>AB-</t>
  </si>
  <si>
    <t>GANESH</t>
  </si>
  <si>
    <t>ganesht@email.com</t>
  </si>
  <si>
    <t>GOWTHAM</t>
  </si>
  <si>
    <t>Rao</t>
  </si>
  <si>
    <t>gowthamrao@techm.com</t>
  </si>
  <si>
    <t>Marketing</t>
  </si>
  <si>
    <t>SHILPA</t>
  </si>
  <si>
    <t>D</t>
  </si>
  <si>
    <t>shilpad@techm.com</t>
  </si>
  <si>
    <t>NIKHIL</t>
  </si>
  <si>
    <t>Shetty</t>
  </si>
  <si>
    <t>nikhilshetty@hcl.com</t>
  </si>
  <si>
    <t>HEMANTH</t>
  </si>
  <si>
    <t>C</t>
  </si>
  <si>
    <t>hemanthc@wipro.com</t>
  </si>
  <si>
    <t>NULL</t>
  </si>
  <si>
    <t>PREETHIKA</t>
  </si>
  <si>
    <t>FEMALE</t>
  </si>
  <si>
    <t>preethikam@bbtechhouse.com</t>
  </si>
  <si>
    <t>Sales</t>
  </si>
  <si>
    <t>VINEELA</t>
  </si>
  <si>
    <t>Sinha</t>
  </si>
  <si>
    <t>vineelasinha@genpact.com</t>
  </si>
  <si>
    <t>KIRAN</t>
  </si>
  <si>
    <t>kiranb@wipro.com</t>
  </si>
  <si>
    <t>Ass</t>
  </si>
  <si>
    <t>DEPARTMNET</t>
  </si>
  <si>
    <t>EMPLOYEE TABLE</t>
  </si>
  <si>
    <t>Location_Table</t>
  </si>
  <si>
    <t>Department_Table</t>
  </si>
  <si>
    <t>Manager_Table</t>
  </si>
  <si>
    <t xml:space="preserve">Gender_Table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</si>
</sst>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2" formatCode="_ &quot;₹&quot;\ * #,##0_ ;_ &quot;₹&quot;\ * \-#,##0_ ;_ &quot;₹&quot;\ * &quot;-&quot;_ ;_ @_ "/>
    <numFmt numFmtId="164" formatCode="_-[$$-1009]* #,##0.00_-;\-[$$-1009]* #,##0.00_-;_-[$$-1009]* &quot;-&quot;??_-;_-@_-"/>
    <numFmt numFmtId="165" formatCode="dd/mmm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17" fontId="1" fillId="0" borderId="0" xfId="0" applyNumberFormat="1" applyFont="1"/>
    <xf numFmtId="14" fontId="0" fillId="0" borderId="0" xfId="0" applyNumberFormat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15" fontId="0" fillId="0" borderId="1" xfId="0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horizontal="left" wrapText="1"/>
    </xf>
    <xf numFmtId="42" fontId="0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left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center"/>
    </xf>
    <xf numFmtId="14" fontId="2" fillId="5" borderId="5" xfId="0" applyNumberFormat="1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left"/>
    </xf>
    <xf numFmtId="15" fontId="0" fillId="0" borderId="8" xfId="0" applyNumberFormat="1" applyFont="1" applyFill="1" applyBorder="1" applyAlignment="1">
      <alignment horizontal="left"/>
    </xf>
    <xf numFmtId="0" fontId="0" fillId="0" borderId="8" xfId="0" applyFont="1" applyFill="1" applyBorder="1" applyAlignment="1">
      <alignment horizontal="left" wrapText="1"/>
    </xf>
    <xf numFmtId="42" fontId="0" fillId="0" borderId="8" xfId="0" applyNumberFormat="1" applyFont="1" applyFill="1" applyBorder="1" applyAlignment="1">
      <alignment horizontal="center" vertical="center"/>
    </xf>
    <xf numFmtId="165" fontId="0" fillId="0" borderId="8" xfId="0" applyNumberFormat="1" applyFont="1" applyFill="1" applyBorder="1" applyAlignment="1">
      <alignment horizontal="left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left"/>
    </xf>
    <xf numFmtId="15" fontId="0" fillId="3" borderId="8" xfId="0" applyNumberFormat="1" applyFont="1" applyFill="1" applyBorder="1" applyAlignment="1">
      <alignment horizontal="left"/>
    </xf>
    <xf numFmtId="0" fontId="0" fillId="3" borderId="8" xfId="0" applyFont="1" applyFill="1" applyBorder="1" applyAlignment="1">
      <alignment horizontal="left" wrapText="1"/>
    </xf>
    <xf numFmtId="165" fontId="0" fillId="3" borderId="8" xfId="0" applyNumberFormat="1" applyFont="1" applyFill="1" applyBorder="1" applyAlignment="1">
      <alignment horizontal="left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/>
    </xf>
    <xf numFmtId="0" fontId="0" fillId="6" borderId="9" xfId="0" applyFont="1" applyFill="1" applyBorder="1" applyAlignment="1">
      <alignment horizontal="left"/>
    </xf>
    <xf numFmtId="42" fontId="0" fillId="6" borderId="9" xfId="0" applyNumberFormat="1" applyFont="1" applyFill="1" applyBorder="1" applyAlignment="1">
      <alignment horizontal="center" vertical="center"/>
    </xf>
    <xf numFmtId="0" fontId="0" fillId="7" borderId="9" xfId="0" applyFont="1" applyFill="1" applyBorder="1" applyAlignment="1">
      <alignment horizontal="left"/>
    </xf>
    <xf numFmtId="42" fontId="0" fillId="7" borderId="9" xfId="0" applyNumberFormat="1" applyFont="1" applyFill="1" applyBorder="1" applyAlignment="1">
      <alignment horizontal="center" vertical="center"/>
    </xf>
    <xf numFmtId="0" fontId="0" fillId="6" borderId="10" xfId="0" applyFont="1" applyFill="1" applyBorder="1" applyAlignment="1">
      <alignment horizontal="left"/>
    </xf>
    <xf numFmtId="0" fontId="0" fillId="7" borderId="10" xfId="0" applyFont="1" applyFill="1" applyBorder="1" applyAlignment="1">
      <alignment horizontal="left"/>
    </xf>
    <xf numFmtId="0" fontId="0" fillId="6" borderId="9" xfId="0" applyFont="1" applyFill="1" applyBorder="1" applyAlignment="1">
      <alignment horizontal="center" vertical="center"/>
    </xf>
    <xf numFmtId="0" fontId="0" fillId="7" borderId="9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center" vertical="center"/>
    </xf>
    <xf numFmtId="42" fontId="1" fillId="3" borderId="8" xfId="0" applyNumberFormat="1" applyFont="1" applyFill="1" applyBorder="1" applyAlignment="1">
      <alignment horizontal="center" vertical="center"/>
    </xf>
    <xf numFmtId="42" fontId="1" fillId="0" borderId="8" xfId="0" applyNumberFormat="1" applyFont="1" applyFill="1" applyBorder="1" applyAlignment="1">
      <alignment horizontal="center" vertical="center"/>
    </xf>
    <xf numFmtId="42" fontId="6" fillId="0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 &quot;₹&quot;\ * #,##0_ ;_ &quot;₹&quot;\ * \-#,##0_ ;_ &quot;₹&quot;\ * &quot;-&quot;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 &quot;₹&quot;\ * #,##0_ ;_ &quot;₹&quot;\ * \-#,##0_ ;_ &quot;₹&quot;\ * &quot;-&quot;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2" formatCode="_ &quot;₹&quot;\ * #,##0_ ;_ &quot;₹&quot;\ * \-#,##0_ ;_ &quot;₹&quot;\ * &quot;-&quot;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dd/mmm/yyyy"/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dd/m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 &quot;₹&quot;\ * #,##0_ ;_ &quot;₹&quot;\ * \-#,##0_ ;_ &quot;₹&quot;\ * &quot;-&quot;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/mmm/yy"/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/mmm/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 &quot;₹&quot;\ * #,##0_ ;_ &quot;₹&quot;\ * \-#,##0_ ;_ &quot;₹&quot;\ * &quot;-&quot;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00FF"/>
        </patternFill>
      </fill>
    </dxf>
    <dxf>
      <fill>
        <patternFill>
          <bgColor rgb="FFD63AA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 &quot;₹&quot;\ * #,##0_ ;_ &quot;₹&quot;\ * \-#,##0_ ;_ &quot;₹&quot;\ * &quot;-&quot;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dd/m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dd/mmm/yyyy"/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 &quot;₹&quot;\ * #,##0_ ;_ &quot;₹&quot;\ * \-#,##0_ ;_ &quot;₹&quot;\ * &quot;-&quot;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/mmm/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/mmm/yy"/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 &quot;₹&quot;\ * #,##0_ ;_ &quot;₹&quot;\ * \-#,##0_ ;_ &quot;₹&quot;\ * &quot;-&quot;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 tint="0.59996337778862885"/>
        </patternFill>
      </fill>
    </dxf>
    <dxf>
      <font>
        <b/>
        <i/>
      </font>
    </dxf>
    <dxf>
      <font>
        <b/>
        <i/>
      </font>
    </dxf>
  </dxfs>
  <tableStyles count="1" defaultTableStyle="TableStyleMedium2" defaultPivotStyle="PivotStyleLight16">
    <tableStyle name="Table Style 1" pivot="0" count="2" xr9:uid="{D37B7648-1693-4892-AD2C-43799C4B411A}">
      <tableStyleElement type="wholeTable" dxfId="57"/>
      <tableStyleElement type="firstColumnStripe" dxfId="56"/>
    </tableStyle>
  </tableStyles>
  <colors>
    <mruColors>
      <color rgb="FFFF00FF"/>
      <color rgb="FFD63AAD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21981</xdr:colOff>
      <xdr:row>3</xdr:row>
      <xdr:rowOff>142875</xdr:rowOff>
    </xdr:from>
    <xdr:ext cx="7620000" cy="2332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46533FC-C244-2DFE-99E6-24B5B439C6B0}"/>
            </a:ext>
          </a:extLst>
        </xdr:cNvPr>
        <xdr:cNvSpPr txBox="1"/>
      </xdr:nvSpPr>
      <xdr:spPr>
        <a:xfrm>
          <a:off x="2520462" y="4780817"/>
          <a:ext cx="76200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</xdr:row>
      <xdr:rowOff>142875</xdr:rowOff>
    </xdr:from>
    <xdr:ext cx="7620000" cy="2332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D87258-70F0-4248-B59C-3C6942BB1050}"/>
            </a:ext>
          </a:extLst>
        </xdr:cNvPr>
        <xdr:cNvSpPr txBox="1"/>
      </xdr:nvSpPr>
      <xdr:spPr>
        <a:xfrm>
          <a:off x="1850781" y="714375"/>
          <a:ext cx="76200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142875</xdr:rowOff>
    </xdr:from>
    <xdr:ext cx="7620000" cy="2332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DCCB13-20F8-4909-94D9-D96AF1B69B43}"/>
            </a:ext>
          </a:extLst>
        </xdr:cNvPr>
        <xdr:cNvSpPr txBox="1"/>
      </xdr:nvSpPr>
      <xdr:spPr>
        <a:xfrm>
          <a:off x="1984131" y="714375"/>
          <a:ext cx="76200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oneCellAnchor>
    <xdr:from>
      <xdr:col>1</xdr:col>
      <xdr:colOff>0</xdr:colOff>
      <xdr:row>3</xdr:row>
      <xdr:rowOff>142875</xdr:rowOff>
    </xdr:from>
    <xdr:ext cx="7620000" cy="23320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10A280-14F6-4324-9006-CCC5FBDBC889}"/>
            </a:ext>
          </a:extLst>
        </xdr:cNvPr>
        <xdr:cNvSpPr txBox="1"/>
      </xdr:nvSpPr>
      <xdr:spPr>
        <a:xfrm>
          <a:off x="1688856" y="714375"/>
          <a:ext cx="76200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21981</xdr:colOff>
      <xdr:row>19</xdr:row>
      <xdr:rowOff>142875</xdr:rowOff>
    </xdr:from>
    <xdr:ext cx="7620000" cy="2332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FAA384-018F-48B1-A6A4-4EFB909D2497}"/>
            </a:ext>
          </a:extLst>
        </xdr:cNvPr>
        <xdr:cNvSpPr txBox="1"/>
      </xdr:nvSpPr>
      <xdr:spPr>
        <a:xfrm>
          <a:off x="1984131" y="714375"/>
          <a:ext cx="76200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142875</xdr:rowOff>
    </xdr:from>
    <xdr:ext cx="7620000" cy="2332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89AED8-D325-4F01-970B-5B5BE6470103}"/>
            </a:ext>
          </a:extLst>
        </xdr:cNvPr>
        <xdr:cNvSpPr txBox="1"/>
      </xdr:nvSpPr>
      <xdr:spPr>
        <a:xfrm>
          <a:off x="1984131" y="714375"/>
          <a:ext cx="76200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21981</xdr:colOff>
      <xdr:row>3</xdr:row>
      <xdr:rowOff>142875</xdr:rowOff>
    </xdr:from>
    <xdr:ext cx="7620000" cy="2332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CD871D-B37E-4F8A-B611-70CFF68FCDC9}"/>
            </a:ext>
          </a:extLst>
        </xdr:cNvPr>
        <xdr:cNvSpPr txBox="1"/>
      </xdr:nvSpPr>
      <xdr:spPr>
        <a:xfrm>
          <a:off x="1984131" y="714375"/>
          <a:ext cx="76200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9314A-E29B-450F-981B-5D3080C57E45}" name="Table1" displayName="Table1" ref="A2:M26" totalsRowCount="1" headerRowDxfId="112" headerRowBorderDxfId="114" tableBorderDxfId="115" totalsRowBorderDxfId="113">
  <autoFilter ref="A2:M25" xr:uid="{EF89314A-E29B-450F-981B-5D3080C57E45}"/>
  <sortState xmlns:xlrd2="http://schemas.microsoft.com/office/spreadsheetml/2017/richdata2" ref="A3:M25">
    <sortCondition descending="1" ref="H2:H25"/>
  </sortState>
  <tableColumns count="13">
    <tableColumn id="1" xr3:uid="{A6B3CD30-2124-4067-9DBF-8DFC9B4C02E3}" name="EMPID" totalsRowFunction="custom" dataDxfId="45" totalsRowDxfId="44">
      <totalsRowFormula>COUNT(Table1[EMPID])</totalsRowFormula>
    </tableColumn>
    <tableColumn id="2" xr3:uid="{A0F78814-99C2-4EDC-B7D2-319BF6D2F5A6}" name="FIRSTNAME" dataDxfId="43" totalsRowDxfId="42"/>
    <tableColumn id="3" xr3:uid="{DEE322D5-F83C-4AAB-B1E9-CCD0D4AA77D3}" name="LASTNAME" dataDxfId="41" totalsRowDxfId="40"/>
    <tableColumn id="4" xr3:uid="{9F31B4B3-6104-4465-8F2F-D9FD1E6C0C65}" name="GENDER" dataDxfId="39" totalsRowDxfId="38"/>
    <tableColumn id="5" xr3:uid="{DDD00D45-F4F2-4335-A8DA-DCF7C9D27FA0}" name="DATEOFBIRTH" dataDxfId="37" totalsRowDxfId="36"/>
    <tableColumn id="6" xr3:uid="{B11D1E81-FEC8-4817-B45B-42EAC65F33A0}" name="MAILID" dataDxfId="35" totalsRowDxfId="34"/>
    <tableColumn id="7" xr3:uid="{A26470EA-C25F-4094-ABE2-8125FFE7F985}" name="LOCATION" dataDxfId="33" totalsRowDxfId="32"/>
    <tableColumn id="8" xr3:uid="{F9769E7D-6CA1-424D-8D71-A92F3E0D3EB7}" name="DEPARTMNET" dataDxfId="31" totalsRowDxfId="30"/>
    <tableColumn id="9" xr3:uid="{DBEC24BC-3E73-4C99-AB0C-0905180BE2F8}" name="SALARY" totalsRowFunction="sum" dataDxfId="29" totalsRowDxfId="20"/>
    <tableColumn id="10" xr3:uid="{C7D86698-CB5F-42B4-AB67-B9860AC79394}" name="DATEOFJOIN" dataDxfId="28" totalsRowDxfId="27"/>
    <tableColumn id="11" xr3:uid="{7E7A72B4-C19E-46A8-B2BF-2A18B9EC5CF8}" name="MANAGERID" dataDxfId="26" totalsRowDxfId="25"/>
    <tableColumn id="12" xr3:uid="{C37EA53D-3CD5-48A1-8DCE-B36357539FE0}" name="STATUS" dataDxfId="24" totalsRowDxfId="23"/>
    <tableColumn id="13" xr3:uid="{DE408F9F-01C6-4A91-9AD8-46A0DD7D6A0B}" name="BLOODGROUP" dataDxfId="22" totalsRowDxfId="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D2E045-7D12-447D-9234-531D127C4667}" name="Table13" displayName="Table13" ref="A2:D26" totalsRowCount="1" headerRowDxfId="111" headerRowBorderDxfId="109" tableBorderDxfId="110" totalsRowBorderDxfId="108">
  <autoFilter ref="A2:D25" xr:uid="{DED2E045-7D12-447D-9234-531D127C4667}">
    <filterColumn colId="1">
      <filters>
        <filter val="Hyderabad"/>
      </filters>
    </filterColumn>
  </autoFilter>
  <sortState xmlns:xlrd2="http://schemas.microsoft.com/office/spreadsheetml/2017/richdata2" ref="A3:D25">
    <sortCondition descending="1" ref="D2:D25"/>
  </sortState>
  <tableColumns count="4">
    <tableColumn id="2" xr3:uid="{476BC273-ABCA-4C3F-A9B8-D4B56C0458E6}" name="FIRSTNAME" dataDxfId="107" totalsRowDxfId="19"/>
    <tableColumn id="7" xr3:uid="{671B853F-67BD-46B4-A82B-32090D729800}" name="LOCATION" dataDxfId="106" totalsRowDxfId="18"/>
    <tableColumn id="8" xr3:uid="{BFE97AC7-965D-4B9B-A308-7B2BC9D9F26F}" name="DEPARTMNET" dataDxfId="105" totalsRowDxfId="17"/>
    <tableColumn id="9" xr3:uid="{BF465D67-5BFB-499D-8EAD-269C94343ADD}" name="SALARY" totalsRowFunction="sum" dataDxfId="104" totalsRowDxfId="16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B286EC8-8EE9-44B9-A11B-6F581AAE5A27}" name="Table13511" displayName="Table13511" ref="A2:E26" totalsRowCount="1" headerRowDxfId="73" headerRowBorderDxfId="71" tableBorderDxfId="72" totalsRowBorderDxfId="70">
  <autoFilter ref="A2:E25" xr:uid="{2B286EC8-8EE9-44B9-A11B-6F581AAE5A27}">
    <filterColumn colId="4">
      <filters>
        <filter val="1"/>
      </filters>
    </filterColumn>
  </autoFilter>
  <sortState xmlns:xlrd2="http://schemas.microsoft.com/office/spreadsheetml/2017/richdata2" ref="A3:E24">
    <sortCondition descending="1" ref="D2:D25"/>
  </sortState>
  <tableColumns count="5">
    <tableColumn id="2" xr3:uid="{898EF615-EE47-4517-971B-B5DDBF21CD24}" name="FIRSTNAME" dataDxfId="69" totalsRowDxfId="15"/>
    <tableColumn id="4" xr3:uid="{AC0F63B8-D4F7-4609-B677-BA0FD0611C1C}" name="GENDER" dataDxfId="68" totalsRowDxfId="14"/>
    <tableColumn id="8" xr3:uid="{99075E2B-6A5C-4CF9-B7AD-7FDAA106B688}" name="DEPARTMNET" dataDxfId="67" totalsRowDxfId="13"/>
    <tableColumn id="9" xr3:uid="{8628F13E-0174-41BE-A2D0-8960EAEB5891}" name="SALARY" totalsRowFunction="sum" dataDxfId="66" totalsRowDxfId="11"/>
    <tableColumn id="12" xr3:uid="{6FFC9E6E-8DC8-405B-B38A-ACBE1F141459}" name="STATUS" dataDxfId="65" totalsRowDxfId="12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E808A12-0B38-4B34-9448-17BEECEC2BFA}" name="Table11" displayName="Table11" ref="A2:E26" totalsRowCount="1" headerRowDxfId="58" tableBorderDxfId="64">
  <autoFilter ref="A2:E25" xr:uid="{6E808A12-0B38-4B34-9448-17BEECEC2BFA}">
    <filterColumn colId="3">
      <customFilters>
        <customFilter operator="greaterThan" val="80000"/>
      </customFilters>
    </filterColumn>
  </autoFilter>
  <sortState xmlns:xlrd2="http://schemas.microsoft.com/office/spreadsheetml/2017/richdata2" ref="A3:E25">
    <sortCondition ref="E2:E25"/>
  </sortState>
  <tableColumns count="5">
    <tableColumn id="1" xr3:uid="{879054C2-7546-4C86-BD24-D18B87B4654D}" name="FIRSTNAME" dataDxfId="63" totalsRowDxfId="10"/>
    <tableColumn id="2" xr3:uid="{CB763766-6CFC-417E-9219-11FF0AB11096}" name="LASTNAME" dataDxfId="62" totalsRowDxfId="9"/>
    <tableColumn id="3" xr3:uid="{C424F4E4-9959-44D0-9374-781A81703294}" name="DEPARTMNET" dataDxfId="61" totalsRowDxfId="8"/>
    <tableColumn id="4" xr3:uid="{58DDED06-7987-49CD-A9E2-EE0A0319DE06}" name="SALARY" totalsRowFunction="sum" dataDxfId="60" totalsRowDxfId="7"/>
    <tableColumn id="5" xr3:uid="{2B5F9283-C74F-4A56-A78F-84CB2ED80BDC}" name="MANAGERID" dataDxfId="59" totalsRowDxfId="6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7879835-51AF-406B-914C-A853D402BE64}" name="Table13714" displayName="Table13714" ref="A2:F26" totalsRowCount="1" headerRowDxfId="55" headerRowBorderDxfId="53" tableBorderDxfId="54" totalsRowBorderDxfId="52">
  <autoFilter ref="A2:F25" xr:uid="{E7879835-51AF-406B-914C-A853D402BE64}">
    <filterColumn colId="2">
      <filters>
        <filter val="Female"/>
      </filters>
    </filterColumn>
  </autoFilter>
  <sortState xmlns:xlrd2="http://schemas.microsoft.com/office/spreadsheetml/2017/richdata2" ref="A3:F25">
    <sortCondition descending="1" ref="E2:E25"/>
  </sortState>
  <tableColumns count="6">
    <tableColumn id="2" xr3:uid="{1B4CAB21-9DC1-4960-B439-276D91BC897E}" name="FIRSTNAME" dataDxfId="51" totalsRowDxfId="5"/>
    <tableColumn id="3" xr3:uid="{99DF750C-32CA-4D70-B2A2-23C2F039E41B}" name="LASTNAME" dataDxfId="50" totalsRowDxfId="4"/>
    <tableColumn id="4" xr3:uid="{705FDF2C-6386-4D3E-9A66-ED0BA1561B15}" name="GENDER" dataDxfId="49" totalsRowDxfId="3"/>
    <tableColumn id="7" xr3:uid="{A9AC6476-8D4E-4837-A19F-3F2FF7FCAC59}" name="LOCATION" dataDxfId="48" totalsRowDxfId="2"/>
    <tableColumn id="8" xr3:uid="{68A0D37E-0DD5-4538-9621-DF4C5E569C11}" name="DEPARTMNET" dataDxfId="47" totalsRowDxfId="1"/>
    <tableColumn id="9" xr3:uid="{EA3382FE-50F2-4C5C-B087-E2CD177AA391}" name="SALARY" totalsRowFunction="sum" dataDxfId="46" totalsRowDxfId="0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AA0EB8-166C-452E-BF58-9E2CE696EDD9}" name="Table138" displayName="Table138" ref="A2:M25" totalsRowShown="0" headerRowDxfId="103" headerRowBorderDxfId="101" tableBorderDxfId="102" totalsRowBorderDxfId="100">
  <autoFilter ref="A2:M25" xr:uid="{B6AA0EB8-166C-452E-BF58-9E2CE696EDD9}"/>
  <sortState xmlns:xlrd2="http://schemas.microsoft.com/office/spreadsheetml/2017/richdata2" ref="A3:M25">
    <sortCondition descending="1" ref="H2:H25"/>
  </sortState>
  <tableColumns count="13">
    <tableColumn id="1" xr3:uid="{544EB678-C854-4921-BF93-A9D8502993E2}" name="EMPID" dataDxfId="98" totalsRowDxfId="99"/>
    <tableColumn id="2" xr3:uid="{D9A2F5A6-0E90-44F8-B88B-C73217D8ED45}" name="FIRSTNAME" dataDxfId="96" totalsRowDxfId="97"/>
    <tableColumn id="3" xr3:uid="{BEF3120E-2D14-48E4-955C-95687D2CD3F4}" name="LASTNAME" dataDxfId="94" totalsRowDxfId="95"/>
    <tableColumn id="4" xr3:uid="{CB81C53C-45A9-449A-B87C-82A7D43D23FF}" name="GENDER" dataDxfId="92" totalsRowDxfId="93"/>
    <tableColumn id="5" xr3:uid="{5E3DD75E-384C-46D0-87A2-ED8FFE441E43}" name="DATEOFBIRTH" dataDxfId="90" totalsRowDxfId="91"/>
    <tableColumn id="6" xr3:uid="{6FB0F9FB-C727-4E60-8AFC-E839B8404381}" name="MAILID" dataDxfId="88" totalsRowDxfId="89"/>
    <tableColumn id="7" xr3:uid="{9C0B1CC1-13D9-4DA1-8C2A-5F4EC52F42FE}" name="LOCATION" dataDxfId="86" totalsRowDxfId="87"/>
    <tableColumn id="8" xr3:uid="{93256E7D-61FD-4B18-B776-2F22B17253F3}" name="DEPARTMNET" dataDxfId="84" totalsRowDxfId="85"/>
    <tableColumn id="9" xr3:uid="{3C12D725-0BFB-4FE1-92F8-7A98F7E303F4}" name="SALARY" dataDxfId="82" totalsRowDxfId="83"/>
    <tableColumn id="10" xr3:uid="{13026198-2919-4FE7-A808-CCD68C371CAF}" name="DATEOFJOIN" dataDxfId="80" totalsRowDxfId="81"/>
    <tableColumn id="11" xr3:uid="{ABC7AC43-6AE7-42B4-99FC-C2C5F9151004}" name="MANAGERID" dataDxfId="78" totalsRowDxfId="79"/>
    <tableColumn id="12" xr3:uid="{817B8039-EE87-4374-9BAD-569036011C3C}" name="STATUS" dataDxfId="76" totalsRowDxfId="77"/>
    <tableColumn id="13" xr3:uid="{3AC280E4-98A0-485B-8E2A-3BAA2B507C36}" name="BLOODGROUP" dataDxfId="74" totalsRowDxfId="7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uhasa@hcl.com" TargetMode="External"/><Relationship Id="rId13" Type="http://schemas.openxmlformats.org/officeDocument/2006/relationships/hyperlink" Target="mailto:subratk@infosys.com" TargetMode="External"/><Relationship Id="rId18" Type="http://schemas.openxmlformats.org/officeDocument/2006/relationships/hyperlink" Target="mailto:vinayshukla@infosys.com" TargetMode="External"/><Relationship Id="rId26" Type="http://schemas.openxmlformats.org/officeDocument/2006/relationships/table" Target="../tables/table1.xml"/><Relationship Id="rId3" Type="http://schemas.openxmlformats.org/officeDocument/2006/relationships/hyperlink" Target="mailto:vardhanreddy@mindtree.com" TargetMode="External"/><Relationship Id="rId21" Type="http://schemas.openxmlformats.org/officeDocument/2006/relationships/hyperlink" Target="mailto:parimishiva@bbtechhouse.com" TargetMode="External"/><Relationship Id="rId7" Type="http://schemas.openxmlformats.org/officeDocument/2006/relationships/hyperlink" Target="mailto:bharathbushan@accenture.com" TargetMode="External"/><Relationship Id="rId12" Type="http://schemas.openxmlformats.org/officeDocument/2006/relationships/hyperlink" Target="mailto:vijayverma@infosys.com" TargetMode="External"/><Relationship Id="rId17" Type="http://schemas.openxmlformats.org/officeDocument/2006/relationships/hyperlink" Target="mailto:hemanthc@wipro.com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mailto:gowthamrao@techm.com" TargetMode="External"/><Relationship Id="rId16" Type="http://schemas.openxmlformats.org/officeDocument/2006/relationships/hyperlink" Target="mailto:tejashwarm@email.com" TargetMode="External"/><Relationship Id="rId20" Type="http://schemas.openxmlformats.org/officeDocument/2006/relationships/hyperlink" Target="mailto:bhanut@genpact.com" TargetMode="External"/><Relationship Id="rId1" Type="http://schemas.openxmlformats.org/officeDocument/2006/relationships/hyperlink" Target="mailto:piyushs@accenture.com" TargetMode="External"/><Relationship Id="rId6" Type="http://schemas.openxmlformats.org/officeDocument/2006/relationships/hyperlink" Target="mailto:nikhilshetty@hcl.com" TargetMode="External"/><Relationship Id="rId11" Type="http://schemas.openxmlformats.org/officeDocument/2006/relationships/hyperlink" Target="mailto:vineelasinha@genpact.com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shyamsharma@hcl.com" TargetMode="External"/><Relationship Id="rId15" Type="http://schemas.openxmlformats.org/officeDocument/2006/relationships/hyperlink" Target="mailto:yashwanthch@infosys.com" TargetMode="External"/><Relationship Id="rId23" Type="http://schemas.openxmlformats.org/officeDocument/2006/relationships/hyperlink" Target="mailto:shivas@bbtechhouse.com" TargetMode="External"/><Relationship Id="rId10" Type="http://schemas.openxmlformats.org/officeDocument/2006/relationships/hyperlink" Target="mailto:kushalirathi@email.com" TargetMode="External"/><Relationship Id="rId19" Type="http://schemas.openxmlformats.org/officeDocument/2006/relationships/hyperlink" Target="mailto:ganesht@email.com" TargetMode="External"/><Relationship Id="rId4" Type="http://schemas.openxmlformats.org/officeDocument/2006/relationships/hyperlink" Target="mailto:shilpad@techm.com" TargetMode="External"/><Relationship Id="rId9" Type="http://schemas.openxmlformats.org/officeDocument/2006/relationships/hyperlink" Target="mailto:preethikam@bbtechhouse.com" TargetMode="External"/><Relationship Id="rId14" Type="http://schemas.openxmlformats.org/officeDocument/2006/relationships/hyperlink" Target="mailto:kiranb@wipro.com" TargetMode="External"/><Relationship Id="rId22" Type="http://schemas.openxmlformats.org/officeDocument/2006/relationships/hyperlink" Target="mailto:praneethb@wipro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suhasa@hcl.com" TargetMode="External"/><Relationship Id="rId13" Type="http://schemas.openxmlformats.org/officeDocument/2006/relationships/hyperlink" Target="mailto:subratk@infosys.com" TargetMode="External"/><Relationship Id="rId18" Type="http://schemas.openxmlformats.org/officeDocument/2006/relationships/hyperlink" Target="mailto:vinayshukla@infosys.com" TargetMode="External"/><Relationship Id="rId3" Type="http://schemas.openxmlformats.org/officeDocument/2006/relationships/hyperlink" Target="mailto:vardhanreddy@mindtree.com" TargetMode="External"/><Relationship Id="rId21" Type="http://schemas.openxmlformats.org/officeDocument/2006/relationships/hyperlink" Target="mailto:parimishiva@bbtechhouse.com" TargetMode="External"/><Relationship Id="rId7" Type="http://schemas.openxmlformats.org/officeDocument/2006/relationships/hyperlink" Target="mailto:bharathbushan@accenture.com" TargetMode="External"/><Relationship Id="rId12" Type="http://schemas.openxmlformats.org/officeDocument/2006/relationships/hyperlink" Target="mailto:vijayverma@infosys.com" TargetMode="External"/><Relationship Id="rId17" Type="http://schemas.openxmlformats.org/officeDocument/2006/relationships/hyperlink" Target="mailto:hemanthc@wipro.com" TargetMode="External"/><Relationship Id="rId25" Type="http://schemas.openxmlformats.org/officeDocument/2006/relationships/table" Target="../tables/table6.xml"/><Relationship Id="rId2" Type="http://schemas.openxmlformats.org/officeDocument/2006/relationships/hyperlink" Target="mailto:gowthamrao@techm.com" TargetMode="External"/><Relationship Id="rId16" Type="http://schemas.openxmlformats.org/officeDocument/2006/relationships/hyperlink" Target="mailto:tejashwarm@email.com" TargetMode="External"/><Relationship Id="rId20" Type="http://schemas.openxmlformats.org/officeDocument/2006/relationships/hyperlink" Target="mailto:bhanut@genpact.com" TargetMode="External"/><Relationship Id="rId1" Type="http://schemas.openxmlformats.org/officeDocument/2006/relationships/hyperlink" Target="mailto:piyushs@accenture.com" TargetMode="External"/><Relationship Id="rId6" Type="http://schemas.openxmlformats.org/officeDocument/2006/relationships/hyperlink" Target="mailto:nikhilshetty@hcl.com" TargetMode="External"/><Relationship Id="rId11" Type="http://schemas.openxmlformats.org/officeDocument/2006/relationships/hyperlink" Target="mailto:vineelasinha@genpact.com" TargetMode="External"/><Relationship Id="rId24" Type="http://schemas.openxmlformats.org/officeDocument/2006/relationships/drawing" Target="../drawings/drawing6.xml"/><Relationship Id="rId5" Type="http://schemas.openxmlformats.org/officeDocument/2006/relationships/hyperlink" Target="mailto:shyamsharma@hcl.com" TargetMode="External"/><Relationship Id="rId15" Type="http://schemas.openxmlformats.org/officeDocument/2006/relationships/hyperlink" Target="mailto:yashwanthch@infosys.com" TargetMode="External"/><Relationship Id="rId23" Type="http://schemas.openxmlformats.org/officeDocument/2006/relationships/hyperlink" Target="mailto:shivas@bbtechhouse.com" TargetMode="External"/><Relationship Id="rId10" Type="http://schemas.openxmlformats.org/officeDocument/2006/relationships/hyperlink" Target="mailto:kushalirathi@email.com" TargetMode="External"/><Relationship Id="rId19" Type="http://schemas.openxmlformats.org/officeDocument/2006/relationships/hyperlink" Target="mailto:ganesht@email.com" TargetMode="External"/><Relationship Id="rId4" Type="http://schemas.openxmlformats.org/officeDocument/2006/relationships/hyperlink" Target="mailto:shilpad@techm.com" TargetMode="External"/><Relationship Id="rId9" Type="http://schemas.openxmlformats.org/officeDocument/2006/relationships/hyperlink" Target="mailto:preethikam@bbtechhouse.com" TargetMode="External"/><Relationship Id="rId14" Type="http://schemas.openxmlformats.org/officeDocument/2006/relationships/hyperlink" Target="mailto:kiranb@wipro.com" TargetMode="External"/><Relationship Id="rId22" Type="http://schemas.openxmlformats.org/officeDocument/2006/relationships/hyperlink" Target="mailto:praneethb@wipr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B5D8-A407-4F40-9880-04B2C9677C32}">
  <dimension ref="A1:N16"/>
  <sheetViews>
    <sheetView zoomScale="133" workbookViewId="0">
      <selection activeCell="A22" sqref="A22"/>
    </sheetView>
  </sheetViews>
  <sheetFormatPr defaultRowHeight="15" x14ac:dyDescent="0.25"/>
  <cols>
    <col min="1" max="1" width="21" customWidth="1"/>
    <col min="2" max="2" width="13.5703125" customWidth="1"/>
    <col min="3" max="3" width="29.42578125" customWidth="1"/>
  </cols>
  <sheetData>
    <row r="1" spans="1:14" x14ac:dyDescent="0.25">
      <c r="A1" s="11" t="s">
        <v>4</v>
      </c>
      <c r="B1" s="11"/>
      <c r="C1" s="11"/>
    </row>
    <row r="2" spans="1:14" x14ac:dyDescent="0.25">
      <c r="A2" s="8" t="s">
        <v>1</v>
      </c>
      <c r="B2" s="2" t="s">
        <v>2</v>
      </c>
      <c r="C2" s="2" t="s">
        <v>3</v>
      </c>
    </row>
    <row r="3" spans="1:14" x14ac:dyDescent="0.25">
      <c r="A3" s="9" t="s">
        <v>0</v>
      </c>
      <c r="B3" s="3">
        <v>30</v>
      </c>
      <c r="C3" s="4">
        <v>50000</v>
      </c>
    </row>
    <row r="4" spans="1:14" x14ac:dyDescent="0.25">
      <c r="A4" s="9" t="s">
        <v>5</v>
      </c>
      <c r="B4" s="3">
        <v>29</v>
      </c>
      <c r="C4" s="4">
        <v>52000</v>
      </c>
    </row>
    <row r="5" spans="1:14" x14ac:dyDescent="0.25">
      <c r="A5" s="9" t="s">
        <v>6</v>
      </c>
      <c r="B5" s="3">
        <v>26</v>
      </c>
      <c r="C5" s="4">
        <v>60000</v>
      </c>
    </row>
    <row r="6" spans="1:14" x14ac:dyDescent="0.25">
      <c r="A6" s="9" t="s">
        <v>7</v>
      </c>
      <c r="B6" s="3">
        <v>22</v>
      </c>
      <c r="C6" s="4">
        <v>48000</v>
      </c>
    </row>
    <row r="7" spans="1:14" x14ac:dyDescent="0.25">
      <c r="A7" s="9" t="s">
        <v>8</v>
      </c>
      <c r="B7" s="3">
        <v>35</v>
      </c>
      <c r="C7" s="4">
        <v>72000</v>
      </c>
    </row>
    <row r="9" spans="1:14" x14ac:dyDescent="0.25">
      <c r="A9" s="5">
        <v>1</v>
      </c>
      <c r="B9" s="6">
        <v>45292</v>
      </c>
      <c r="C9" s="7">
        <v>45292</v>
      </c>
    </row>
    <row r="10" spans="1:14" x14ac:dyDescent="0.25">
      <c r="A10" s="5">
        <v>2</v>
      </c>
      <c r="B10" s="6">
        <v>45323</v>
      </c>
      <c r="C10" s="7">
        <v>45293</v>
      </c>
    </row>
    <row r="11" spans="1:14" x14ac:dyDescent="0.25">
      <c r="A11" s="5">
        <v>3</v>
      </c>
      <c r="B11" s="6">
        <v>45352</v>
      </c>
      <c r="C11" s="7">
        <v>45294</v>
      </c>
    </row>
    <row r="12" spans="1:14" x14ac:dyDescent="0.25">
      <c r="A12" s="5">
        <v>4</v>
      </c>
      <c r="B12" s="6">
        <v>45383</v>
      </c>
      <c r="C12" s="7">
        <v>45295</v>
      </c>
    </row>
    <row r="13" spans="1:14" x14ac:dyDescent="0.25">
      <c r="A13" s="5">
        <v>5</v>
      </c>
      <c r="B13" s="6">
        <v>45413</v>
      </c>
      <c r="C13" s="7">
        <v>45296</v>
      </c>
    </row>
    <row r="14" spans="1:14" x14ac:dyDescent="0.25">
      <c r="A14" s="5">
        <v>6</v>
      </c>
      <c r="B14" s="6">
        <v>45444</v>
      </c>
      <c r="C14" s="7">
        <v>45297</v>
      </c>
    </row>
    <row r="15" spans="1:14" x14ac:dyDescent="0.25">
      <c r="A15" s="5">
        <v>7</v>
      </c>
      <c r="B15" s="6">
        <v>45474</v>
      </c>
      <c r="C15" s="7">
        <v>45298</v>
      </c>
    </row>
    <row r="16" spans="1:14" x14ac:dyDescent="0.25">
      <c r="N16" t="s">
        <v>111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0B97-22C9-4414-964F-0378A82259FF}">
  <sheetPr>
    <tabColor theme="4" tint="-0.249977111117893"/>
  </sheetPr>
  <dimension ref="A1:M26"/>
  <sheetViews>
    <sheetView zoomScale="134" zoomScaleNormal="130" zoomScalePageLayoutView="65" workbookViewId="0">
      <pane ySplit="1" topLeftCell="A10" activePane="bottomLeft" state="frozen"/>
      <selection pane="bottomLeft" activeCell="I26" sqref="I26"/>
    </sheetView>
  </sheetViews>
  <sheetFormatPr defaultColWidth="13.7109375" defaultRowHeight="15" x14ac:dyDescent="0.25"/>
  <cols>
    <col min="1" max="1" width="14.42578125" style="1" customWidth="1"/>
    <col min="2" max="2" width="13" style="5" customWidth="1"/>
    <col min="3" max="3" width="12.7109375" style="5" customWidth="1"/>
    <col min="4" max="4" width="10.140625" style="5" customWidth="1"/>
    <col min="5" max="5" width="15.85546875" style="5" customWidth="1"/>
    <col min="6" max="6" width="29.85546875" style="5" customWidth="1"/>
    <col min="7" max="7" width="12.28515625" style="5" customWidth="1"/>
    <col min="8" max="8" width="14.85546875" style="5" customWidth="1"/>
    <col min="9" max="9" width="14.7109375" style="10" customWidth="1"/>
    <col min="10" max="10" width="14" style="5" customWidth="1"/>
    <col min="11" max="11" width="14" style="1" customWidth="1"/>
    <col min="12" max="12" width="9.5703125" style="5" customWidth="1"/>
    <col min="13" max="13" width="15.5703125" style="5" customWidth="1"/>
    <col min="14" max="16384" width="13.7109375" style="5"/>
  </cols>
  <sheetData>
    <row r="1" spans="1:13" x14ac:dyDescent="0.25">
      <c r="A1" s="34" t="s">
        <v>113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x14ac:dyDescent="0.25">
      <c r="A2" s="20" t="s">
        <v>9</v>
      </c>
      <c r="B2" s="21" t="s">
        <v>10</v>
      </c>
      <c r="C2" s="21" t="s">
        <v>11</v>
      </c>
      <c r="D2" s="21" t="s">
        <v>12</v>
      </c>
      <c r="E2" s="22" t="s">
        <v>13</v>
      </c>
      <c r="F2" s="23" t="s">
        <v>14</v>
      </c>
      <c r="G2" s="23" t="s">
        <v>15</v>
      </c>
      <c r="H2" s="21" t="s">
        <v>112</v>
      </c>
      <c r="I2" s="24" t="s">
        <v>16</v>
      </c>
      <c r="J2" s="21" t="s">
        <v>17</v>
      </c>
      <c r="K2" s="24" t="s">
        <v>18</v>
      </c>
      <c r="L2" s="21" t="s">
        <v>19</v>
      </c>
      <c r="M2" s="25" t="s">
        <v>20</v>
      </c>
    </row>
    <row r="3" spans="1:13" x14ac:dyDescent="0.25">
      <c r="A3" s="18">
        <v>1001</v>
      </c>
      <c r="B3" s="13" t="s">
        <v>98</v>
      </c>
      <c r="C3" s="13" t="s">
        <v>99</v>
      </c>
      <c r="D3" s="13" t="s">
        <v>23</v>
      </c>
      <c r="E3" s="14">
        <v>33039</v>
      </c>
      <c r="F3" s="15" t="s">
        <v>100</v>
      </c>
      <c r="G3" s="15" t="s">
        <v>31</v>
      </c>
      <c r="H3" s="13" t="s">
        <v>105</v>
      </c>
      <c r="I3" s="16">
        <v>69000</v>
      </c>
      <c r="J3" s="17">
        <v>44713</v>
      </c>
      <c r="K3" s="12">
        <v>1001</v>
      </c>
      <c r="L3" s="13">
        <v>1</v>
      </c>
      <c r="M3" s="19" t="s">
        <v>49</v>
      </c>
    </row>
    <row r="4" spans="1:13" x14ac:dyDescent="0.25">
      <c r="A4" s="18">
        <v>9999</v>
      </c>
      <c r="B4" s="13" t="s">
        <v>33</v>
      </c>
      <c r="C4" s="13" t="s">
        <v>34</v>
      </c>
      <c r="D4" s="13" t="s">
        <v>23</v>
      </c>
      <c r="E4" s="14">
        <v>32300</v>
      </c>
      <c r="F4" s="15" t="s">
        <v>35</v>
      </c>
      <c r="G4" s="15" t="s">
        <v>36</v>
      </c>
      <c r="H4" s="13" t="s">
        <v>105</v>
      </c>
      <c r="I4" s="16">
        <v>70000</v>
      </c>
      <c r="J4" s="17">
        <v>43633</v>
      </c>
      <c r="K4" s="12">
        <v>1004</v>
      </c>
      <c r="L4" s="13">
        <v>0</v>
      </c>
      <c r="M4" s="19" t="s">
        <v>73</v>
      </c>
    </row>
    <row r="5" spans="1:13" x14ac:dyDescent="0.25">
      <c r="A5" s="18">
        <v>8888</v>
      </c>
      <c r="B5" s="13" t="s">
        <v>76</v>
      </c>
      <c r="C5" s="13" t="s">
        <v>77</v>
      </c>
      <c r="D5" s="13" t="s">
        <v>59</v>
      </c>
      <c r="E5" s="14">
        <v>31116</v>
      </c>
      <c r="F5" s="15" t="s">
        <v>78</v>
      </c>
      <c r="G5" s="15" t="s">
        <v>31</v>
      </c>
      <c r="H5" s="13" t="s">
        <v>105</v>
      </c>
      <c r="I5" s="16">
        <v>75000</v>
      </c>
      <c r="J5" s="17">
        <v>42707</v>
      </c>
      <c r="K5" s="12">
        <v>1004</v>
      </c>
      <c r="L5" s="13">
        <v>1</v>
      </c>
      <c r="M5" s="19" t="s">
        <v>56</v>
      </c>
    </row>
    <row r="6" spans="1:13" x14ac:dyDescent="0.25">
      <c r="A6" s="18">
        <v>1002</v>
      </c>
      <c r="B6" s="13" t="s">
        <v>62</v>
      </c>
      <c r="C6" s="13" t="s">
        <v>63</v>
      </c>
      <c r="D6" s="13" t="s">
        <v>40</v>
      </c>
      <c r="E6" s="14">
        <v>33838</v>
      </c>
      <c r="F6" s="15" t="s">
        <v>64</v>
      </c>
      <c r="G6" s="15" t="s">
        <v>25</v>
      </c>
      <c r="H6" s="13" t="s">
        <v>101</v>
      </c>
      <c r="I6" s="16">
        <v>82000</v>
      </c>
      <c r="J6" s="17">
        <v>43850</v>
      </c>
      <c r="K6" s="12" t="s">
        <v>101</v>
      </c>
      <c r="L6" s="13">
        <v>1</v>
      </c>
      <c r="M6" s="19" t="s">
        <v>32</v>
      </c>
    </row>
    <row r="7" spans="1:13" x14ac:dyDescent="0.25">
      <c r="A7" s="18">
        <v>1005</v>
      </c>
      <c r="B7" s="13" t="s">
        <v>102</v>
      </c>
      <c r="C7" s="13" t="s">
        <v>54</v>
      </c>
      <c r="D7" s="13" t="s">
        <v>103</v>
      </c>
      <c r="E7" s="14">
        <v>33572</v>
      </c>
      <c r="F7" s="15" t="s">
        <v>104</v>
      </c>
      <c r="G7" s="15" t="s">
        <v>36</v>
      </c>
      <c r="H7" s="13" t="s">
        <v>91</v>
      </c>
      <c r="I7" s="16">
        <v>58000</v>
      </c>
      <c r="J7" s="17">
        <v>44252</v>
      </c>
      <c r="K7" s="12">
        <v>1002</v>
      </c>
      <c r="L7" s="13">
        <v>1</v>
      </c>
      <c r="M7" s="19" t="s">
        <v>37</v>
      </c>
    </row>
    <row r="8" spans="1:13" x14ac:dyDescent="0.25">
      <c r="A8" s="18">
        <v>1004</v>
      </c>
      <c r="B8" s="13" t="s">
        <v>88</v>
      </c>
      <c r="C8" s="13" t="s">
        <v>89</v>
      </c>
      <c r="D8" s="13" t="s">
        <v>59</v>
      </c>
      <c r="E8" s="14">
        <v>35038</v>
      </c>
      <c r="F8" s="15" t="s">
        <v>90</v>
      </c>
      <c r="G8" s="15" t="s">
        <v>48</v>
      </c>
      <c r="H8" s="13" t="s">
        <v>91</v>
      </c>
      <c r="I8" s="16">
        <v>61000</v>
      </c>
      <c r="J8" s="17">
        <v>44290</v>
      </c>
      <c r="K8" s="12">
        <v>1004</v>
      </c>
      <c r="L8" s="13">
        <v>1</v>
      </c>
      <c r="M8" s="19" t="s">
        <v>56</v>
      </c>
    </row>
    <row r="9" spans="1:13" x14ac:dyDescent="0.25">
      <c r="A9" s="18">
        <v>1003</v>
      </c>
      <c r="B9" s="13" t="s">
        <v>50</v>
      </c>
      <c r="C9" s="13" t="s">
        <v>51</v>
      </c>
      <c r="D9" s="13" t="s">
        <v>23</v>
      </c>
      <c r="E9" s="14">
        <v>32212</v>
      </c>
      <c r="F9" s="15" t="s">
        <v>52</v>
      </c>
      <c r="G9" s="15" t="s">
        <v>42</v>
      </c>
      <c r="H9" s="13" t="s">
        <v>91</v>
      </c>
      <c r="I9" s="16">
        <v>64000</v>
      </c>
      <c r="J9" s="17">
        <v>44760</v>
      </c>
      <c r="K9" s="12">
        <v>1003</v>
      </c>
      <c r="L9" s="13">
        <v>1</v>
      </c>
      <c r="M9" s="19" t="s">
        <v>44</v>
      </c>
    </row>
    <row r="10" spans="1:13" x14ac:dyDescent="0.25">
      <c r="A10" s="18">
        <v>1011</v>
      </c>
      <c r="B10" s="13" t="s">
        <v>82</v>
      </c>
      <c r="C10" s="13" t="s">
        <v>83</v>
      </c>
      <c r="D10" s="13" t="s">
        <v>23</v>
      </c>
      <c r="E10" s="14">
        <v>33645</v>
      </c>
      <c r="F10" s="15" t="s">
        <v>84</v>
      </c>
      <c r="G10" s="15" t="s">
        <v>36</v>
      </c>
      <c r="H10" s="13" t="s">
        <v>72</v>
      </c>
      <c r="I10" s="16">
        <v>48900</v>
      </c>
      <c r="J10" s="17">
        <v>44145</v>
      </c>
      <c r="K10" s="12">
        <v>1001</v>
      </c>
      <c r="L10" s="13">
        <v>1</v>
      </c>
      <c r="M10" s="19" t="s">
        <v>73</v>
      </c>
    </row>
    <row r="11" spans="1:13" x14ac:dyDescent="0.25">
      <c r="A11" s="18">
        <v>1010</v>
      </c>
      <c r="B11" s="13" t="s">
        <v>38</v>
      </c>
      <c r="C11" s="13" t="s">
        <v>39</v>
      </c>
      <c r="D11" s="13" t="s">
        <v>40</v>
      </c>
      <c r="E11" s="14">
        <v>35151</v>
      </c>
      <c r="F11" s="15" t="s">
        <v>41</v>
      </c>
      <c r="G11" s="15" t="s">
        <v>42</v>
      </c>
      <c r="H11" s="13" t="s">
        <v>72</v>
      </c>
      <c r="I11" s="16">
        <v>57000</v>
      </c>
      <c r="J11" s="17">
        <v>44687</v>
      </c>
      <c r="K11" s="12">
        <v>1002</v>
      </c>
      <c r="L11" s="13">
        <v>1</v>
      </c>
      <c r="M11" s="19" t="s">
        <v>32</v>
      </c>
    </row>
    <row r="12" spans="1:13" x14ac:dyDescent="0.25">
      <c r="A12" s="18">
        <v>1009</v>
      </c>
      <c r="B12" s="13" t="s">
        <v>109</v>
      </c>
      <c r="C12" s="13" t="s">
        <v>34</v>
      </c>
      <c r="D12" s="13" t="s">
        <v>23</v>
      </c>
      <c r="E12" s="14">
        <v>31966</v>
      </c>
      <c r="F12" s="15" t="s">
        <v>110</v>
      </c>
      <c r="G12" s="15" t="s">
        <v>48</v>
      </c>
      <c r="H12" s="13" t="s">
        <v>72</v>
      </c>
      <c r="I12" s="16">
        <v>74000</v>
      </c>
      <c r="J12" s="17">
        <v>42951</v>
      </c>
      <c r="K12" s="12">
        <v>101</v>
      </c>
      <c r="L12" s="13">
        <v>1</v>
      </c>
      <c r="M12" s="19" t="s">
        <v>44</v>
      </c>
    </row>
    <row r="13" spans="1:13" x14ac:dyDescent="0.25">
      <c r="A13" s="18">
        <v>1008</v>
      </c>
      <c r="B13" s="13" t="s">
        <v>57</v>
      </c>
      <c r="C13" s="13" t="s">
        <v>58</v>
      </c>
      <c r="D13" s="13" t="s">
        <v>59</v>
      </c>
      <c r="E13" s="14">
        <v>34440</v>
      </c>
      <c r="F13" s="15" t="s">
        <v>60</v>
      </c>
      <c r="G13" s="15" t="s">
        <v>31</v>
      </c>
      <c r="H13" s="13" t="s">
        <v>72</v>
      </c>
      <c r="I13" s="16">
        <v>76000</v>
      </c>
      <c r="J13" s="17">
        <v>42610</v>
      </c>
      <c r="K13" s="12">
        <v>102</v>
      </c>
      <c r="L13" s="13">
        <v>1</v>
      </c>
      <c r="M13" s="19" t="s">
        <v>44</v>
      </c>
    </row>
    <row r="14" spans="1:13" x14ac:dyDescent="0.25">
      <c r="A14" s="18">
        <v>1007</v>
      </c>
      <c r="B14" s="13" t="s">
        <v>21</v>
      </c>
      <c r="C14" s="13" t="s">
        <v>22</v>
      </c>
      <c r="D14" s="13" t="s">
        <v>23</v>
      </c>
      <c r="E14" s="14">
        <v>32875</v>
      </c>
      <c r="F14" s="15" t="s">
        <v>24</v>
      </c>
      <c r="G14" s="15" t="s">
        <v>25</v>
      </c>
      <c r="H14" s="13" t="s">
        <v>72</v>
      </c>
      <c r="I14" s="16">
        <v>88000</v>
      </c>
      <c r="J14" s="17">
        <v>43738</v>
      </c>
      <c r="K14" s="12">
        <v>1001</v>
      </c>
      <c r="L14" s="13">
        <v>1</v>
      </c>
      <c r="M14" s="19" t="s">
        <v>85</v>
      </c>
    </row>
    <row r="15" spans="1:13" x14ac:dyDescent="0.25">
      <c r="A15" s="18">
        <v>1006</v>
      </c>
      <c r="B15" s="13" t="s">
        <v>68</v>
      </c>
      <c r="C15" s="13" t="s">
        <v>69</v>
      </c>
      <c r="D15" s="13" t="s">
        <v>59</v>
      </c>
      <c r="E15" s="14">
        <v>34230</v>
      </c>
      <c r="F15" s="15" t="s">
        <v>70</v>
      </c>
      <c r="G15" s="15" t="s">
        <v>71</v>
      </c>
      <c r="H15" s="13" t="s">
        <v>72</v>
      </c>
      <c r="I15" s="16">
        <v>89000</v>
      </c>
      <c r="J15" s="17">
        <v>43979</v>
      </c>
      <c r="K15" s="12">
        <v>1006</v>
      </c>
      <c r="L15" s="13">
        <v>0</v>
      </c>
      <c r="M15" s="19" t="s">
        <v>32</v>
      </c>
    </row>
    <row r="16" spans="1:13" x14ac:dyDescent="0.25">
      <c r="A16" s="18">
        <v>1014</v>
      </c>
      <c r="B16" s="13" t="s">
        <v>65</v>
      </c>
      <c r="C16" s="13" t="s">
        <v>66</v>
      </c>
      <c r="D16" s="13" t="s">
        <v>59</v>
      </c>
      <c r="E16" s="14">
        <v>34171</v>
      </c>
      <c r="F16" s="15" t="s">
        <v>67</v>
      </c>
      <c r="G16" s="15" t="s">
        <v>25</v>
      </c>
      <c r="H16" s="13" t="s">
        <v>61</v>
      </c>
      <c r="I16" s="16">
        <v>60000</v>
      </c>
      <c r="J16" s="17">
        <v>44422</v>
      </c>
      <c r="K16" s="12">
        <v>1002</v>
      </c>
      <c r="L16" s="13">
        <v>1</v>
      </c>
      <c r="M16" s="19" t="s">
        <v>32</v>
      </c>
    </row>
    <row r="17" spans="1:13" x14ac:dyDescent="0.25">
      <c r="A17" s="18">
        <v>1013</v>
      </c>
      <c r="B17" s="13" t="s">
        <v>28</v>
      </c>
      <c r="C17" s="13" t="s">
        <v>29</v>
      </c>
      <c r="D17" s="13" t="s">
        <v>23</v>
      </c>
      <c r="E17" s="14">
        <v>32640</v>
      </c>
      <c r="F17" s="15" t="s">
        <v>30</v>
      </c>
      <c r="G17" s="15" t="s">
        <v>31</v>
      </c>
      <c r="H17" s="13" t="s">
        <v>61</v>
      </c>
      <c r="I17" s="16">
        <v>63200</v>
      </c>
      <c r="J17" s="17">
        <v>43539</v>
      </c>
      <c r="K17" s="12">
        <v>1001</v>
      </c>
      <c r="L17" s="13">
        <v>1</v>
      </c>
      <c r="M17" s="19" t="s">
        <v>56</v>
      </c>
    </row>
    <row r="18" spans="1:13" x14ac:dyDescent="0.25">
      <c r="A18" s="18">
        <v>1012</v>
      </c>
      <c r="B18" s="13" t="s">
        <v>92</v>
      </c>
      <c r="C18" s="13" t="s">
        <v>93</v>
      </c>
      <c r="D18" s="13" t="s">
        <v>40</v>
      </c>
      <c r="E18" s="14">
        <v>33525</v>
      </c>
      <c r="F18" s="15" t="s">
        <v>94</v>
      </c>
      <c r="G18" s="15" t="s">
        <v>71</v>
      </c>
      <c r="H18" s="13" t="s">
        <v>61</v>
      </c>
      <c r="I18" s="16">
        <v>65700</v>
      </c>
      <c r="J18" s="17">
        <v>44116</v>
      </c>
      <c r="K18" s="12">
        <v>1002</v>
      </c>
      <c r="L18" s="13">
        <v>1</v>
      </c>
      <c r="M18" s="19" t="s">
        <v>27</v>
      </c>
    </row>
    <row r="19" spans="1:13" x14ac:dyDescent="0.25">
      <c r="A19" s="18">
        <v>1019</v>
      </c>
      <c r="B19" s="13" t="s">
        <v>53</v>
      </c>
      <c r="C19" s="13" t="s">
        <v>54</v>
      </c>
      <c r="D19" s="13" t="s">
        <v>23</v>
      </c>
      <c r="E19" s="14">
        <v>33454</v>
      </c>
      <c r="F19" s="15" t="s">
        <v>55</v>
      </c>
      <c r="G19" s="15" t="s">
        <v>31</v>
      </c>
      <c r="H19" s="13" t="s">
        <v>43</v>
      </c>
      <c r="I19" s="16">
        <v>67000</v>
      </c>
      <c r="J19" s="17">
        <v>44568</v>
      </c>
      <c r="K19" s="12">
        <v>1003</v>
      </c>
      <c r="L19" s="13">
        <v>0</v>
      </c>
      <c r="M19" s="19" t="s">
        <v>44</v>
      </c>
    </row>
    <row r="20" spans="1:13" x14ac:dyDescent="0.25">
      <c r="A20" s="18">
        <v>1018</v>
      </c>
      <c r="B20" s="13" t="s">
        <v>95</v>
      </c>
      <c r="C20" s="13" t="s">
        <v>96</v>
      </c>
      <c r="D20" s="13" t="s">
        <v>59</v>
      </c>
      <c r="E20" s="14">
        <v>34382</v>
      </c>
      <c r="F20" s="15" t="s">
        <v>97</v>
      </c>
      <c r="G20" s="15" t="s">
        <v>71</v>
      </c>
      <c r="H20" s="13" t="s">
        <v>43</v>
      </c>
      <c r="I20" s="16">
        <v>69000</v>
      </c>
      <c r="J20" s="17">
        <v>44522</v>
      </c>
      <c r="K20" s="12">
        <v>1003</v>
      </c>
      <c r="L20" s="13">
        <v>1</v>
      </c>
      <c r="M20" s="19" t="s">
        <v>49</v>
      </c>
    </row>
    <row r="21" spans="1:13" x14ac:dyDescent="0.25">
      <c r="A21" s="18">
        <v>1016</v>
      </c>
      <c r="B21" s="13" t="s">
        <v>45</v>
      </c>
      <c r="C21" s="13" t="s">
        <v>46</v>
      </c>
      <c r="D21" s="13" t="s">
        <v>40</v>
      </c>
      <c r="E21" s="14">
        <v>34729</v>
      </c>
      <c r="F21" s="15" t="s">
        <v>47</v>
      </c>
      <c r="G21" s="15" t="s">
        <v>48</v>
      </c>
      <c r="H21" s="13" t="s">
        <v>43</v>
      </c>
      <c r="I21" s="16">
        <v>72000</v>
      </c>
      <c r="J21" s="17">
        <v>43292</v>
      </c>
      <c r="K21" s="12">
        <v>1003</v>
      </c>
      <c r="L21" s="13">
        <v>1</v>
      </c>
      <c r="M21" s="19" t="s">
        <v>44</v>
      </c>
    </row>
    <row r="22" spans="1:13" x14ac:dyDescent="0.25">
      <c r="A22" s="18">
        <v>1015</v>
      </c>
      <c r="B22" s="13" t="s">
        <v>106</v>
      </c>
      <c r="C22" s="13" t="s">
        <v>107</v>
      </c>
      <c r="D22" s="13" t="s">
        <v>103</v>
      </c>
      <c r="E22" s="14">
        <v>33145</v>
      </c>
      <c r="F22" s="15" t="s">
        <v>108</v>
      </c>
      <c r="G22" s="15" t="s">
        <v>42</v>
      </c>
      <c r="H22" s="13" t="s">
        <v>43</v>
      </c>
      <c r="I22" s="16">
        <v>81420</v>
      </c>
      <c r="J22" s="17">
        <v>43124</v>
      </c>
      <c r="K22" s="12">
        <v>1005</v>
      </c>
      <c r="L22" s="13">
        <v>1</v>
      </c>
      <c r="M22" s="19" t="s">
        <v>56</v>
      </c>
    </row>
    <row r="23" spans="1:13" x14ac:dyDescent="0.25">
      <c r="A23" s="18">
        <v>1112</v>
      </c>
      <c r="B23" s="13" t="s">
        <v>79</v>
      </c>
      <c r="C23" s="13" t="s">
        <v>80</v>
      </c>
      <c r="D23" s="13" t="s">
        <v>59</v>
      </c>
      <c r="E23" s="14">
        <v>30020</v>
      </c>
      <c r="F23" s="15" t="s">
        <v>81</v>
      </c>
      <c r="G23" s="15" t="s">
        <v>31</v>
      </c>
      <c r="H23" s="13" t="s">
        <v>26</v>
      </c>
      <c r="I23" s="16">
        <v>97000</v>
      </c>
      <c r="J23" s="17">
        <v>43027</v>
      </c>
      <c r="K23" s="12">
        <v>1001</v>
      </c>
      <c r="L23" s="13">
        <v>1</v>
      </c>
      <c r="M23" s="19" t="s">
        <v>27</v>
      </c>
    </row>
    <row r="24" spans="1:13" x14ac:dyDescent="0.25">
      <c r="A24" s="18">
        <v>1111</v>
      </c>
      <c r="B24" s="13" t="s">
        <v>29</v>
      </c>
      <c r="C24" s="13" t="s">
        <v>69</v>
      </c>
      <c r="D24" s="13" t="s">
        <v>59</v>
      </c>
      <c r="E24" s="14">
        <v>36923</v>
      </c>
      <c r="F24" s="15" t="s">
        <v>74</v>
      </c>
      <c r="G24" s="15" t="s">
        <v>75</v>
      </c>
      <c r="H24" s="13" t="s">
        <v>26</v>
      </c>
      <c r="I24" s="16">
        <v>98000</v>
      </c>
      <c r="J24" s="17">
        <v>43321</v>
      </c>
      <c r="K24" s="12">
        <v>1001</v>
      </c>
      <c r="L24" s="13">
        <v>1</v>
      </c>
      <c r="M24" s="19" t="s">
        <v>32</v>
      </c>
    </row>
    <row r="25" spans="1:13" x14ac:dyDescent="0.25">
      <c r="A25" s="26">
        <v>1020</v>
      </c>
      <c r="B25" s="27" t="s">
        <v>86</v>
      </c>
      <c r="C25" s="27" t="s">
        <v>22</v>
      </c>
      <c r="D25" s="27" t="s">
        <v>40</v>
      </c>
      <c r="E25" s="28">
        <v>33733</v>
      </c>
      <c r="F25" s="29" t="s">
        <v>87</v>
      </c>
      <c r="G25" s="29" t="s">
        <v>25</v>
      </c>
      <c r="H25" s="27" t="s">
        <v>26</v>
      </c>
      <c r="I25" s="30">
        <v>99000</v>
      </c>
      <c r="J25" s="31">
        <v>42807</v>
      </c>
      <c r="K25" s="32">
        <v>1001</v>
      </c>
      <c r="L25" s="27">
        <v>0</v>
      </c>
      <c r="M25" s="33" t="s">
        <v>37</v>
      </c>
    </row>
    <row r="26" spans="1:13" x14ac:dyDescent="0.25">
      <c r="A26" s="35">
        <f>COUNT(Table1[EMPID])</f>
        <v>23</v>
      </c>
      <c r="B26" s="36"/>
      <c r="C26" s="36"/>
      <c r="D26" s="36"/>
      <c r="E26" s="37"/>
      <c r="F26" s="38"/>
      <c r="G26" s="38"/>
      <c r="H26" s="36"/>
      <c r="I26" s="53">
        <f>SUBTOTAL(109,Table1[SALARY])</f>
        <v>1684220</v>
      </c>
      <c r="J26" s="39"/>
      <c r="K26" s="40"/>
      <c r="L26" s="36"/>
      <c r="M26" s="41"/>
    </row>
  </sheetData>
  <sortState xmlns:xlrd2="http://schemas.microsoft.com/office/spreadsheetml/2017/richdata2" ref="A3:G25">
    <sortCondition descending="1" ref="A3:A25"/>
  </sortState>
  <mergeCells count="1">
    <mergeCell ref="A1:M1"/>
  </mergeCells>
  <hyperlinks>
    <hyperlink ref="F15" r:id="rId1" xr:uid="{3E88E035-4ACC-4E3E-A06C-B35150453D35}"/>
    <hyperlink ref="F8" r:id="rId2" xr:uid="{DD019F96-7827-466D-A59B-6C6327DB789A}"/>
    <hyperlink ref="F13" r:id="rId3" xr:uid="{B8F775E9-0A67-4F37-AB41-A73FC480EEF8}"/>
    <hyperlink ref="F18" r:id="rId4" xr:uid="{BF4A843A-D688-4419-BC6A-2A2F762E5E70}"/>
    <hyperlink ref="F6" r:id="rId5" xr:uid="{63B59873-7648-461F-BF6C-E68E872C64DA}"/>
    <hyperlink ref="F20" r:id="rId6" xr:uid="{C4FB6E1B-8D1B-4868-8196-28E50704590E}"/>
    <hyperlink ref="F16" r:id="rId7" xr:uid="{CD4FE032-94A2-4811-A705-2F7C6CCF0A00}"/>
    <hyperlink ref="F11" r:id="rId8" xr:uid="{DF47BD70-AF05-4EF7-BBB7-517767FD6F05}"/>
    <hyperlink ref="F7" r:id="rId9" xr:uid="{7C4EC2C1-524F-42A6-8103-CFE1EE5BE65C}"/>
    <hyperlink ref="F21" r:id="rId10" xr:uid="{930BFBAA-6EBC-43A0-AD01-71D05C908684}"/>
    <hyperlink ref="F22" r:id="rId11" xr:uid="{C5C4EFF7-037B-457C-A593-BF2137195E61}"/>
    <hyperlink ref="F9" r:id="rId12" xr:uid="{5A7A2655-3C22-4777-9E48-51078048711A}"/>
    <hyperlink ref="F5" r:id="rId13" xr:uid="{2D55FA6A-1FA3-4AD3-B6DD-BE40650CE840}"/>
    <hyperlink ref="F12" r:id="rId14" xr:uid="{E0E95071-7015-4339-AA58-87C2EFEFE0A9}"/>
    <hyperlink ref="F23" r:id="rId15" xr:uid="{0FB5502D-86B7-44AE-A016-2E73D8A2F9E9}"/>
    <hyperlink ref="F19" r:id="rId16" xr:uid="{DA5F9C18-D7B4-4B1D-92A6-77B816D6BDEE}"/>
    <hyperlink ref="F3" r:id="rId17" xr:uid="{E12158CE-76A3-47A4-BF2A-8B08AEA1AEEF}"/>
    <hyperlink ref="F10" r:id="rId18" xr:uid="{68114C96-A9AF-48F7-A5EA-D59516AED253}"/>
    <hyperlink ref="F25" r:id="rId19" xr:uid="{BBF40C6A-B31F-4946-ADBA-2FD8834C952D}"/>
    <hyperlink ref="F14" r:id="rId20" xr:uid="{3096CBB1-6CEE-4D4A-AA89-82079F8184DE}"/>
    <hyperlink ref="F17" r:id="rId21" xr:uid="{9CCA7EED-4A99-40C6-A4E8-7A5575EB27E6}"/>
    <hyperlink ref="F4" r:id="rId22" xr:uid="{5C82DE9A-B596-494F-AC3B-3B12EAE8BA6E}"/>
    <hyperlink ref="F24" r:id="rId23" xr:uid="{26025DB2-18A0-4F44-B72A-3A27F7E2AAE9}"/>
  </hyperlinks>
  <pageMargins left="0.7" right="0.7" top="0.75" bottom="0.75" header="0.3" footer="0.3"/>
  <pageSetup orientation="portrait" r:id="rId24"/>
  <headerFooter>
    <oddFooter xml:space="preserve">&amp;LBB Tech House Pvt. Ltd&amp;R&amp;P
</oddFooter>
  </headerFooter>
  <drawing r:id="rId25"/>
  <tableParts count="1">
    <tablePart r:id="rId2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BEEA-4557-4CD0-AE1A-6D4453551151}">
  <sheetPr>
    <tabColor rgb="FF00B0F0"/>
  </sheetPr>
  <dimension ref="A1:D26"/>
  <sheetViews>
    <sheetView zoomScale="147" zoomScaleNormal="147" workbookViewId="0">
      <pane ySplit="1" topLeftCell="A2" activePane="bottomLeft" state="frozen"/>
      <selection pane="bottomLeft" activeCell="D26" sqref="D26"/>
    </sheetView>
  </sheetViews>
  <sheetFormatPr defaultColWidth="14.7109375" defaultRowHeight="15" x14ac:dyDescent="0.25"/>
  <sheetData>
    <row r="1" spans="1:4" x14ac:dyDescent="0.25">
      <c r="A1" s="34" t="s">
        <v>114</v>
      </c>
      <c r="B1" s="34"/>
      <c r="C1" s="34"/>
      <c r="D1" s="34"/>
    </row>
    <row r="2" spans="1:4" x14ac:dyDescent="0.25">
      <c r="A2" s="21" t="s">
        <v>10</v>
      </c>
      <c r="B2" s="23" t="s">
        <v>15</v>
      </c>
      <c r="C2" s="21" t="s">
        <v>112</v>
      </c>
      <c r="D2" s="24" t="s">
        <v>16</v>
      </c>
    </row>
    <row r="3" spans="1:4" x14ac:dyDescent="0.25">
      <c r="A3" s="13" t="s">
        <v>29</v>
      </c>
      <c r="B3" s="15" t="s">
        <v>75</v>
      </c>
      <c r="C3" s="13" t="s">
        <v>26</v>
      </c>
      <c r="D3" s="16">
        <v>98000</v>
      </c>
    </row>
    <row r="4" spans="1:4" x14ac:dyDescent="0.25">
      <c r="A4" s="13" t="s">
        <v>79</v>
      </c>
      <c r="B4" s="15" t="s">
        <v>31</v>
      </c>
      <c r="C4" s="13" t="s">
        <v>26</v>
      </c>
      <c r="D4" s="16">
        <v>97000</v>
      </c>
    </row>
    <row r="5" spans="1:4" hidden="1" x14ac:dyDescent="0.25">
      <c r="A5" s="13" t="s">
        <v>86</v>
      </c>
      <c r="B5" s="15" t="s">
        <v>25</v>
      </c>
      <c r="C5" s="13" t="s">
        <v>26</v>
      </c>
      <c r="D5" s="16">
        <v>99000</v>
      </c>
    </row>
    <row r="6" spans="1:4" x14ac:dyDescent="0.25">
      <c r="A6" s="13" t="s">
        <v>57</v>
      </c>
      <c r="B6" s="15" t="s">
        <v>31</v>
      </c>
      <c r="C6" s="13" t="s">
        <v>72</v>
      </c>
      <c r="D6" s="16">
        <v>76000</v>
      </c>
    </row>
    <row r="7" spans="1:4" hidden="1" x14ac:dyDescent="0.25">
      <c r="A7" s="13" t="s">
        <v>95</v>
      </c>
      <c r="B7" s="15" t="s">
        <v>71</v>
      </c>
      <c r="C7" s="13" t="s">
        <v>43</v>
      </c>
      <c r="D7" s="16">
        <v>69000</v>
      </c>
    </row>
    <row r="8" spans="1:4" hidden="1" x14ac:dyDescent="0.25">
      <c r="A8" s="13" t="s">
        <v>45</v>
      </c>
      <c r="B8" s="15" t="s">
        <v>48</v>
      </c>
      <c r="C8" s="13" t="s">
        <v>43</v>
      </c>
      <c r="D8" s="16">
        <v>72000</v>
      </c>
    </row>
    <row r="9" spans="1:4" hidden="1" x14ac:dyDescent="0.25">
      <c r="A9" s="13" t="s">
        <v>106</v>
      </c>
      <c r="B9" s="15" t="s">
        <v>42</v>
      </c>
      <c r="C9" s="13" t="s">
        <v>43</v>
      </c>
      <c r="D9" s="16">
        <v>81420</v>
      </c>
    </row>
    <row r="10" spans="1:4" hidden="1" x14ac:dyDescent="0.25">
      <c r="A10" s="13" t="s">
        <v>65</v>
      </c>
      <c r="B10" s="15" t="s">
        <v>25</v>
      </c>
      <c r="C10" s="13" t="s">
        <v>61</v>
      </c>
      <c r="D10" s="16">
        <v>60000</v>
      </c>
    </row>
    <row r="11" spans="1:4" x14ac:dyDescent="0.25">
      <c r="A11" s="13" t="s">
        <v>76</v>
      </c>
      <c r="B11" s="15" t="s">
        <v>31</v>
      </c>
      <c r="C11" s="13" t="s">
        <v>105</v>
      </c>
      <c r="D11" s="16">
        <v>75000</v>
      </c>
    </row>
    <row r="12" spans="1:4" hidden="1" x14ac:dyDescent="0.25">
      <c r="A12" s="13" t="s">
        <v>92</v>
      </c>
      <c r="B12" s="15" t="s">
        <v>71</v>
      </c>
      <c r="C12" s="13" t="s">
        <v>61</v>
      </c>
      <c r="D12" s="16">
        <v>65700</v>
      </c>
    </row>
    <row r="13" spans="1:4" hidden="1" x14ac:dyDescent="0.25">
      <c r="A13" s="13" t="s">
        <v>82</v>
      </c>
      <c r="B13" s="15" t="s">
        <v>36</v>
      </c>
      <c r="C13" s="13" t="s">
        <v>72</v>
      </c>
      <c r="D13" s="16">
        <v>48900</v>
      </c>
    </row>
    <row r="14" spans="1:4" hidden="1" x14ac:dyDescent="0.25">
      <c r="A14" s="13" t="s">
        <v>38</v>
      </c>
      <c r="B14" s="15" t="s">
        <v>42</v>
      </c>
      <c r="C14" s="13" t="s">
        <v>72</v>
      </c>
      <c r="D14" s="16">
        <v>57000</v>
      </c>
    </row>
    <row r="15" spans="1:4" hidden="1" x14ac:dyDescent="0.25">
      <c r="A15" s="13" t="s">
        <v>109</v>
      </c>
      <c r="B15" s="15" t="s">
        <v>48</v>
      </c>
      <c r="C15" s="13" t="s">
        <v>72</v>
      </c>
      <c r="D15" s="16">
        <v>74000</v>
      </c>
    </row>
    <row r="16" spans="1:4" x14ac:dyDescent="0.25">
      <c r="A16" s="13" t="s">
        <v>98</v>
      </c>
      <c r="B16" s="15" t="s">
        <v>31</v>
      </c>
      <c r="C16" s="13" t="s">
        <v>105</v>
      </c>
      <c r="D16" s="16">
        <v>69000</v>
      </c>
    </row>
    <row r="17" spans="1:4" hidden="1" x14ac:dyDescent="0.25">
      <c r="A17" s="13" t="s">
        <v>21</v>
      </c>
      <c r="B17" s="15" t="s">
        <v>25</v>
      </c>
      <c r="C17" s="13" t="s">
        <v>72</v>
      </c>
      <c r="D17" s="16">
        <v>88000</v>
      </c>
    </row>
    <row r="18" spans="1:4" hidden="1" x14ac:dyDescent="0.25">
      <c r="A18" s="13" t="s">
        <v>68</v>
      </c>
      <c r="B18" s="15" t="s">
        <v>71</v>
      </c>
      <c r="C18" s="13" t="s">
        <v>72</v>
      </c>
      <c r="D18" s="16">
        <v>89000</v>
      </c>
    </row>
    <row r="19" spans="1:4" hidden="1" x14ac:dyDescent="0.25">
      <c r="A19" s="13" t="s">
        <v>102</v>
      </c>
      <c r="B19" s="15" t="s">
        <v>36</v>
      </c>
      <c r="C19" s="13" t="s">
        <v>91</v>
      </c>
      <c r="D19" s="16">
        <v>58000</v>
      </c>
    </row>
    <row r="20" spans="1:4" hidden="1" x14ac:dyDescent="0.25">
      <c r="A20" s="13" t="s">
        <v>88</v>
      </c>
      <c r="B20" s="15" t="s">
        <v>48</v>
      </c>
      <c r="C20" s="13" t="s">
        <v>91</v>
      </c>
      <c r="D20" s="16">
        <v>61000</v>
      </c>
    </row>
    <row r="21" spans="1:4" hidden="1" x14ac:dyDescent="0.25">
      <c r="A21" s="13" t="s">
        <v>50</v>
      </c>
      <c r="B21" s="15" t="s">
        <v>42</v>
      </c>
      <c r="C21" s="13" t="s">
        <v>91</v>
      </c>
      <c r="D21" s="16">
        <v>64000</v>
      </c>
    </row>
    <row r="22" spans="1:4" hidden="1" x14ac:dyDescent="0.25">
      <c r="A22" s="13" t="s">
        <v>62</v>
      </c>
      <c r="B22" s="15" t="s">
        <v>25</v>
      </c>
      <c r="C22" s="13" t="s">
        <v>101</v>
      </c>
      <c r="D22" s="16">
        <v>82000</v>
      </c>
    </row>
    <row r="23" spans="1:4" x14ac:dyDescent="0.25">
      <c r="A23" s="13" t="s">
        <v>53</v>
      </c>
      <c r="B23" s="15" t="s">
        <v>31</v>
      </c>
      <c r="C23" s="13" t="s">
        <v>43</v>
      </c>
      <c r="D23" s="16">
        <v>67000</v>
      </c>
    </row>
    <row r="24" spans="1:4" hidden="1" x14ac:dyDescent="0.25">
      <c r="A24" s="13" t="s">
        <v>33</v>
      </c>
      <c r="B24" s="15" t="s">
        <v>36</v>
      </c>
      <c r="C24" s="13" t="s">
        <v>105</v>
      </c>
      <c r="D24" s="16">
        <v>70000</v>
      </c>
    </row>
    <row r="25" spans="1:4" x14ac:dyDescent="0.25">
      <c r="A25" s="27" t="s">
        <v>28</v>
      </c>
      <c r="B25" s="29" t="s">
        <v>31</v>
      </c>
      <c r="C25" s="27" t="s">
        <v>61</v>
      </c>
      <c r="D25" s="30">
        <v>63200</v>
      </c>
    </row>
    <row r="26" spans="1:4" x14ac:dyDescent="0.25">
      <c r="A26" s="27"/>
      <c r="B26" s="29"/>
      <c r="C26" s="27"/>
      <c r="D26" s="54">
        <f>SUBTOTAL(109,Table13[SALARY])</f>
        <v>545200</v>
      </c>
    </row>
  </sheetData>
  <mergeCells count="1">
    <mergeCell ref="A1:D1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DA096-F804-42C2-A2FD-02DFC930C68F}">
  <dimension ref="A1:E26"/>
  <sheetViews>
    <sheetView zoomScale="140" zoomScaleNormal="140" workbookViewId="0">
      <pane ySplit="1" topLeftCell="A2" activePane="bottomLeft" state="frozen"/>
      <selection pane="bottomLeft" activeCell="D26" sqref="D26"/>
    </sheetView>
  </sheetViews>
  <sheetFormatPr defaultColWidth="15.42578125" defaultRowHeight="15" x14ac:dyDescent="0.25"/>
  <sheetData>
    <row r="1" spans="1:5" x14ac:dyDescent="0.25">
      <c r="A1" s="34" t="s">
        <v>115</v>
      </c>
      <c r="B1" s="34"/>
      <c r="C1" s="34"/>
      <c r="D1" s="34"/>
      <c r="E1" s="34"/>
    </row>
    <row r="2" spans="1:5" x14ac:dyDescent="0.25">
      <c r="A2" s="21" t="s">
        <v>10</v>
      </c>
      <c r="B2" s="21" t="s">
        <v>12</v>
      </c>
      <c r="C2" s="21" t="s">
        <v>112</v>
      </c>
      <c r="D2" s="24" t="s">
        <v>16</v>
      </c>
      <c r="E2" s="21" t="s">
        <v>19</v>
      </c>
    </row>
    <row r="3" spans="1:5" x14ac:dyDescent="0.25">
      <c r="A3" s="13" t="s">
        <v>29</v>
      </c>
      <c r="B3" s="13" t="s">
        <v>59</v>
      </c>
      <c r="C3" s="13" t="s">
        <v>26</v>
      </c>
      <c r="D3" s="16">
        <v>98000</v>
      </c>
      <c r="E3" s="13">
        <v>1</v>
      </c>
    </row>
    <row r="4" spans="1:5" hidden="1" x14ac:dyDescent="0.25">
      <c r="A4" s="13" t="s">
        <v>33</v>
      </c>
      <c r="B4" s="13" t="s">
        <v>23</v>
      </c>
      <c r="C4" s="13" t="s">
        <v>105</v>
      </c>
      <c r="D4" s="16">
        <v>70000</v>
      </c>
      <c r="E4" s="13">
        <v>0</v>
      </c>
    </row>
    <row r="5" spans="1:5" x14ac:dyDescent="0.25">
      <c r="A5" s="13" t="s">
        <v>79</v>
      </c>
      <c r="B5" s="13" t="s">
        <v>59</v>
      </c>
      <c r="C5" s="13" t="s">
        <v>26</v>
      </c>
      <c r="D5" s="16">
        <v>97000</v>
      </c>
      <c r="E5" s="13">
        <v>1</v>
      </c>
    </row>
    <row r="6" spans="1:5" x14ac:dyDescent="0.25">
      <c r="A6" s="13" t="s">
        <v>21</v>
      </c>
      <c r="B6" s="13" t="s">
        <v>23</v>
      </c>
      <c r="C6" s="13" t="s">
        <v>72</v>
      </c>
      <c r="D6" s="16">
        <v>88000</v>
      </c>
      <c r="E6" s="13">
        <v>1</v>
      </c>
    </row>
    <row r="7" spans="1:5" x14ac:dyDescent="0.25">
      <c r="A7" s="13" t="s">
        <v>62</v>
      </c>
      <c r="B7" s="13" t="s">
        <v>40</v>
      </c>
      <c r="C7" s="13" t="s">
        <v>101</v>
      </c>
      <c r="D7" s="16">
        <v>82000</v>
      </c>
      <c r="E7" s="13">
        <v>1</v>
      </c>
    </row>
    <row r="8" spans="1:5" x14ac:dyDescent="0.25">
      <c r="A8" s="13" t="s">
        <v>106</v>
      </c>
      <c r="B8" s="13" t="s">
        <v>103</v>
      </c>
      <c r="C8" s="13" t="s">
        <v>43</v>
      </c>
      <c r="D8" s="16">
        <v>81420</v>
      </c>
      <c r="E8" s="13">
        <v>1</v>
      </c>
    </row>
    <row r="9" spans="1:5" x14ac:dyDescent="0.25">
      <c r="A9" s="13" t="s">
        <v>57</v>
      </c>
      <c r="B9" s="13" t="s">
        <v>59</v>
      </c>
      <c r="C9" s="13" t="s">
        <v>72</v>
      </c>
      <c r="D9" s="16">
        <v>76000</v>
      </c>
      <c r="E9" s="13">
        <v>1</v>
      </c>
    </row>
    <row r="10" spans="1:5" x14ac:dyDescent="0.25">
      <c r="A10" s="13" t="s">
        <v>76</v>
      </c>
      <c r="B10" s="13" t="s">
        <v>59</v>
      </c>
      <c r="C10" s="13" t="s">
        <v>105</v>
      </c>
      <c r="D10" s="16">
        <v>75000</v>
      </c>
      <c r="E10" s="13">
        <v>1</v>
      </c>
    </row>
    <row r="11" spans="1:5" x14ac:dyDescent="0.25">
      <c r="A11" s="13" t="s">
        <v>109</v>
      </c>
      <c r="B11" s="13" t="s">
        <v>23</v>
      </c>
      <c r="C11" s="13" t="s">
        <v>72</v>
      </c>
      <c r="D11" s="16">
        <v>74000</v>
      </c>
      <c r="E11" s="13">
        <v>1</v>
      </c>
    </row>
    <row r="12" spans="1:5" x14ac:dyDescent="0.25">
      <c r="A12" s="13" t="s">
        <v>45</v>
      </c>
      <c r="B12" s="13" t="s">
        <v>40</v>
      </c>
      <c r="C12" s="13" t="s">
        <v>43</v>
      </c>
      <c r="D12" s="16">
        <v>72000</v>
      </c>
      <c r="E12" s="13">
        <v>1</v>
      </c>
    </row>
    <row r="13" spans="1:5" x14ac:dyDescent="0.25">
      <c r="A13" s="13" t="s">
        <v>98</v>
      </c>
      <c r="B13" s="13" t="s">
        <v>23</v>
      </c>
      <c r="C13" s="13" t="s">
        <v>105</v>
      </c>
      <c r="D13" s="16">
        <v>69000</v>
      </c>
      <c r="E13" s="13">
        <v>1</v>
      </c>
    </row>
    <row r="14" spans="1:5" x14ac:dyDescent="0.25">
      <c r="A14" s="13" t="s">
        <v>95</v>
      </c>
      <c r="B14" s="13" t="s">
        <v>59</v>
      </c>
      <c r="C14" s="13" t="s">
        <v>43</v>
      </c>
      <c r="D14" s="16">
        <v>69000</v>
      </c>
      <c r="E14" s="13">
        <v>1</v>
      </c>
    </row>
    <row r="15" spans="1:5" hidden="1" x14ac:dyDescent="0.25">
      <c r="A15" s="13" t="s">
        <v>68</v>
      </c>
      <c r="B15" s="13" t="s">
        <v>59</v>
      </c>
      <c r="C15" s="13" t="s">
        <v>72</v>
      </c>
      <c r="D15" s="16">
        <v>89000</v>
      </c>
      <c r="E15" s="13">
        <v>0</v>
      </c>
    </row>
    <row r="16" spans="1:5" x14ac:dyDescent="0.25">
      <c r="A16" s="13" t="s">
        <v>92</v>
      </c>
      <c r="B16" s="13" t="s">
        <v>40</v>
      </c>
      <c r="C16" s="13" t="s">
        <v>61</v>
      </c>
      <c r="D16" s="16">
        <v>65700</v>
      </c>
      <c r="E16" s="13">
        <v>1</v>
      </c>
    </row>
    <row r="17" spans="1:5" x14ac:dyDescent="0.25">
      <c r="A17" s="13" t="s">
        <v>50</v>
      </c>
      <c r="B17" s="13" t="s">
        <v>23</v>
      </c>
      <c r="C17" s="13" t="s">
        <v>91</v>
      </c>
      <c r="D17" s="16">
        <v>64000</v>
      </c>
      <c r="E17" s="13">
        <v>1</v>
      </c>
    </row>
    <row r="18" spans="1:5" x14ac:dyDescent="0.25">
      <c r="A18" s="13" t="s">
        <v>28</v>
      </c>
      <c r="B18" s="13" t="s">
        <v>23</v>
      </c>
      <c r="C18" s="13" t="s">
        <v>61</v>
      </c>
      <c r="D18" s="16">
        <v>63200</v>
      </c>
      <c r="E18" s="13">
        <v>1</v>
      </c>
    </row>
    <row r="19" spans="1:5" hidden="1" x14ac:dyDescent="0.25">
      <c r="A19" s="13" t="s">
        <v>53</v>
      </c>
      <c r="B19" s="13" t="s">
        <v>23</v>
      </c>
      <c r="C19" s="13" t="s">
        <v>43</v>
      </c>
      <c r="D19" s="16">
        <v>67000</v>
      </c>
      <c r="E19" s="13">
        <v>0</v>
      </c>
    </row>
    <row r="20" spans="1:5" x14ac:dyDescent="0.25">
      <c r="A20" s="13" t="s">
        <v>88</v>
      </c>
      <c r="B20" s="13" t="s">
        <v>59</v>
      </c>
      <c r="C20" s="13" t="s">
        <v>91</v>
      </c>
      <c r="D20" s="16">
        <v>61000</v>
      </c>
      <c r="E20" s="13">
        <v>1</v>
      </c>
    </row>
    <row r="21" spans="1:5" x14ac:dyDescent="0.25">
      <c r="A21" s="13" t="s">
        <v>65</v>
      </c>
      <c r="B21" s="13" t="s">
        <v>59</v>
      </c>
      <c r="C21" s="13" t="s">
        <v>61</v>
      </c>
      <c r="D21" s="16">
        <v>60000</v>
      </c>
      <c r="E21" s="13">
        <v>1</v>
      </c>
    </row>
    <row r="22" spans="1:5" x14ac:dyDescent="0.25">
      <c r="A22" s="13" t="s">
        <v>102</v>
      </c>
      <c r="B22" s="13" t="s">
        <v>103</v>
      </c>
      <c r="C22" s="13" t="s">
        <v>91</v>
      </c>
      <c r="D22" s="16">
        <v>58000</v>
      </c>
      <c r="E22" s="13">
        <v>1</v>
      </c>
    </row>
    <row r="23" spans="1:5" x14ac:dyDescent="0.25">
      <c r="A23" s="13" t="s">
        <v>38</v>
      </c>
      <c r="B23" s="13" t="s">
        <v>40</v>
      </c>
      <c r="C23" s="13" t="s">
        <v>72</v>
      </c>
      <c r="D23" s="16">
        <v>57000</v>
      </c>
      <c r="E23" s="13">
        <v>1</v>
      </c>
    </row>
    <row r="24" spans="1:5" x14ac:dyDescent="0.25">
      <c r="A24" s="13" t="s">
        <v>82</v>
      </c>
      <c r="B24" s="13" t="s">
        <v>23</v>
      </c>
      <c r="C24" s="13" t="s">
        <v>72</v>
      </c>
      <c r="D24" s="16">
        <v>48900</v>
      </c>
      <c r="E24" s="13">
        <v>1</v>
      </c>
    </row>
    <row r="25" spans="1:5" hidden="1" x14ac:dyDescent="0.25">
      <c r="A25" s="27" t="s">
        <v>86</v>
      </c>
      <c r="B25" s="27" t="s">
        <v>40</v>
      </c>
      <c r="C25" s="27" t="s">
        <v>26</v>
      </c>
      <c r="D25" s="30">
        <v>99000</v>
      </c>
      <c r="E25" s="27">
        <v>0</v>
      </c>
    </row>
    <row r="26" spans="1:5" x14ac:dyDescent="0.25">
      <c r="A26" s="27"/>
      <c r="B26" s="27"/>
      <c r="C26" s="27"/>
      <c r="D26" s="30">
        <f>SUBTOTAL(109,Table13511[SALARY])</f>
        <v>1359220</v>
      </c>
      <c r="E26" s="27"/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89F6-C9FD-4CFC-A7D4-88A0CD866A4D}">
  <dimension ref="A1:E26"/>
  <sheetViews>
    <sheetView zoomScale="140" zoomScaleNormal="140" workbookViewId="0">
      <pane ySplit="1" topLeftCell="A2" activePane="bottomLeft" state="frozen"/>
      <selection pane="bottomLeft" activeCell="D26" sqref="D26"/>
    </sheetView>
  </sheetViews>
  <sheetFormatPr defaultColWidth="36.140625" defaultRowHeight="15" x14ac:dyDescent="0.25"/>
  <cols>
    <col min="1" max="1" width="13.5703125" bestFit="1" customWidth="1"/>
    <col min="2" max="2" width="13" bestFit="1" customWidth="1"/>
    <col min="3" max="3" width="15.5703125" bestFit="1" customWidth="1"/>
    <col min="4" max="4" width="12.28515625" bestFit="1" customWidth="1"/>
    <col min="5" max="5" width="16.85546875" bestFit="1" customWidth="1"/>
  </cols>
  <sheetData>
    <row r="1" spans="1:5" x14ac:dyDescent="0.25">
      <c r="A1" s="34" t="s">
        <v>116</v>
      </c>
      <c r="B1" s="34"/>
      <c r="C1" s="34"/>
      <c r="D1" s="34"/>
      <c r="E1" s="34"/>
    </row>
    <row r="2" spans="1:5" x14ac:dyDescent="0.25">
      <c r="A2" s="50" t="s">
        <v>10</v>
      </c>
      <c r="B2" s="51" t="s">
        <v>11</v>
      </c>
      <c r="C2" s="51" t="s">
        <v>112</v>
      </c>
      <c r="D2" s="52" t="s">
        <v>16</v>
      </c>
      <c r="E2" s="52" t="s">
        <v>18</v>
      </c>
    </row>
    <row r="3" spans="1:5" hidden="1" x14ac:dyDescent="0.25">
      <c r="A3" s="47" t="s">
        <v>109</v>
      </c>
      <c r="B3" s="44" t="s">
        <v>34</v>
      </c>
      <c r="C3" s="44" t="s">
        <v>72</v>
      </c>
      <c r="D3" s="45">
        <v>74000</v>
      </c>
      <c r="E3" s="49">
        <v>101</v>
      </c>
    </row>
    <row r="4" spans="1:5" hidden="1" x14ac:dyDescent="0.25">
      <c r="A4" s="46" t="s">
        <v>57</v>
      </c>
      <c r="B4" s="42" t="s">
        <v>58</v>
      </c>
      <c r="C4" s="42" t="s">
        <v>72</v>
      </c>
      <c r="D4" s="43">
        <v>76000</v>
      </c>
      <c r="E4" s="48">
        <v>102</v>
      </c>
    </row>
    <row r="5" spans="1:5" hidden="1" x14ac:dyDescent="0.25">
      <c r="A5" s="46" t="s">
        <v>98</v>
      </c>
      <c r="B5" s="42" t="s">
        <v>99</v>
      </c>
      <c r="C5" s="42" t="s">
        <v>105</v>
      </c>
      <c r="D5" s="43">
        <v>69000</v>
      </c>
      <c r="E5" s="48">
        <v>1001</v>
      </c>
    </row>
    <row r="6" spans="1:5" hidden="1" x14ac:dyDescent="0.25">
      <c r="A6" s="47" t="s">
        <v>82</v>
      </c>
      <c r="B6" s="44" t="s">
        <v>83</v>
      </c>
      <c r="C6" s="44" t="s">
        <v>72</v>
      </c>
      <c r="D6" s="45">
        <v>48900</v>
      </c>
      <c r="E6" s="49">
        <v>1001</v>
      </c>
    </row>
    <row r="7" spans="1:5" x14ac:dyDescent="0.25">
      <c r="A7" s="47" t="s">
        <v>21</v>
      </c>
      <c r="B7" s="44" t="s">
        <v>22</v>
      </c>
      <c r="C7" s="44" t="s">
        <v>72</v>
      </c>
      <c r="D7" s="45">
        <v>88000</v>
      </c>
      <c r="E7" s="49">
        <v>1001</v>
      </c>
    </row>
    <row r="8" spans="1:5" hidden="1" x14ac:dyDescent="0.25">
      <c r="A8" s="46" t="s">
        <v>28</v>
      </c>
      <c r="B8" s="42" t="s">
        <v>29</v>
      </c>
      <c r="C8" s="42" t="s">
        <v>61</v>
      </c>
      <c r="D8" s="43">
        <v>63200</v>
      </c>
      <c r="E8" s="48">
        <v>1001</v>
      </c>
    </row>
    <row r="9" spans="1:5" x14ac:dyDescent="0.25">
      <c r="A9" s="46" t="s">
        <v>79</v>
      </c>
      <c r="B9" s="42" t="s">
        <v>80</v>
      </c>
      <c r="C9" s="42" t="s">
        <v>26</v>
      </c>
      <c r="D9" s="43">
        <v>97000</v>
      </c>
      <c r="E9" s="48">
        <v>1001</v>
      </c>
    </row>
    <row r="10" spans="1:5" x14ac:dyDescent="0.25">
      <c r="A10" s="47" t="s">
        <v>29</v>
      </c>
      <c r="B10" s="44" t="s">
        <v>69</v>
      </c>
      <c r="C10" s="44" t="s">
        <v>26</v>
      </c>
      <c r="D10" s="45">
        <v>98000</v>
      </c>
      <c r="E10" s="49">
        <v>1001</v>
      </c>
    </row>
    <row r="11" spans="1:5" x14ac:dyDescent="0.25">
      <c r="A11" s="46" t="s">
        <v>86</v>
      </c>
      <c r="B11" s="42" t="s">
        <v>22</v>
      </c>
      <c r="C11" s="42" t="s">
        <v>26</v>
      </c>
      <c r="D11" s="43">
        <v>99000</v>
      </c>
      <c r="E11" s="48">
        <v>1001</v>
      </c>
    </row>
    <row r="12" spans="1:5" hidden="1" x14ac:dyDescent="0.25">
      <c r="A12" s="46" t="s">
        <v>102</v>
      </c>
      <c r="B12" s="42" t="s">
        <v>54</v>
      </c>
      <c r="C12" s="42" t="s">
        <v>91</v>
      </c>
      <c r="D12" s="43">
        <v>58000</v>
      </c>
      <c r="E12" s="48">
        <v>1002</v>
      </c>
    </row>
    <row r="13" spans="1:5" hidden="1" x14ac:dyDescent="0.25">
      <c r="A13" s="46" t="s">
        <v>38</v>
      </c>
      <c r="B13" s="42" t="s">
        <v>39</v>
      </c>
      <c r="C13" s="42" t="s">
        <v>72</v>
      </c>
      <c r="D13" s="43">
        <v>57000</v>
      </c>
      <c r="E13" s="48">
        <v>1002</v>
      </c>
    </row>
    <row r="14" spans="1:5" hidden="1" x14ac:dyDescent="0.25">
      <c r="A14" s="47" t="s">
        <v>65</v>
      </c>
      <c r="B14" s="44" t="s">
        <v>66</v>
      </c>
      <c r="C14" s="44" t="s">
        <v>61</v>
      </c>
      <c r="D14" s="45">
        <v>60000</v>
      </c>
      <c r="E14" s="49">
        <v>1002</v>
      </c>
    </row>
    <row r="15" spans="1:5" hidden="1" x14ac:dyDescent="0.25">
      <c r="A15" s="47" t="s">
        <v>92</v>
      </c>
      <c r="B15" s="44" t="s">
        <v>93</v>
      </c>
      <c r="C15" s="44" t="s">
        <v>61</v>
      </c>
      <c r="D15" s="45">
        <v>65700</v>
      </c>
      <c r="E15" s="49">
        <v>1002</v>
      </c>
    </row>
    <row r="16" spans="1:5" hidden="1" x14ac:dyDescent="0.25">
      <c r="A16" s="46" t="s">
        <v>50</v>
      </c>
      <c r="B16" s="42" t="s">
        <v>51</v>
      </c>
      <c r="C16" s="42" t="s">
        <v>91</v>
      </c>
      <c r="D16" s="43">
        <v>64000</v>
      </c>
      <c r="E16" s="48">
        <v>1003</v>
      </c>
    </row>
    <row r="17" spans="1:5" hidden="1" x14ac:dyDescent="0.25">
      <c r="A17" s="46" t="s">
        <v>53</v>
      </c>
      <c r="B17" s="42" t="s">
        <v>54</v>
      </c>
      <c r="C17" s="42" t="s">
        <v>43</v>
      </c>
      <c r="D17" s="43">
        <v>67000</v>
      </c>
      <c r="E17" s="48">
        <v>1003</v>
      </c>
    </row>
    <row r="18" spans="1:5" hidden="1" x14ac:dyDescent="0.25">
      <c r="A18" s="47" t="s">
        <v>95</v>
      </c>
      <c r="B18" s="44" t="s">
        <v>96</v>
      </c>
      <c r="C18" s="44" t="s">
        <v>43</v>
      </c>
      <c r="D18" s="45">
        <v>69000</v>
      </c>
      <c r="E18" s="49">
        <v>1003</v>
      </c>
    </row>
    <row r="19" spans="1:5" hidden="1" x14ac:dyDescent="0.25">
      <c r="A19" s="46" t="s">
        <v>45</v>
      </c>
      <c r="B19" s="42" t="s">
        <v>46</v>
      </c>
      <c r="C19" s="42" t="s">
        <v>43</v>
      </c>
      <c r="D19" s="43">
        <v>72000</v>
      </c>
      <c r="E19" s="48">
        <v>1003</v>
      </c>
    </row>
    <row r="20" spans="1:5" hidden="1" x14ac:dyDescent="0.25">
      <c r="A20" s="47" t="s">
        <v>33</v>
      </c>
      <c r="B20" s="44" t="s">
        <v>34</v>
      </c>
      <c r="C20" s="44" t="s">
        <v>105</v>
      </c>
      <c r="D20" s="45">
        <v>70000</v>
      </c>
      <c r="E20" s="49">
        <v>1004</v>
      </c>
    </row>
    <row r="21" spans="1:5" hidden="1" x14ac:dyDescent="0.25">
      <c r="A21" s="46" t="s">
        <v>76</v>
      </c>
      <c r="B21" s="42" t="s">
        <v>77</v>
      </c>
      <c r="C21" s="42" t="s">
        <v>105</v>
      </c>
      <c r="D21" s="43">
        <v>75000</v>
      </c>
      <c r="E21" s="48">
        <v>1004</v>
      </c>
    </row>
    <row r="22" spans="1:5" hidden="1" x14ac:dyDescent="0.25">
      <c r="A22" s="47" t="s">
        <v>88</v>
      </c>
      <c r="B22" s="44" t="s">
        <v>89</v>
      </c>
      <c r="C22" s="44" t="s">
        <v>91</v>
      </c>
      <c r="D22" s="45">
        <v>61000</v>
      </c>
      <c r="E22" s="49">
        <v>1004</v>
      </c>
    </row>
    <row r="23" spans="1:5" x14ac:dyDescent="0.25">
      <c r="A23" s="47" t="s">
        <v>106</v>
      </c>
      <c r="B23" s="44" t="s">
        <v>107</v>
      </c>
      <c r="C23" s="44" t="s">
        <v>43</v>
      </c>
      <c r="D23" s="45">
        <v>81420</v>
      </c>
      <c r="E23" s="49">
        <v>1005</v>
      </c>
    </row>
    <row r="24" spans="1:5" x14ac:dyDescent="0.25">
      <c r="A24" s="46" t="s">
        <v>68</v>
      </c>
      <c r="B24" s="42" t="s">
        <v>69</v>
      </c>
      <c r="C24" s="42" t="s">
        <v>72</v>
      </c>
      <c r="D24" s="43">
        <v>89000</v>
      </c>
      <c r="E24" s="48">
        <v>1006</v>
      </c>
    </row>
    <row r="25" spans="1:5" x14ac:dyDescent="0.25">
      <c r="A25" s="47" t="s">
        <v>62</v>
      </c>
      <c r="B25" s="44" t="s">
        <v>63</v>
      </c>
      <c r="C25" s="44" t="s">
        <v>101</v>
      </c>
      <c r="D25" s="45">
        <v>82000</v>
      </c>
      <c r="E25" s="49" t="s">
        <v>101</v>
      </c>
    </row>
    <row r="26" spans="1:5" x14ac:dyDescent="0.25">
      <c r="A26" s="46"/>
      <c r="B26" s="42"/>
      <c r="C26" s="42"/>
      <c r="D26" s="43">
        <f>SUBTOTAL(109,Table11[SALARY])</f>
        <v>634420</v>
      </c>
      <c r="E26" s="48"/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377A-2899-4C84-9432-3C9D19EAA7AF}">
  <dimension ref="A1:F26"/>
  <sheetViews>
    <sheetView tabSelected="1" zoomScale="180" workbookViewId="0">
      <pane ySplit="1" topLeftCell="A2" activePane="bottomLeft" state="frozen"/>
      <selection pane="bottomLeft" activeCell="C30" sqref="C30"/>
    </sheetView>
  </sheetViews>
  <sheetFormatPr defaultColWidth="16" defaultRowHeight="15" x14ac:dyDescent="0.25"/>
  <sheetData>
    <row r="1" spans="1:6" x14ac:dyDescent="0.25">
      <c r="A1" s="34" t="s">
        <v>117</v>
      </c>
      <c r="B1" s="34"/>
      <c r="C1" s="34"/>
      <c r="D1" s="34"/>
      <c r="E1" s="34"/>
      <c r="F1" s="34"/>
    </row>
    <row r="2" spans="1:6" x14ac:dyDescent="0.25">
      <c r="A2" s="21" t="s">
        <v>10</v>
      </c>
      <c r="B2" s="21" t="s">
        <v>11</v>
      </c>
      <c r="C2" s="21" t="s">
        <v>12</v>
      </c>
      <c r="D2" s="23" t="s">
        <v>15</v>
      </c>
      <c r="E2" s="21" t="s">
        <v>112</v>
      </c>
      <c r="F2" s="24" t="s">
        <v>16</v>
      </c>
    </row>
    <row r="3" spans="1:6" hidden="1" x14ac:dyDescent="0.25">
      <c r="A3" s="13" t="s">
        <v>98</v>
      </c>
      <c r="B3" s="13" t="s">
        <v>99</v>
      </c>
      <c r="C3" s="13" t="s">
        <v>23</v>
      </c>
      <c r="D3" s="15" t="s">
        <v>31</v>
      </c>
      <c r="E3" s="13" t="s">
        <v>105</v>
      </c>
      <c r="F3" s="16">
        <v>69000</v>
      </c>
    </row>
    <row r="4" spans="1:6" hidden="1" x14ac:dyDescent="0.25">
      <c r="A4" s="13" t="s">
        <v>33</v>
      </c>
      <c r="B4" s="13" t="s">
        <v>34</v>
      </c>
      <c r="C4" s="13" t="s">
        <v>23</v>
      </c>
      <c r="D4" s="15" t="s">
        <v>36</v>
      </c>
      <c r="E4" s="13" t="s">
        <v>105</v>
      </c>
      <c r="F4" s="16">
        <v>70000</v>
      </c>
    </row>
    <row r="5" spans="1:6" hidden="1" x14ac:dyDescent="0.25">
      <c r="A5" s="13" t="s">
        <v>76</v>
      </c>
      <c r="B5" s="13" t="s">
        <v>77</v>
      </c>
      <c r="C5" s="13" t="s">
        <v>59</v>
      </c>
      <c r="D5" s="15" t="s">
        <v>31</v>
      </c>
      <c r="E5" s="13" t="s">
        <v>105</v>
      </c>
      <c r="F5" s="16">
        <v>75000</v>
      </c>
    </row>
    <row r="6" spans="1:6" x14ac:dyDescent="0.25">
      <c r="A6" s="13" t="s">
        <v>62</v>
      </c>
      <c r="B6" s="13" t="s">
        <v>63</v>
      </c>
      <c r="C6" s="13" t="s">
        <v>40</v>
      </c>
      <c r="D6" s="15" t="s">
        <v>25</v>
      </c>
      <c r="E6" s="13" t="s">
        <v>101</v>
      </c>
      <c r="F6" s="16">
        <v>82000</v>
      </c>
    </row>
    <row r="7" spans="1:6" x14ac:dyDescent="0.25">
      <c r="A7" s="13" t="s">
        <v>102</v>
      </c>
      <c r="B7" s="13" t="s">
        <v>54</v>
      </c>
      <c r="C7" s="13" t="s">
        <v>103</v>
      </c>
      <c r="D7" s="15" t="s">
        <v>36</v>
      </c>
      <c r="E7" s="13" t="s">
        <v>91</v>
      </c>
      <c r="F7" s="16">
        <v>58000</v>
      </c>
    </row>
    <row r="8" spans="1:6" hidden="1" x14ac:dyDescent="0.25">
      <c r="A8" s="13" t="s">
        <v>88</v>
      </c>
      <c r="B8" s="13" t="s">
        <v>89</v>
      </c>
      <c r="C8" s="13" t="s">
        <v>59</v>
      </c>
      <c r="D8" s="15" t="s">
        <v>48</v>
      </c>
      <c r="E8" s="13" t="s">
        <v>91</v>
      </c>
      <c r="F8" s="16">
        <v>61000</v>
      </c>
    </row>
    <row r="9" spans="1:6" hidden="1" x14ac:dyDescent="0.25">
      <c r="A9" s="13" t="s">
        <v>50</v>
      </c>
      <c r="B9" s="13" t="s">
        <v>51</v>
      </c>
      <c r="C9" s="13" t="s">
        <v>23</v>
      </c>
      <c r="D9" s="15" t="s">
        <v>42</v>
      </c>
      <c r="E9" s="13" t="s">
        <v>91</v>
      </c>
      <c r="F9" s="16">
        <v>64000</v>
      </c>
    </row>
    <row r="10" spans="1:6" hidden="1" x14ac:dyDescent="0.25">
      <c r="A10" s="13" t="s">
        <v>82</v>
      </c>
      <c r="B10" s="13" t="s">
        <v>83</v>
      </c>
      <c r="C10" s="13" t="s">
        <v>23</v>
      </c>
      <c r="D10" s="15" t="s">
        <v>36</v>
      </c>
      <c r="E10" s="13" t="s">
        <v>72</v>
      </c>
      <c r="F10" s="16">
        <v>48900</v>
      </c>
    </row>
    <row r="11" spans="1:6" x14ac:dyDescent="0.25">
      <c r="A11" s="13" t="s">
        <v>38</v>
      </c>
      <c r="B11" s="13" t="s">
        <v>39</v>
      </c>
      <c r="C11" s="13" t="s">
        <v>40</v>
      </c>
      <c r="D11" s="15" t="s">
        <v>42</v>
      </c>
      <c r="E11" s="13" t="s">
        <v>72</v>
      </c>
      <c r="F11" s="16">
        <v>57000</v>
      </c>
    </row>
    <row r="12" spans="1:6" hidden="1" x14ac:dyDescent="0.25">
      <c r="A12" s="13" t="s">
        <v>109</v>
      </c>
      <c r="B12" s="13" t="s">
        <v>34</v>
      </c>
      <c r="C12" s="13" t="s">
        <v>23</v>
      </c>
      <c r="D12" s="15" t="s">
        <v>48</v>
      </c>
      <c r="E12" s="13" t="s">
        <v>72</v>
      </c>
      <c r="F12" s="16">
        <v>74000</v>
      </c>
    </row>
    <row r="13" spans="1:6" hidden="1" x14ac:dyDescent="0.25">
      <c r="A13" s="13" t="s">
        <v>57</v>
      </c>
      <c r="B13" s="13" t="s">
        <v>58</v>
      </c>
      <c r="C13" s="13" t="s">
        <v>59</v>
      </c>
      <c r="D13" s="15" t="s">
        <v>31</v>
      </c>
      <c r="E13" s="13" t="s">
        <v>72</v>
      </c>
      <c r="F13" s="16">
        <v>76000</v>
      </c>
    </row>
    <row r="14" spans="1:6" hidden="1" x14ac:dyDescent="0.25">
      <c r="A14" s="13" t="s">
        <v>21</v>
      </c>
      <c r="B14" s="13" t="s">
        <v>22</v>
      </c>
      <c r="C14" s="13" t="s">
        <v>23</v>
      </c>
      <c r="D14" s="15" t="s">
        <v>25</v>
      </c>
      <c r="E14" s="13" t="s">
        <v>72</v>
      </c>
      <c r="F14" s="16">
        <v>88000</v>
      </c>
    </row>
    <row r="15" spans="1:6" hidden="1" x14ac:dyDescent="0.25">
      <c r="A15" s="13" t="s">
        <v>68</v>
      </c>
      <c r="B15" s="13" t="s">
        <v>69</v>
      </c>
      <c r="C15" s="13" t="s">
        <v>59</v>
      </c>
      <c r="D15" s="15" t="s">
        <v>71</v>
      </c>
      <c r="E15" s="13" t="s">
        <v>72</v>
      </c>
      <c r="F15" s="16">
        <v>89000</v>
      </c>
    </row>
    <row r="16" spans="1:6" hidden="1" x14ac:dyDescent="0.25">
      <c r="A16" s="13" t="s">
        <v>65</v>
      </c>
      <c r="B16" s="13" t="s">
        <v>66</v>
      </c>
      <c r="C16" s="13" t="s">
        <v>59</v>
      </c>
      <c r="D16" s="15" t="s">
        <v>25</v>
      </c>
      <c r="E16" s="13" t="s">
        <v>61</v>
      </c>
      <c r="F16" s="16">
        <v>60000</v>
      </c>
    </row>
    <row r="17" spans="1:6" hidden="1" x14ac:dyDescent="0.25">
      <c r="A17" s="13" t="s">
        <v>28</v>
      </c>
      <c r="B17" s="13" t="s">
        <v>29</v>
      </c>
      <c r="C17" s="13" t="s">
        <v>23</v>
      </c>
      <c r="D17" s="15" t="s">
        <v>31</v>
      </c>
      <c r="E17" s="13" t="s">
        <v>61</v>
      </c>
      <c r="F17" s="16">
        <v>63200</v>
      </c>
    </row>
    <row r="18" spans="1:6" x14ac:dyDescent="0.25">
      <c r="A18" s="13" t="s">
        <v>92</v>
      </c>
      <c r="B18" s="13" t="s">
        <v>93</v>
      </c>
      <c r="C18" s="13" t="s">
        <v>40</v>
      </c>
      <c r="D18" s="15" t="s">
        <v>71</v>
      </c>
      <c r="E18" s="13" t="s">
        <v>61</v>
      </c>
      <c r="F18" s="16">
        <v>65700</v>
      </c>
    </row>
    <row r="19" spans="1:6" hidden="1" x14ac:dyDescent="0.25">
      <c r="A19" s="13" t="s">
        <v>53</v>
      </c>
      <c r="B19" s="13" t="s">
        <v>54</v>
      </c>
      <c r="C19" s="13" t="s">
        <v>23</v>
      </c>
      <c r="D19" s="15" t="s">
        <v>31</v>
      </c>
      <c r="E19" s="13" t="s">
        <v>43</v>
      </c>
      <c r="F19" s="16">
        <v>67000</v>
      </c>
    </row>
    <row r="20" spans="1:6" hidden="1" x14ac:dyDescent="0.25">
      <c r="A20" s="13" t="s">
        <v>95</v>
      </c>
      <c r="B20" s="13" t="s">
        <v>96</v>
      </c>
      <c r="C20" s="13" t="s">
        <v>59</v>
      </c>
      <c r="D20" s="15" t="s">
        <v>71</v>
      </c>
      <c r="E20" s="13" t="s">
        <v>43</v>
      </c>
      <c r="F20" s="16">
        <v>69000</v>
      </c>
    </row>
    <row r="21" spans="1:6" x14ac:dyDescent="0.25">
      <c r="A21" s="13" t="s">
        <v>45</v>
      </c>
      <c r="B21" s="13" t="s">
        <v>46</v>
      </c>
      <c r="C21" s="13" t="s">
        <v>40</v>
      </c>
      <c r="D21" s="15" t="s">
        <v>48</v>
      </c>
      <c r="E21" s="13" t="s">
        <v>43</v>
      </c>
      <c r="F21" s="16">
        <v>72000</v>
      </c>
    </row>
    <row r="22" spans="1:6" x14ac:dyDescent="0.25">
      <c r="A22" s="13" t="s">
        <v>106</v>
      </c>
      <c r="B22" s="13" t="s">
        <v>107</v>
      </c>
      <c r="C22" s="13" t="s">
        <v>103</v>
      </c>
      <c r="D22" s="15" t="s">
        <v>42</v>
      </c>
      <c r="E22" s="13" t="s">
        <v>43</v>
      </c>
      <c r="F22" s="16">
        <v>81420</v>
      </c>
    </row>
    <row r="23" spans="1:6" hidden="1" x14ac:dyDescent="0.25">
      <c r="A23" s="13" t="s">
        <v>79</v>
      </c>
      <c r="B23" s="13" t="s">
        <v>80</v>
      </c>
      <c r="C23" s="13" t="s">
        <v>59</v>
      </c>
      <c r="D23" s="15" t="s">
        <v>31</v>
      </c>
      <c r="E23" s="13" t="s">
        <v>26</v>
      </c>
      <c r="F23" s="16">
        <v>97000</v>
      </c>
    </row>
    <row r="24" spans="1:6" hidden="1" x14ac:dyDescent="0.25">
      <c r="A24" s="13" t="s">
        <v>29</v>
      </c>
      <c r="B24" s="13" t="s">
        <v>69</v>
      </c>
      <c r="C24" s="13" t="s">
        <v>59</v>
      </c>
      <c r="D24" s="15" t="s">
        <v>75</v>
      </c>
      <c r="E24" s="13" t="s">
        <v>26</v>
      </c>
      <c r="F24" s="16">
        <v>98000</v>
      </c>
    </row>
    <row r="25" spans="1:6" x14ac:dyDescent="0.25">
      <c r="A25" s="27" t="s">
        <v>86</v>
      </c>
      <c r="B25" s="27" t="s">
        <v>22</v>
      </c>
      <c r="C25" s="27" t="s">
        <v>40</v>
      </c>
      <c r="D25" s="29" t="s">
        <v>25</v>
      </c>
      <c r="E25" s="27" t="s">
        <v>26</v>
      </c>
      <c r="F25" s="30">
        <v>99000</v>
      </c>
    </row>
    <row r="26" spans="1:6" x14ac:dyDescent="0.25">
      <c r="A26" s="27"/>
      <c r="B26" s="27"/>
      <c r="C26" s="27"/>
      <c r="D26" s="29"/>
      <c r="E26" s="27"/>
      <c r="F26" s="55">
        <f>SUBTOTAL(109,Table13714[SALARY])</f>
        <v>515120</v>
      </c>
    </row>
  </sheetData>
  <mergeCells count="1">
    <mergeCell ref="A1:F1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600E-BD1F-4F78-B906-0DEBA34D2A07}">
  <dimension ref="A1:M25"/>
  <sheetViews>
    <sheetView workbookViewId="0">
      <selection activeCell="H31" sqref="H31"/>
    </sheetView>
  </sheetViews>
  <sheetFormatPr defaultColWidth="48.85546875" defaultRowHeight="15" x14ac:dyDescent="0.25"/>
  <cols>
    <col min="1" max="1" width="11.42578125" bestFit="1" customWidth="1"/>
    <col min="2" max="2" width="13.5703125" bestFit="1" customWidth="1"/>
    <col min="3" max="3" width="13" bestFit="1" customWidth="1"/>
    <col min="4" max="4" width="10.5703125" bestFit="1" customWidth="1"/>
    <col min="5" max="5" width="15.5703125" bestFit="1" customWidth="1"/>
    <col min="6" max="6" width="29.85546875" bestFit="1" customWidth="1"/>
    <col min="7" max="7" width="12.42578125" bestFit="1" customWidth="1"/>
    <col min="8" max="8" width="15.5703125" bestFit="1" customWidth="1"/>
    <col min="9" max="9" width="12.28515625" bestFit="1" customWidth="1"/>
    <col min="10" max="10" width="14.42578125" bestFit="1" customWidth="1"/>
    <col min="11" max="11" width="16.85546875" bestFit="1" customWidth="1"/>
    <col min="12" max="12" width="10" bestFit="1" customWidth="1"/>
    <col min="13" max="13" width="18.42578125" bestFit="1" customWidth="1"/>
  </cols>
  <sheetData>
    <row r="1" spans="1:13" x14ac:dyDescent="0.25">
      <c r="A1" s="34" t="s">
        <v>113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x14ac:dyDescent="0.25">
      <c r="A2" s="20" t="s">
        <v>9</v>
      </c>
      <c r="B2" s="21" t="s">
        <v>10</v>
      </c>
      <c r="C2" s="21" t="s">
        <v>11</v>
      </c>
      <c r="D2" s="21" t="s">
        <v>12</v>
      </c>
      <c r="E2" s="22" t="s">
        <v>13</v>
      </c>
      <c r="F2" s="23" t="s">
        <v>14</v>
      </c>
      <c r="G2" s="23" t="s">
        <v>15</v>
      </c>
      <c r="H2" s="21" t="s">
        <v>112</v>
      </c>
      <c r="I2" s="24" t="s">
        <v>16</v>
      </c>
      <c r="J2" s="21" t="s">
        <v>17</v>
      </c>
      <c r="K2" s="24" t="s">
        <v>18</v>
      </c>
      <c r="L2" s="21" t="s">
        <v>19</v>
      </c>
      <c r="M2" s="25" t="s">
        <v>20</v>
      </c>
    </row>
    <row r="3" spans="1:13" x14ac:dyDescent="0.25">
      <c r="A3" s="18">
        <v>1001</v>
      </c>
      <c r="B3" s="13" t="s">
        <v>98</v>
      </c>
      <c r="C3" s="13" t="s">
        <v>99</v>
      </c>
      <c r="D3" s="13" t="s">
        <v>23</v>
      </c>
      <c r="E3" s="14">
        <v>33039</v>
      </c>
      <c r="F3" s="15" t="s">
        <v>100</v>
      </c>
      <c r="G3" s="15" t="s">
        <v>31</v>
      </c>
      <c r="H3" s="13" t="s">
        <v>105</v>
      </c>
      <c r="I3" s="16">
        <v>69000</v>
      </c>
      <c r="J3" s="17">
        <v>44713</v>
      </c>
      <c r="K3" s="12">
        <v>1001</v>
      </c>
      <c r="L3" s="13">
        <v>1</v>
      </c>
      <c r="M3" s="19" t="s">
        <v>49</v>
      </c>
    </row>
    <row r="4" spans="1:13" x14ac:dyDescent="0.25">
      <c r="A4" s="18">
        <v>9999</v>
      </c>
      <c r="B4" s="13" t="s">
        <v>33</v>
      </c>
      <c r="C4" s="13" t="s">
        <v>34</v>
      </c>
      <c r="D4" s="13" t="s">
        <v>23</v>
      </c>
      <c r="E4" s="14">
        <v>32300</v>
      </c>
      <c r="F4" s="15" t="s">
        <v>35</v>
      </c>
      <c r="G4" s="15" t="s">
        <v>36</v>
      </c>
      <c r="H4" s="13" t="s">
        <v>105</v>
      </c>
      <c r="I4" s="16">
        <v>70000</v>
      </c>
      <c r="J4" s="17">
        <v>43633</v>
      </c>
      <c r="K4" s="12">
        <v>1004</v>
      </c>
      <c r="L4" s="13">
        <v>0</v>
      </c>
      <c r="M4" s="19" t="s">
        <v>73</v>
      </c>
    </row>
    <row r="5" spans="1:13" x14ac:dyDescent="0.25">
      <c r="A5" s="18">
        <v>8888</v>
      </c>
      <c r="B5" s="13" t="s">
        <v>76</v>
      </c>
      <c r="C5" s="13" t="s">
        <v>77</v>
      </c>
      <c r="D5" s="13" t="s">
        <v>59</v>
      </c>
      <c r="E5" s="14">
        <v>31116</v>
      </c>
      <c r="F5" s="15" t="s">
        <v>78</v>
      </c>
      <c r="G5" s="15" t="s">
        <v>31</v>
      </c>
      <c r="H5" s="13" t="s">
        <v>105</v>
      </c>
      <c r="I5" s="16">
        <v>75000</v>
      </c>
      <c r="J5" s="17">
        <v>42707</v>
      </c>
      <c r="K5" s="12">
        <v>1004</v>
      </c>
      <c r="L5" s="13">
        <v>1</v>
      </c>
      <c r="M5" s="19" t="s">
        <v>56</v>
      </c>
    </row>
    <row r="6" spans="1:13" x14ac:dyDescent="0.25">
      <c r="A6" s="18">
        <v>1002</v>
      </c>
      <c r="B6" s="13" t="s">
        <v>62</v>
      </c>
      <c r="C6" s="13" t="s">
        <v>63</v>
      </c>
      <c r="D6" s="13" t="s">
        <v>40</v>
      </c>
      <c r="E6" s="14">
        <v>33838</v>
      </c>
      <c r="F6" s="15" t="s">
        <v>64</v>
      </c>
      <c r="G6" s="15" t="s">
        <v>25</v>
      </c>
      <c r="H6" s="13" t="s">
        <v>101</v>
      </c>
      <c r="I6" s="16">
        <v>82000</v>
      </c>
      <c r="J6" s="17">
        <v>43850</v>
      </c>
      <c r="K6" s="12" t="s">
        <v>101</v>
      </c>
      <c r="L6" s="13">
        <v>1</v>
      </c>
      <c r="M6" s="19" t="s">
        <v>32</v>
      </c>
    </row>
    <row r="7" spans="1:13" x14ac:dyDescent="0.25">
      <c r="A7" s="18">
        <v>1005</v>
      </c>
      <c r="B7" s="13" t="s">
        <v>102</v>
      </c>
      <c r="C7" s="13" t="s">
        <v>54</v>
      </c>
      <c r="D7" s="13" t="s">
        <v>103</v>
      </c>
      <c r="E7" s="14">
        <v>33572</v>
      </c>
      <c r="F7" s="15" t="s">
        <v>104</v>
      </c>
      <c r="G7" s="15" t="s">
        <v>36</v>
      </c>
      <c r="H7" s="13" t="s">
        <v>91</v>
      </c>
      <c r="I7" s="16">
        <v>58000</v>
      </c>
      <c r="J7" s="17">
        <v>44252</v>
      </c>
      <c r="K7" s="12">
        <v>1002</v>
      </c>
      <c r="L7" s="13">
        <v>1</v>
      </c>
      <c r="M7" s="19" t="s">
        <v>37</v>
      </c>
    </row>
    <row r="8" spans="1:13" x14ac:dyDescent="0.25">
      <c r="A8" s="18">
        <v>1004</v>
      </c>
      <c r="B8" s="13" t="s">
        <v>88</v>
      </c>
      <c r="C8" s="13" t="s">
        <v>89</v>
      </c>
      <c r="D8" s="13" t="s">
        <v>59</v>
      </c>
      <c r="E8" s="14">
        <v>35038</v>
      </c>
      <c r="F8" s="15" t="s">
        <v>90</v>
      </c>
      <c r="G8" s="15" t="s">
        <v>48</v>
      </c>
      <c r="H8" s="13" t="s">
        <v>91</v>
      </c>
      <c r="I8" s="16">
        <v>61000</v>
      </c>
      <c r="J8" s="17">
        <v>44290</v>
      </c>
      <c r="K8" s="12">
        <v>1004</v>
      </c>
      <c r="L8" s="13">
        <v>1</v>
      </c>
      <c r="M8" s="19" t="s">
        <v>56</v>
      </c>
    </row>
    <row r="9" spans="1:13" x14ac:dyDescent="0.25">
      <c r="A9" s="18">
        <v>1003</v>
      </c>
      <c r="B9" s="13" t="s">
        <v>50</v>
      </c>
      <c r="C9" s="13" t="s">
        <v>51</v>
      </c>
      <c r="D9" s="13" t="s">
        <v>23</v>
      </c>
      <c r="E9" s="14">
        <v>32212</v>
      </c>
      <c r="F9" s="15" t="s">
        <v>52</v>
      </c>
      <c r="G9" s="15" t="s">
        <v>42</v>
      </c>
      <c r="H9" s="13" t="s">
        <v>91</v>
      </c>
      <c r="I9" s="16">
        <v>64000</v>
      </c>
      <c r="J9" s="17">
        <v>44760</v>
      </c>
      <c r="K9" s="12">
        <v>1003</v>
      </c>
      <c r="L9" s="13">
        <v>1</v>
      </c>
      <c r="M9" s="19" t="s">
        <v>44</v>
      </c>
    </row>
    <row r="10" spans="1:13" x14ac:dyDescent="0.25">
      <c r="A10" s="18">
        <v>1011</v>
      </c>
      <c r="B10" s="13" t="s">
        <v>82</v>
      </c>
      <c r="C10" s="13" t="s">
        <v>83</v>
      </c>
      <c r="D10" s="13" t="s">
        <v>23</v>
      </c>
      <c r="E10" s="14">
        <v>33645</v>
      </c>
      <c r="F10" s="15" t="s">
        <v>84</v>
      </c>
      <c r="G10" s="15" t="s">
        <v>36</v>
      </c>
      <c r="H10" s="13" t="s">
        <v>72</v>
      </c>
      <c r="I10" s="16">
        <v>48900</v>
      </c>
      <c r="J10" s="17">
        <v>44145</v>
      </c>
      <c r="K10" s="12">
        <v>1001</v>
      </c>
      <c r="L10" s="13">
        <v>1</v>
      </c>
      <c r="M10" s="19" t="s">
        <v>73</v>
      </c>
    </row>
    <row r="11" spans="1:13" x14ac:dyDescent="0.25">
      <c r="A11" s="18">
        <v>1010</v>
      </c>
      <c r="B11" s="13" t="s">
        <v>38</v>
      </c>
      <c r="C11" s="13" t="s">
        <v>39</v>
      </c>
      <c r="D11" s="13" t="s">
        <v>40</v>
      </c>
      <c r="E11" s="14">
        <v>35151</v>
      </c>
      <c r="F11" s="15" t="s">
        <v>41</v>
      </c>
      <c r="G11" s="15" t="s">
        <v>42</v>
      </c>
      <c r="H11" s="13" t="s">
        <v>72</v>
      </c>
      <c r="I11" s="16">
        <v>57000</v>
      </c>
      <c r="J11" s="17">
        <v>44687</v>
      </c>
      <c r="K11" s="12">
        <v>1002</v>
      </c>
      <c r="L11" s="13">
        <v>1</v>
      </c>
      <c r="M11" s="19" t="s">
        <v>32</v>
      </c>
    </row>
    <row r="12" spans="1:13" x14ac:dyDescent="0.25">
      <c r="A12" s="18">
        <v>1009</v>
      </c>
      <c r="B12" s="13" t="s">
        <v>109</v>
      </c>
      <c r="C12" s="13" t="s">
        <v>34</v>
      </c>
      <c r="D12" s="13" t="s">
        <v>23</v>
      </c>
      <c r="E12" s="14">
        <v>31966</v>
      </c>
      <c r="F12" s="15" t="s">
        <v>110</v>
      </c>
      <c r="G12" s="15" t="s">
        <v>48</v>
      </c>
      <c r="H12" s="13" t="s">
        <v>72</v>
      </c>
      <c r="I12" s="16">
        <v>74000</v>
      </c>
      <c r="J12" s="17">
        <v>42951</v>
      </c>
      <c r="K12" s="12">
        <v>101</v>
      </c>
      <c r="L12" s="13">
        <v>1</v>
      </c>
      <c r="M12" s="19" t="s">
        <v>44</v>
      </c>
    </row>
    <row r="13" spans="1:13" x14ac:dyDescent="0.25">
      <c r="A13" s="18">
        <v>1008</v>
      </c>
      <c r="B13" s="13" t="s">
        <v>57</v>
      </c>
      <c r="C13" s="13" t="s">
        <v>58</v>
      </c>
      <c r="D13" s="13" t="s">
        <v>59</v>
      </c>
      <c r="E13" s="14">
        <v>34440</v>
      </c>
      <c r="F13" s="15" t="s">
        <v>60</v>
      </c>
      <c r="G13" s="15" t="s">
        <v>31</v>
      </c>
      <c r="H13" s="13" t="s">
        <v>72</v>
      </c>
      <c r="I13" s="16">
        <v>76000</v>
      </c>
      <c r="J13" s="17">
        <v>42610</v>
      </c>
      <c r="K13" s="12">
        <v>102</v>
      </c>
      <c r="L13" s="13">
        <v>1</v>
      </c>
      <c r="M13" s="19" t="s">
        <v>44</v>
      </c>
    </row>
    <row r="14" spans="1:13" x14ac:dyDescent="0.25">
      <c r="A14" s="18">
        <v>1007</v>
      </c>
      <c r="B14" s="13" t="s">
        <v>21</v>
      </c>
      <c r="C14" s="13" t="s">
        <v>22</v>
      </c>
      <c r="D14" s="13" t="s">
        <v>23</v>
      </c>
      <c r="E14" s="14">
        <v>32875</v>
      </c>
      <c r="F14" s="15" t="s">
        <v>24</v>
      </c>
      <c r="G14" s="15" t="s">
        <v>25</v>
      </c>
      <c r="H14" s="13" t="s">
        <v>72</v>
      </c>
      <c r="I14" s="16">
        <v>88000</v>
      </c>
      <c r="J14" s="17">
        <v>43738</v>
      </c>
      <c r="K14" s="12">
        <v>1001</v>
      </c>
      <c r="L14" s="13">
        <v>1</v>
      </c>
      <c r="M14" s="19" t="s">
        <v>85</v>
      </c>
    </row>
    <row r="15" spans="1:13" x14ac:dyDescent="0.25">
      <c r="A15" s="18">
        <v>1006</v>
      </c>
      <c r="B15" s="13" t="s">
        <v>68</v>
      </c>
      <c r="C15" s="13" t="s">
        <v>69</v>
      </c>
      <c r="D15" s="13" t="s">
        <v>59</v>
      </c>
      <c r="E15" s="14">
        <v>34230</v>
      </c>
      <c r="F15" s="15" t="s">
        <v>70</v>
      </c>
      <c r="G15" s="15" t="s">
        <v>71</v>
      </c>
      <c r="H15" s="13" t="s">
        <v>72</v>
      </c>
      <c r="I15" s="16">
        <v>89000</v>
      </c>
      <c r="J15" s="17">
        <v>43979</v>
      </c>
      <c r="K15" s="12">
        <v>1006</v>
      </c>
      <c r="L15" s="13">
        <v>0</v>
      </c>
      <c r="M15" s="19" t="s">
        <v>32</v>
      </c>
    </row>
    <row r="16" spans="1:13" x14ac:dyDescent="0.25">
      <c r="A16" s="18">
        <v>1014</v>
      </c>
      <c r="B16" s="13" t="s">
        <v>65</v>
      </c>
      <c r="C16" s="13" t="s">
        <v>66</v>
      </c>
      <c r="D16" s="13" t="s">
        <v>59</v>
      </c>
      <c r="E16" s="14">
        <v>34171</v>
      </c>
      <c r="F16" s="15" t="s">
        <v>67</v>
      </c>
      <c r="G16" s="15" t="s">
        <v>25</v>
      </c>
      <c r="H16" s="13" t="s">
        <v>61</v>
      </c>
      <c r="I16" s="16">
        <v>60000</v>
      </c>
      <c r="J16" s="17">
        <v>44422</v>
      </c>
      <c r="K16" s="12">
        <v>1002</v>
      </c>
      <c r="L16" s="13">
        <v>1</v>
      </c>
      <c r="M16" s="19" t="s">
        <v>32</v>
      </c>
    </row>
    <row r="17" spans="1:13" x14ac:dyDescent="0.25">
      <c r="A17" s="18">
        <v>1013</v>
      </c>
      <c r="B17" s="13" t="s">
        <v>28</v>
      </c>
      <c r="C17" s="13" t="s">
        <v>29</v>
      </c>
      <c r="D17" s="13" t="s">
        <v>23</v>
      </c>
      <c r="E17" s="14">
        <v>32640</v>
      </c>
      <c r="F17" s="15" t="s">
        <v>30</v>
      </c>
      <c r="G17" s="15" t="s">
        <v>31</v>
      </c>
      <c r="H17" s="13" t="s">
        <v>61</v>
      </c>
      <c r="I17" s="16">
        <v>63200</v>
      </c>
      <c r="J17" s="17">
        <v>43539</v>
      </c>
      <c r="K17" s="12">
        <v>1001</v>
      </c>
      <c r="L17" s="13">
        <v>1</v>
      </c>
      <c r="M17" s="19" t="s">
        <v>56</v>
      </c>
    </row>
    <row r="18" spans="1:13" x14ac:dyDescent="0.25">
      <c r="A18" s="18">
        <v>1012</v>
      </c>
      <c r="B18" s="13" t="s">
        <v>92</v>
      </c>
      <c r="C18" s="13" t="s">
        <v>93</v>
      </c>
      <c r="D18" s="13" t="s">
        <v>40</v>
      </c>
      <c r="E18" s="14">
        <v>33525</v>
      </c>
      <c r="F18" s="15" t="s">
        <v>94</v>
      </c>
      <c r="G18" s="15" t="s">
        <v>71</v>
      </c>
      <c r="H18" s="13" t="s">
        <v>61</v>
      </c>
      <c r="I18" s="16">
        <v>65700</v>
      </c>
      <c r="J18" s="17">
        <v>44116</v>
      </c>
      <c r="K18" s="12">
        <v>1002</v>
      </c>
      <c r="L18" s="13">
        <v>1</v>
      </c>
      <c r="M18" s="19" t="s">
        <v>27</v>
      </c>
    </row>
    <row r="19" spans="1:13" x14ac:dyDescent="0.25">
      <c r="A19" s="18">
        <v>1019</v>
      </c>
      <c r="B19" s="13" t="s">
        <v>53</v>
      </c>
      <c r="C19" s="13" t="s">
        <v>54</v>
      </c>
      <c r="D19" s="13" t="s">
        <v>23</v>
      </c>
      <c r="E19" s="14">
        <v>33454</v>
      </c>
      <c r="F19" s="15" t="s">
        <v>55</v>
      </c>
      <c r="G19" s="15" t="s">
        <v>31</v>
      </c>
      <c r="H19" s="13" t="s">
        <v>43</v>
      </c>
      <c r="I19" s="16">
        <v>67000</v>
      </c>
      <c r="J19" s="17">
        <v>44568</v>
      </c>
      <c r="K19" s="12">
        <v>1003</v>
      </c>
      <c r="L19" s="13">
        <v>0</v>
      </c>
      <c r="M19" s="19" t="s">
        <v>44</v>
      </c>
    </row>
    <row r="20" spans="1:13" x14ac:dyDescent="0.25">
      <c r="A20" s="18">
        <v>1018</v>
      </c>
      <c r="B20" s="13" t="s">
        <v>95</v>
      </c>
      <c r="C20" s="13" t="s">
        <v>96</v>
      </c>
      <c r="D20" s="13" t="s">
        <v>59</v>
      </c>
      <c r="E20" s="14">
        <v>34382</v>
      </c>
      <c r="F20" s="15" t="s">
        <v>97</v>
      </c>
      <c r="G20" s="15" t="s">
        <v>71</v>
      </c>
      <c r="H20" s="13" t="s">
        <v>43</v>
      </c>
      <c r="I20" s="16">
        <v>69000</v>
      </c>
      <c r="J20" s="17">
        <v>44522</v>
      </c>
      <c r="K20" s="12">
        <v>1003</v>
      </c>
      <c r="L20" s="13">
        <v>1</v>
      </c>
      <c r="M20" s="19" t="s">
        <v>49</v>
      </c>
    </row>
    <row r="21" spans="1:13" x14ac:dyDescent="0.25">
      <c r="A21" s="18">
        <v>1016</v>
      </c>
      <c r="B21" s="13" t="s">
        <v>45</v>
      </c>
      <c r="C21" s="13" t="s">
        <v>46</v>
      </c>
      <c r="D21" s="13" t="s">
        <v>40</v>
      </c>
      <c r="E21" s="14">
        <v>34729</v>
      </c>
      <c r="F21" s="15" t="s">
        <v>47</v>
      </c>
      <c r="G21" s="15" t="s">
        <v>48</v>
      </c>
      <c r="H21" s="13" t="s">
        <v>43</v>
      </c>
      <c r="I21" s="16">
        <v>72000</v>
      </c>
      <c r="J21" s="17">
        <v>43292</v>
      </c>
      <c r="K21" s="12">
        <v>1003</v>
      </c>
      <c r="L21" s="13">
        <v>1</v>
      </c>
      <c r="M21" s="19" t="s">
        <v>44</v>
      </c>
    </row>
    <row r="22" spans="1:13" x14ac:dyDescent="0.25">
      <c r="A22" s="18">
        <v>1015</v>
      </c>
      <c r="B22" s="13" t="s">
        <v>106</v>
      </c>
      <c r="C22" s="13" t="s">
        <v>107</v>
      </c>
      <c r="D22" s="13" t="s">
        <v>103</v>
      </c>
      <c r="E22" s="14">
        <v>33145</v>
      </c>
      <c r="F22" s="15" t="s">
        <v>108</v>
      </c>
      <c r="G22" s="15" t="s">
        <v>42</v>
      </c>
      <c r="H22" s="13" t="s">
        <v>43</v>
      </c>
      <c r="I22" s="16">
        <v>81420</v>
      </c>
      <c r="J22" s="17">
        <v>43124</v>
      </c>
      <c r="K22" s="12">
        <v>1005</v>
      </c>
      <c r="L22" s="13">
        <v>1</v>
      </c>
      <c r="M22" s="19" t="s">
        <v>56</v>
      </c>
    </row>
    <row r="23" spans="1:13" x14ac:dyDescent="0.25">
      <c r="A23" s="18">
        <v>1112</v>
      </c>
      <c r="B23" s="13" t="s">
        <v>79</v>
      </c>
      <c r="C23" s="13" t="s">
        <v>80</v>
      </c>
      <c r="D23" s="13" t="s">
        <v>59</v>
      </c>
      <c r="E23" s="14">
        <v>30020</v>
      </c>
      <c r="F23" s="15" t="s">
        <v>81</v>
      </c>
      <c r="G23" s="15" t="s">
        <v>31</v>
      </c>
      <c r="H23" s="13" t="s">
        <v>26</v>
      </c>
      <c r="I23" s="16">
        <v>97000</v>
      </c>
      <c r="J23" s="17">
        <v>43027</v>
      </c>
      <c r="K23" s="12">
        <v>1001</v>
      </c>
      <c r="L23" s="13">
        <v>1</v>
      </c>
      <c r="M23" s="19" t="s">
        <v>27</v>
      </c>
    </row>
    <row r="24" spans="1:13" x14ac:dyDescent="0.25">
      <c r="A24" s="18">
        <v>1111</v>
      </c>
      <c r="B24" s="13" t="s">
        <v>29</v>
      </c>
      <c r="C24" s="13" t="s">
        <v>69</v>
      </c>
      <c r="D24" s="13" t="s">
        <v>59</v>
      </c>
      <c r="E24" s="14">
        <v>36923</v>
      </c>
      <c r="F24" s="15" t="s">
        <v>74</v>
      </c>
      <c r="G24" s="15" t="s">
        <v>75</v>
      </c>
      <c r="H24" s="13" t="s">
        <v>26</v>
      </c>
      <c r="I24" s="16">
        <v>98000</v>
      </c>
      <c r="J24" s="17">
        <v>43321</v>
      </c>
      <c r="K24" s="12">
        <v>1001</v>
      </c>
      <c r="L24" s="13">
        <v>1</v>
      </c>
      <c r="M24" s="19" t="s">
        <v>32</v>
      </c>
    </row>
    <row r="25" spans="1:13" x14ac:dyDescent="0.25">
      <c r="A25" s="26">
        <v>1020</v>
      </c>
      <c r="B25" s="27" t="s">
        <v>86</v>
      </c>
      <c r="C25" s="27" t="s">
        <v>22</v>
      </c>
      <c r="D25" s="27" t="s">
        <v>40</v>
      </c>
      <c r="E25" s="28">
        <v>33733</v>
      </c>
      <c r="F25" s="29" t="s">
        <v>87</v>
      </c>
      <c r="G25" s="29" t="s">
        <v>25</v>
      </c>
      <c r="H25" s="27" t="s">
        <v>26</v>
      </c>
      <c r="I25" s="30">
        <v>99000</v>
      </c>
      <c r="J25" s="31">
        <v>42807</v>
      </c>
      <c r="K25" s="32">
        <v>1001</v>
      </c>
      <c r="L25" s="27">
        <v>0</v>
      </c>
      <c r="M25" s="33" t="s">
        <v>37</v>
      </c>
    </row>
  </sheetData>
  <mergeCells count="1">
    <mergeCell ref="A1:M1"/>
  </mergeCells>
  <hyperlinks>
    <hyperlink ref="F15" r:id="rId1" xr:uid="{9D0538E4-B61C-43A5-8735-2A78ADC243CC}"/>
    <hyperlink ref="F8" r:id="rId2" xr:uid="{40587F1B-3EDE-4554-946B-B1134FAC58D2}"/>
    <hyperlink ref="F13" r:id="rId3" xr:uid="{0D840B6B-C197-430A-BE43-FD0D83DA797B}"/>
    <hyperlink ref="F18" r:id="rId4" xr:uid="{76E1A517-A509-4A55-B0F4-71864F95F1C8}"/>
    <hyperlink ref="F6" r:id="rId5" xr:uid="{C3F08282-CAE0-41F5-BA32-D1931C28A038}"/>
    <hyperlink ref="F20" r:id="rId6" xr:uid="{DA3A4E0A-18DD-4A6C-96E3-DF40CC46E458}"/>
    <hyperlink ref="F16" r:id="rId7" xr:uid="{F967F36D-C314-41CB-A58C-9E505D5D9078}"/>
    <hyperlink ref="F11" r:id="rId8" xr:uid="{E2842F3D-6BF6-4C15-8B31-6F27C886CC07}"/>
    <hyperlink ref="F7" r:id="rId9" xr:uid="{B42EA44F-1820-4BA8-83F7-25E004A83B30}"/>
    <hyperlink ref="F21" r:id="rId10" xr:uid="{E00C3177-3A2E-4114-AA67-B0EC2D5699D1}"/>
    <hyperlink ref="F22" r:id="rId11" xr:uid="{B8B7193A-2AB2-4311-B59D-5C846890AF04}"/>
    <hyperlink ref="F9" r:id="rId12" xr:uid="{E4CE42A6-BAF1-41DB-B264-DFC1C97D0EFB}"/>
    <hyperlink ref="F5" r:id="rId13" xr:uid="{D1B0E217-A907-4C54-85A0-DC8957F3CD86}"/>
    <hyperlink ref="F12" r:id="rId14" xr:uid="{EC0193D8-A0FD-4EEE-9ACF-106AEE0FEE81}"/>
    <hyperlink ref="F23" r:id="rId15" xr:uid="{4ABB06F4-3600-4907-B2EC-9F3584C68975}"/>
    <hyperlink ref="F19" r:id="rId16" xr:uid="{11625A88-8294-4F15-83CE-B929919D5D99}"/>
    <hyperlink ref="F3" r:id="rId17" xr:uid="{95C92C26-94FB-4F95-BDCD-012425F09713}"/>
    <hyperlink ref="F10" r:id="rId18" xr:uid="{68E72D77-0204-4BAA-9D61-8C2827C24EA8}"/>
    <hyperlink ref="F25" r:id="rId19" xr:uid="{71B0A659-EFDB-4C67-8879-2851DA941F29}"/>
    <hyperlink ref="F14" r:id="rId20" xr:uid="{D51AB3F7-7441-4C82-9219-4BD615340476}"/>
    <hyperlink ref="F17" r:id="rId21" xr:uid="{9055745E-E8F5-4A54-AED0-7C99EF1FBF11}"/>
    <hyperlink ref="F4" r:id="rId22" xr:uid="{19D8F734-554F-413C-B81E-849D5DEE2886}"/>
    <hyperlink ref="F24" r:id="rId23" xr:uid="{354A90BD-409A-4D0D-B5BC-8AF7A3246492}"/>
  </hyperlinks>
  <pageMargins left="0.7" right="0.7" top="0.75" bottom="0.75" header="0.3" footer="0.3"/>
  <drawing r:id="rId24"/>
  <tableParts count="1">
    <tablePart r:id="rId2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9E6B-B80A-4E96-B19C-65AB679F6B0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973C-8C26-4608-B783-A3A171D6318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043D-A71E-4235-8771-BBD793769D9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57C5-3AA2-45BB-BF9F-C65FCDDE5D4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C2DF-85AB-440E-9509-3374587F941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81EE-EA9E-49E4-B6B2-038C2A78310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Assigmnet 2</vt:lpstr>
      <vt:lpstr>Employee_Table 1</vt:lpstr>
      <vt:lpstr>Employee_table 2_Location_wise</vt:lpstr>
      <vt:lpstr>Employee_Table 3_Dept_Wise</vt:lpstr>
      <vt:lpstr>Employee_Table 4_Manager_wise</vt:lpstr>
      <vt:lpstr>Employee_Table 5_Gender_Wise</vt:lpstr>
      <vt:lpstr>Employee_table 7</vt:lpstr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Sriman sree</dc:creator>
  <cp:lastModifiedBy>Sriman sree</cp:lastModifiedBy>
  <cp:lastPrinted>2025-11-13T18:54:09Z</cp:lastPrinted>
  <dcterms:created xsi:type="dcterms:W3CDTF">2025-11-12T10:19:18Z</dcterms:created>
  <dcterms:modified xsi:type="dcterms:W3CDTF">2025-11-13T21:01:15Z</dcterms:modified>
</cp:coreProperties>
</file>