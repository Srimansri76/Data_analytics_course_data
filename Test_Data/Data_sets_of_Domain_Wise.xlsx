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Data Analyst\"/>
    </mc:Choice>
  </mc:AlternateContent>
  <xr:revisionPtr revIDLastSave="0" documentId="13_ncr:1_{D73524EF-0118-4334-9788-5BE51E5B46A9}" xr6:coauthVersionLast="47" xr6:coauthVersionMax="47" xr10:uidLastSave="{00000000-0000-0000-0000-000000000000}"/>
  <bookViews>
    <workbookView xWindow="-120" yWindow="-120" windowWidth="29040" windowHeight="15720" xr2:uid="{30E6D2F6-FD4F-4E65-8F17-0045A1F9165F}"/>
  </bookViews>
  <sheets>
    <sheet name="Domain_Names" sheetId="1" r:id="rId1"/>
    <sheet name="Employees" sheetId="2" r:id="rId2"/>
    <sheet name="BIKES" sheetId="3" r:id="rId3"/>
    <sheet name="CAR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" i="2" l="1"/>
  <c r="W2" i="2" s="1"/>
  <c r="K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Sriman sree</author>
  </authors>
  <commentList>
    <comment ref="C2" authorId="0" shapeId="0" xr:uid="{8251C793-9027-4034-94D4-76375796A34C}">
      <text>
        <r>
          <rPr>
            <b/>
            <sz val="9"/>
            <color indexed="81"/>
            <rFont val="Tahoma"/>
            <family val="2"/>
          </rPr>
          <t>Sriman sree:</t>
        </r>
        <r>
          <rPr>
            <sz val="9"/>
            <color indexed="81"/>
            <rFont val="Tahoma"/>
            <family val="2"/>
          </rPr>
          <t xml:space="preserve">
Employess Data</t>
        </r>
      </text>
    </comment>
    <comment ref="C3" authorId="0" shapeId="0" xr:uid="{FD0191FE-C397-4312-B9B3-457E7FC0C02B}">
      <text>
        <r>
          <rPr>
            <b/>
            <sz val="9"/>
            <color indexed="81"/>
            <rFont val="Tahoma"/>
            <family val="2"/>
          </rPr>
          <t>Sriman sree:</t>
        </r>
        <r>
          <rPr>
            <sz val="9"/>
            <color indexed="81"/>
            <rFont val="Tahoma"/>
            <family val="2"/>
          </rPr>
          <t xml:space="preserve">
Bikes data from last 15 Years</t>
        </r>
      </text>
    </comment>
    <comment ref="C4" authorId="0" shapeId="0" xr:uid="{CBD8E4D1-EA50-4F70-B189-0346A4DA173A}">
      <text>
        <r>
          <rPr>
            <b/>
            <sz val="9"/>
            <color indexed="81"/>
            <rFont val="Tahoma"/>
            <family val="2"/>
          </rPr>
          <t>Sriman sree:</t>
        </r>
        <r>
          <rPr>
            <sz val="9"/>
            <color indexed="81"/>
            <rFont val="Tahoma"/>
            <family val="2"/>
          </rPr>
          <t xml:space="preserve">
Cars Data Model wise</t>
        </r>
      </text>
    </comment>
  </commentList>
</comments>
</file>

<file path=xl/sharedStrings.xml><?xml version="1.0" encoding="utf-8"?>
<sst xmlns="http://schemas.openxmlformats.org/spreadsheetml/2006/main" count="5029" uniqueCount="969">
  <si>
    <t>S.No</t>
  </si>
  <si>
    <t>List_of_ Domains_Data</t>
  </si>
  <si>
    <t>Navigation</t>
  </si>
  <si>
    <t>Employees</t>
  </si>
  <si>
    <t>Bikes</t>
  </si>
  <si>
    <t>Cars</t>
  </si>
  <si>
    <t>Indian Cricket Team</t>
  </si>
  <si>
    <t>Banks</t>
  </si>
  <si>
    <t>Netflix</t>
  </si>
  <si>
    <t>Swiggy</t>
  </si>
  <si>
    <t>Hospitals</t>
  </si>
  <si>
    <t>Logistics</t>
  </si>
  <si>
    <t>Tourist Places</t>
  </si>
  <si>
    <t>Brands</t>
  </si>
  <si>
    <t>Mobiles</t>
  </si>
  <si>
    <t>RealEstate</t>
  </si>
  <si>
    <t>Pharma_Companies</t>
  </si>
  <si>
    <t>Startups_in_India</t>
  </si>
  <si>
    <t>EMP_ID</t>
  </si>
  <si>
    <t>EMP_NAME</t>
  </si>
  <si>
    <t>EMP_FIRST_NAME</t>
  </si>
  <si>
    <t>EMP_LAST_NAME</t>
  </si>
  <si>
    <t>EMP_ROLE</t>
  </si>
  <si>
    <t>EMP_AGE</t>
  </si>
  <si>
    <t>EMP_START_DATE</t>
  </si>
  <si>
    <t>EMP_GOVT_AVAILABLE</t>
  </si>
  <si>
    <t>ID_TYPE</t>
  </si>
  <si>
    <t>ID_NUMBER</t>
  </si>
  <si>
    <t>EMP_SALARY_MONTHLY</t>
  </si>
  <si>
    <t>EMP_SALARY_YEARLY</t>
  </si>
  <si>
    <t>EMP_TAX_SLAB</t>
  </si>
  <si>
    <t>EMP_WORKING_POLICY</t>
  </si>
  <si>
    <t>EMP_MED_INSURENCE_OPTED ?</t>
  </si>
  <si>
    <t>EMP_PARENTS_INSURENCE_OPTED ?</t>
  </si>
  <si>
    <t>EMP_BLOOD_GROUP</t>
  </si>
  <si>
    <t>EMP_REVENUE_GENERATION_PER_YEAR</t>
  </si>
  <si>
    <t>EMP_LAST_HIKE_%</t>
  </si>
  <si>
    <t>EMP_LEAVES</t>
  </si>
  <si>
    <t>EMP_ALLOWANCE</t>
  </si>
  <si>
    <t>EMP_ACTUVAL_LEAVES</t>
  </si>
  <si>
    <t>EMP_EMAIL_ID</t>
  </si>
  <si>
    <t>COMPANY_NAME</t>
  </si>
  <si>
    <t>DEPT_NAME</t>
  </si>
  <si>
    <t>LOCATION</t>
  </si>
  <si>
    <t>BRANCH_CODE</t>
  </si>
  <si>
    <t>REPORTING_MANAGER</t>
  </si>
  <si>
    <t>EMP_TYPE</t>
  </si>
  <si>
    <t>EMP_STATUS</t>
  </si>
  <si>
    <t>EMP_TENURE_YEARS</t>
  </si>
  <si>
    <t>EMP_RATING</t>
  </si>
  <si>
    <t>EMP_PROMOTED_LAST_YEAR?</t>
  </si>
  <si>
    <t>DATA_CREATED_DATE</t>
  </si>
  <si>
    <t>DATA_UPDATED_DATE</t>
  </si>
  <si>
    <t>BBtechHouse</t>
  </si>
  <si>
    <t>Engineering</t>
  </si>
  <si>
    <t>HYD</t>
  </si>
  <si>
    <t>HYD_001</t>
  </si>
  <si>
    <t>PARIMI</t>
  </si>
  <si>
    <t>SIVANNARAYANA</t>
  </si>
  <si>
    <t>SHIVA</t>
  </si>
  <si>
    <t>DATA_ANALYST</t>
  </si>
  <si>
    <t>YASH</t>
  </si>
  <si>
    <t>Trainee</t>
  </si>
  <si>
    <t>Active</t>
  </si>
  <si>
    <t>YES</t>
  </si>
  <si>
    <t>ADHAR</t>
  </si>
  <si>
    <t>CONTRACT</t>
  </si>
  <si>
    <t>NO</t>
  </si>
  <si>
    <t>A+</t>
  </si>
  <si>
    <t>NovaSoft</t>
  </si>
  <si>
    <t>PUN</t>
  </si>
  <si>
    <t>PUN_004</t>
  </si>
  <si>
    <t>Saanvi</t>
  </si>
  <si>
    <t>Nair</t>
  </si>
  <si>
    <t>Saanvi Nair</t>
  </si>
  <si>
    <t>Software Engineer</t>
  </si>
  <si>
    <t>saanvi.nair@novasoft.com</t>
  </si>
  <si>
    <t>NEHA</t>
  </si>
  <si>
    <t>15-08-2024</t>
  </si>
  <si>
    <t>Contract</t>
  </si>
  <si>
    <t>AADHAR</t>
  </si>
  <si>
    <t>Hybrid</t>
  </si>
  <si>
    <t>B-</t>
  </si>
  <si>
    <t>07-11-2025</t>
  </si>
  <si>
    <t>DataGenix</t>
  </si>
  <si>
    <t>Marketing</t>
  </si>
  <si>
    <t>MUM</t>
  </si>
  <si>
    <t>MUM_002</t>
  </si>
  <si>
    <t>Rahul</t>
  </si>
  <si>
    <t>Sharma</t>
  </si>
  <si>
    <t>Rahul Sharma</t>
  </si>
  <si>
    <t>Finance Manager</t>
  </si>
  <si>
    <t>rahul.sharma@datagenix.com</t>
  </si>
  <si>
    <t>SANA</t>
  </si>
  <si>
    <t>19-12-2020</t>
  </si>
  <si>
    <t>VOTERID</t>
  </si>
  <si>
    <t>Remote</t>
  </si>
  <si>
    <t>A-</t>
  </si>
  <si>
    <t>CloudStride</t>
  </si>
  <si>
    <t>Support</t>
  </si>
  <si>
    <t>MUM_003</t>
  </si>
  <si>
    <t>Priya</t>
  </si>
  <si>
    <t>Gupta</t>
  </si>
  <si>
    <t>Priya Gupta</t>
  </si>
  <si>
    <t>Marketing Analyst</t>
  </si>
  <si>
    <t>priya.gupta@cloudstride.com</t>
  </si>
  <si>
    <t>PRIYA</t>
  </si>
  <si>
    <t>02-12-2019</t>
  </si>
  <si>
    <t>Permanent</t>
  </si>
  <si>
    <t>Onsite</t>
  </si>
  <si>
    <t>AlphaWorks</t>
  </si>
  <si>
    <t>KOCHI</t>
  </si>
  <si>
    <t>KOCHI_008</t>
  </si>
  <si>
    <t>Karthik</t>
  </si>
  <si>
    <t>Patel</t>
  </si>
  <si>
    <t>Karthik Patel</t>
  </si>
  <si>
    <t>Sales Associate</t>
  </si>
  <si>
    <t>karthik.patel@alphaworks.com</t>
  </si>
  <si>
    <t>12-12-2020</t>
  </si>
  <si>
    <t>TechNest</t>
  </si>
  <si>
    <t>Operations</t>
  </si>
  <si>
    <t>KOLKATA</t>
  </si>
  <si>
    <t>KOLKATA_009</t>
  </si>
  <si>
    <t>Teja</t>
  </si>
  <si>
    <t>Reddy</t>
  </si>
  <si>
    <t>Teja Reddy</t>
  </si>
  <si>
    <t>teja.reddy@technest.com</t>
  </si>
  <si>
    <t>28-12-2020</t>
  </si>
  <si>
    <t>B+</t>
  </si>
  <si>
    <t>IT</t>
  </si>
  <si>
    <t>CHN</t>
  </si>
  <si>
    <t>CHN_009</t>
  </si>
  <si>
    <t>Shiva</t>
  </si>
  <si>
    <t>Shiva Reddy</t>
  </si>
  <si>
    <t>System Administrator</t>
  </si>
  <si>
    <t>shiva.reddy@datagenix.com</t>
  </si>
  <si>
    <t>21-03-2018</t>
  </si>
  <si>
    <t>PAN</t>
  </si>
  <si>
    <t>Analytics</t>
  </si>
  <si>
    <t>AHM</t>
  </si>
  <si>
    <t>AHM_007</t>
  </si>
  <si>
    <t>Teja Nair</t>
  </si>
  <si>
    <t>teja.nair@cloudstride.com</t>
  </si>
  <si>
    <t>VIKRAM</t>
  </si>
  <si>
    <t>10-03-2022</t>
  </si>
  <si>
    <t>DEL</t>
  </si>
  <si>
    <t>DEL_005</t>
  </si>
  <si>
    <t>Meena</t>
  </si>
  <si>
    <t>Meena Gupta</t>
  </si>
  <si>
    <t>Business Analyst</t>
  </si>
  <si>
    <t>meena.gupta@novasoft.com</t>
  </si>
  <si>
    <t>RAVI</t>
  </si>
  <si>
    <t>27-05-2024</t>
  </si>
  <si>
    <t>AB+</t>
  </si>
  <si>
    <t>R&amp;D</t>
  </si>
  <si>
    <t>Arjun</t>
  </si>
  <si>
    <t>Arjun Gupta</t>
  </si>
  <si>
    <t>arjun.gupta@bbtechhouse.com</t>
  </si>
  <si>
    <t>ROHIT</t>
  </si>
  <si>
    <t>25-09-2022</t>
  </si>
  <si>
    <t>Sales</t>
  </si>
  <si>
    <t>KOCHI_001</t>
  </si>
  <si>
    <t>Kumar</t>
  </si>
  <si>
    <t>Karthik Kumar</t>
  </si>
  <si>
    <t>karthik.kumar@bbtechhouse.com</t>
  </si>
  <si>
    <t>KIRAN</t>
  </si>
  <si>
    <t>26-03-2024</t>
  </si>
  <si>
    <t>HR</t>
  </si>
  <si>
    <t>AHM_002</t>
  </si>
  <si>
    <t>Ananya</t>
  </si>
  <si>
    <t>Verma</t>
  </si>
  <si>
    <t>Ananya Verma</t>
  </si>
  <si>
    <t>ananya.verma@datagenix.com</t>
  </si>
  <si>
    <t>ARUN</t>
  </si>
  <si>
    <t>29-06-2024</t>
  </si>
  <si>
    <t>O-</t>
  </si>
  <si>
    <t>AHM_010</t>
  </si>
  <si>
    <t>Aditya</t>
  </si>
  <si>
    <t>Singh</t>
  </si>
  <si>
    <t>Aditya Singh</t>
  </si>
  <si>
    <t>aditya.singh@bbtechhouse.com</t>
  </si>
  <si>
    <t>27-06-2019</t>
  </si>
  <si>
    <t>O+</t>
  </si>
  <si>
    <t>Finance</t>
  </si>
  <si>
    <t>AHM_004</t>
  </si>
  <si>
    <t>Rohit</t>
  </si>
  <si>
    <t>Rohit Gupta</t>
  </si>
  <si>
    <t>rohit.gupta@cloudstride.com</t>
  </si>
  <si>
    <t>25-10-2020</t>
  </si>
  <si>
    <t>NextEra</t>
  </si>
  <si>
    <t>MUM_010</t>
  </si>
  <si>
    <t>Saanvi Verma</t>
  </si>
  <si>
    <t>HR Executive</t>
  </si>
  <si>
    <t>saanvi.verma@nextera.com</t>
  </si>
  <si>
    <t>02-02-2022</t>
  </si>
  <si>
    <t>PUN_003</t>
  </si>
  <si>
    <t>Diya</t>
  </si>
  <si>
    <t>Diya Verma</t>
  </si>
  <si>
    <t>Data Analyst</t>
  </si>
  <si>
    <t>diya.verma@technest.com</t>
  </si>
  <si>
    <t>28-03-2020</t>
  </si>
  <si>
    <t>Karthik Reddy</t>
  </si>
  <si>
    <t>karthik.reddy@bbtechhouse.com</t>
  </si>
  <si>
    <t>16-11-2021</t>
  </si>
  <si>
    <t>AHM_006</t>
  </si>
  <si>
    <t>Diya Nair</t>
  </si>
  <si>
    <t>diya.nair@novasoft.com</t>
  </si>
  <si>
    <t>31-07-2022</t>
  </si>
  <si>
    <t>LogicLoop</t>
  </si>
  <si>
    <t>MUM_008</t>
  </si>
  <si>
    <t>Vikram</t>
  </si>
  <si>
    <t>Joshi</t>
  </si>
  <si>
    <t>Vikram Joshi</t>
  </si>
  <si>
    <t>vikram.joshi@logicloop.com</t>
  </si>
  <si>
    <t>27-11-2019</t>
  </si>
  <si>
    <t>SoftVeda</t>
  </si>
  <si>
    <t>Rahul Kumar</t>
  </si>
  <si>
    <t>DevOps Engineer</t>
  </si>
  <si>
    <t>rahul.kumar@softveda.com</t>
  </si>
  <si>
    <t>MEENA</t>
  </si>
  <si>
    <t>23-01-2018</t>
  </si>
  <si>
    <t>KOCHI_009</t>
  </si>
  <si>
    <t>Riya</t>
  </si>
  <si>
    <t>Riya Nair</t>
  </si>
  <si>
    <t>Support Engineer</t>
  </si>
  <si>
    <t>riya.nair@logicloop.com</t>
  </si>
  <si>
    <t>09-10-2020</t>
  </si>
  <si>
    <t>BLR</t>
  </si>
  <si>
    <t>BLR_007</t>
  </si>
  <si>
    <t>Rohit Singh</t>
  </si>
  <si>
    <t>rohit.singh@datagenix.com</t>
  </si>
  <si>
    <t>27-04-2020</t>
  </si>
  <si>
    <t>PUN_007</t>
  </si>
  <si>
    <t>Aarav</t>
  </si>
  <si>
    <t>Aarav Verma</t>
  </si>
  <si>
    <t>aarav.verma@softveda.com</t>
  </si>
  <si>
    <t>08-11-2019</t>
  </si>
  <si>
    <t>InnoMatrix</t>
  </si>
  <si>
    <t>Aditya Kumar</t>
  </si>
  <si>
    <t>aditya.kumar@innomatrix.com</t>
  </si>
  <si>
    <t>04-12-2021</t>
  </si>
  <si>
    <t>Diya Patel</t>
  </si>
  <si>
    <t>diya.patel@innomatrix.com</t>
  </si>
  <si>
    <t>16-04-2018</t>
  </si>
  <si>
    <t>VIZAG</t>
  </si>
  <si>
    <t>VIZAG_006</t>
  </si>
  <si>
    <t>Sneha</t>
  </si>
  <si>
    <t>Sneha Kumar</t>
  </si>
  <si>
    <t>sneha.kumar@innomatrix.com</t>
  </si>
  <si>
    <t>27-02-2023</t>
  </si>
  <si>
    <t>Naidu</t>
  </si>
  <si>
    <t>Rahul Naidu</t>
  </si>
  <si>
    <t>rahul.naidu@alphaworks.com</t>
  </si>
  <si>
    <t>24-08-2021</t>
  </si>
  <si>
    <t>KOLKATA_001</t>
  </si>
  <si>
    <t>Neha</t>
  </si>
  <si>
    <t>Neha Gupta</t>
  </si>
  <si>
    <t>neha.gupta@softveda.com</t>
  </si>
  <si>
    <t>10-07-2024</t>
  </si>
  <si>
    <t>KOLKATA_005</t>
  </si>
  <si>
    <t>Kiran</t>
  </si>
  <si>
    <t>Kiran Singh</t>
  </si>
  <si>
    <t>kiran.singh@alphaworks.com</t>
  </si>
  <si>
    <t>06-03-2020</t>
  </si>
  <si>
    <t>KOLKATA_008</t>
  </si>
  <si>
    <t>Rohit Patel</t>
  </si>
  <si>
    <t>rohit.patel@logicloop.com</t>
  </si>
  <si>
    <t>11-05-2023</t>
  </si>
  <si>
    <t>Kiran Verma</t>
  </si>
  <si>
    <t>kiran.verma@nextera.com</t>
  </si>
  <si>
    <t>04-09-2018</t>
  </si>
  <si>
    <t>PUN_005</t>
  </si>
  <si>
    <t>Vikram Sharma</t>
  </si>
  <si>
    <t>vikram.sharma@bbtechhouse.com</t>
  </si>
  <si>
    <t>12-08-2024</t>
  </si>
  <si>
    <t>Shiva Singh</t>
  </si>
  <si>
    <t>shiva.singh@novasoft.com</t>
  </si>
  <si>
    <t>15-09-2024</t>
  </si>
  <si>
    <t>kiran.verma@softveda.com</t>
  </si>
  <si>
    <t>26-11-2021</t>
  </si>
  <si>
    <t>Aarav Joshi</t>
  </si>
  <si>
    <t>aarav.joshi@innomatrix.com</t>
  </si>
  <si>
    <t>11-08-2018</t>
  </si>
  <si>
    <t>VIZAG_001</t>
  </si>
  <si>
    <t>Sneha Sharma</t>
  </si>
  <si>
    <t>sneha.sharma@datagenix.com</t>
  </si>
  <si>
    <t>27-04-2019</t>
  </si>
  <si>
    <t>AB-</t>
  </si>
  <si>
    <t>KOCHI_006</t>
  </si>
  <si>
    <t>Iyer</t>
  </si>
  <si>
    <t>Shiva Iyer</t>
  </si>
  <si>
    <t>shiva.iyer@novasoft.com</t>
  </si>
  <si>
    <t>07-05-2021</t>
  </si>
  <si>
    <t>KOLKATA_007</t>
  </si>
  <si>
    <t>Saanvi Kumar</t>
  </si>
  <si>
    <t>saanvi.kumar@bbtechhouse.com</t>
  </si>
  <si>
    <t>14-08-2024</t>
  </si>
  <si>
    <t>Meena Singh</t>
  </si>
  <si>
    <t>meena.singh@innomatrix.com</t>
  </si>
  <si>
    <t>19-08-2020</t>
  </si>
  <si>
    <t>DEL_009</t>
  </si>
  <si>
    <t>Kiran Joshi</t>
  </si>
  <si>
    <t>kiran.joshi@technest.com</t>
  </si>
  <si>
    <t>20-11-2018</t>
  </si>
  <si>
    <t>AHM_005</t>
  </si>
  <si>
    <t>Sneha Nair</t>
  </si>
  <si>
    <t>sneha.nair@softveda.com</t>
  </si>
  <si>
    <t>22-05-2021</t>
  </si>
  <si>
    <t>priya.gupta@logicloop.com</t>
  </si>
  <si>
    <t>15-07-2019</t>
  </si>
  <si>
    <t>Meena Iyer</t>
  </si>
  <si>
    <t>meena.iyer@nextera.com</t>
  </si>
  <si>
    <t>05-11-2018</t>
  </si>
  <si>
    <t>DEL_008</t>
  </si>
  <si>
    <t>Pooja</t>
  </si>
  <si>
    <t>Pooja Singh</t>
  </si>
  <si>
    <t>pooja.singh@innomatrix.com</t>
  </si>
  <si>
    <t>16-09-2018</t>
  </si>
  <si>
    <t>KOCHI_010</t>
  </si>
  <si>
    <t>saanvi.verma@innomatrix.com</t>
  </si>
  <si>
    <t>30-07-2022</t>
  </si>
  <si>
    <t>BLR_004</t>
  </si>
  <si>
    <t>Pooja Reddy</t>
  </si>
  <si>
    <t>pooja.reddy@novasoft.com</t>
  </si>
  <si>
    <t>31-05-2019</t>
  </si>
  <si>
    <t>Aarav Patel</t>
  </si>
  <si>
    <t>aarav.patel@datagenix.com</t>
  </si>
  <si>
    <t>01-09-2020</t>
  </si>
  <si>
    <t>VIZAG_005</t>
  </si>
  <si>
    <t>Aarav Reddy</t>
  </si>
  <si>
    <t>aarav.reddy@logicloop.com</t>
  </si>
  <si>
    <t>19-03-2019</t>
  </si>
  <si>
    <t>KOCHI_002</t>
  </si>
  <si>
    <t>Diya Joshi</t>
  </si>
  <si>
    <t>diya.joshi@nextera.com</t>
  </si>
  <si>
    <t>24-01-2023</t>
  </si>
  <si>
    <t>BLR_006</t>
  </si>
  <si>
    <t>Saanvi Singh</t>
  </si>
  <si>
    <t>saanvi.singh@novasoft.com</t>
  </si>
  <si>
    <t>19-04-2024</t>
  </si>
  <si>
    <t>BLR_005</t>
  </si>
  <si>
    <t>ananya.verma@nextera.com</t>
  </si>
  <si>
    <t>30-03-2024</t>
  </si>
  <si>
    <t>DEL_007</t>
  </si>
  <si>
    <t>Vikram Naidu</t>
  </si>
  <si>
    <t>vikram.naidu@novasoft.com</t>
  </si>
  <si>
    <t>21-08-2021</t>
  </si>
  <si>
    <t>AHM_008</t>
  </si>
  <si>
    <t>Neha Reddy</t>
  </si>
  <si>
    <t>neha.reddy@novasoft.com</t>
  </si>
  <si>
    <t>13-08-2018</t>
  </si>
  <si>
    <t>Vivaan</t>
  </si>
  <si>
    <t>Vivaan Verma</t>
  </si>
  <si>
    <t>vivaan.verma@nextera.com</t>
  </si>
  <si>
    <t>06-07-2021</t>
  </si>
  <si>
    <t>Rahul Singh</t>
  </si>
  <si>
    <t>rahul.singh@technest.com</t>
  </si>
  <si>
    <t>24-06-2021</t>
  </si>
  <si>
    <t>AHM_003</t>
  </si>
  <si>
    <t>Aditya Patel</t>
  </si>
  <si>
    <t>aditya.patel@alphaworks.com</t>
  </si>
  <si>
    <t>28-04-2024</t>
  </si>
  <si>
    <t>Priya Iyer</t>
  </si>
  <si>
    <t>priya.iyer@cloudstride.com</t>
  </si>
  <si>
    <t>30-08-2024</t>
  </si>
  <si>
    <t>HYD_004</t>
  </si>
  <si>
    <t>Vikram Kumar</t>
  </si>
  <si>
    <t>vikram.kumar@nextera.com</t>
  </si>
  <si>
    <t>13-10-2019</t>
  </si>
  <si>
    <t>Neha Joshi</t>
  </si>
  <si>
    <t>neha.joshi@innomatrix.com</t>
  </si>
  <si>
    <t>14-12-2018</t>
  </si>
  <si>
    <t>PUN_002</t>
  </si>
  <si>
    <t>teja.nair@datagenix.com</t>
  </si>
  <si>
    <t>11-10-2021</t>
  </si>
  <si>
    <t>meena.gupta@alphaworks.com</t>
  </si>
  <si>
    <t>07-03-2023</t>
  </si>
  <si>
    <t>PUN_008</t>
  </si>
  <si>
    <t>saanvi.verma@novasoft.com</t>
  </si>
  <si>
    <t>22-01-2023</t>
  </si>
  <si>
    <t>saanvi.nair@datagenix.com</t>
  </si>
  <si>
    <t>22-01-2018</t>
  </si>
  <si>
    <t>Das</t>
  </si>
  <si>
    <t>Shiva Das</t>
  </si>
  <si>
    <t>shiva.das@softveda.com</t>
  </si>
  <si>
    <t>25-10-2022</t>
  </si>
  <si>
    <t>MUM_004</t>
  </si>
  <si>
    <t>Diya Das</t>
  </si>
  <si>
    <t>diya.das@innomatrix.com</t>
  </si>
  <si>
    <t>14-12-2021</t>
  </si>
  <si>
    <t>PUN_009</t>
  </si>
  <si>
    <t>Teja Kumar</t>
  </si>
  <si>
    <t>teja.kumar@bbtechhouse.com</t>
  </si>
  <si>
    <t>22-02-2020</t>
  </si>
  <si>
    <t>sneha.sharma@innomatrix.com</t>
  </si>
  <si>
    <t>10-01-2020</t>
  </si>
  <si>
    <t>Shiva Nair</t>
  </si>
  <si>
    <t>shiva.nair@cloudstride.com</t>
  </si>
  <si>
    <t>24-10-2024</t>
  </si>
  <si>
    <t>Karthik Gupta</t>
  </si>
  <si>
    <t>karthik.gupta@nextera.com</t>
  </si>
  <si>
    <t>02-02-2020</t>
  </si>
  <si>
    <t>Teja Iyer</t>
  </si>
  <si>
    <t>teja.iyer@novasoft.com</t>
  </si>
  <si>
    <t>15-12-2019</t>
  </si>
  <si>
    <t>Sneha Das</t>
  </si>
  <si>
    <t>sneha.das@cloudstride.com</t>
  </si>
  <si>
    <t>31-10-2018</t>
  </si>
  <si>
    <t>Arjun Joshi</t>
  </si>
  <si>
    <t>arjun.joshi@innomatrix.com</t>
  </si>
  <si>
    <t>25-05-2021</t>
  </si>
  <si>
    <t>AHM_001</t>
  </si>
  <si>
    <t>teja.iyer@logicloop.com</t>
  </si>
  <si>
    <t>22-07-2022</t>
  </si>
  <si>
    <t>MUM_009</t>
  </si>
  <si>
    <t>Diya Naidu</t>
  </si>
  <si>
    <t>diya.naidu@technest.com</t>
  </si>
  <si>
    <t>31-12-2020</t>
  </si>
  <si>
    <t>rahul.singh@softveda.com</t>
  </si>
  <si>
    <t>17-07-2024</t>
  </si>
  <si>
    <t>DEL_006</t>
  </si>
  <si>
    <t>Neha Sharma</t>
  </si>
  <si>
    <t>neha.sharma@logicloop.com</t>
  </si>
  <si>
    <t>02-03-2024</t>
  </si>
  <si>
    <t>KOLKATA_003</t>
  </si>
  <si>
    <t>Shiva Patel</t>
  </si>
  <si>
    <t>shiva.patel@softveda.com</t>
  </si>
  <si>
    <t>28-10-2019</t>
  </si>
  <si>
    <t>PUN_010</t>
  </si>
  <si>
    <t>Ananya Nair</t>
  </si>
  <si>
    <t>ananya.nair@logicloop.com</t>
  </si>
  <si>
    <t>30-11-2019</t>
  </si>
  <si>
    <t>VIZAG_004</t>
  </si>
  <si>
    <t>Rohit Joshi</t>
  </si>
  <si>
    <t>rohit.joshi@bbtechhouse.com</t>
  </si>
  <si>
    <t>09-07-2021</t>
  </si>
  <si>
    <t>Karthik Iyer</t>
  </si>
  <si>
    <t>karthik.iyer@innomatrix.com</t>
  </si>
  <si>
    <t>03-02-2024</t>
  </si>
  <si>
    <t>CHN_002</t>
  </si>
  <si>
    <t>Kiran Gupta</t>
  </si>
  <si>
    <t>kiran.gupta@nextera.com</t>
  </si>
  <si>
    <t>16-12-2023</t>
  </si>
  <si>
    <t>PUN_006</t>
  </si>
  <si>
    <t>Vivaan Sharma</t>
  </si>
  <si>
    <t>vivaan.sharma@softveda.com</t>
  </si>
  <si>
    <t>02-06-2018</t>
  </si>
  <si>
    <t>diya.naidu@datagenix.com</t>
  </si>
  <si>
    <t>19-11-2020</t>
  </si>
  <si>
    <t>HYD_005</t>
  </si>
  <si>
    <t>Ananya Kumar</t>
  </si>
  <si>
    <t>ananya.kumar@innomatrix.com</t>
  </si>
  <si>
    <t>13-07-2024</t>
  </si>
  <si>
    <t>DEL_004</t>
  </si>
  <si>
    <t>Meena Patel</t>
  </si>
  <si>
    <t>meena.patel@innomatrix.com</t>
  </si>
  <si>
    <t>31-08-2022</t>
  </si>
  <si>
    <t>VIZAG_008</t>
  </si>
  <si>
    <t>Arjun Nair</t>
  </si>
  <si>
    <t>arjun.nair@datagenix.com</t>
  </si>
  <si>
    <t>22-09-2023</t>
  </si>
  <si>
    <t>BLR_009</t>
  </si>
  <si>
    <t>aditya.kumar@technest.com</t>
  </si>
  <si>
    <t>08-01-2020</t>
  </si>
  <si>
    <t>Teja Verma</t>
  </si>
  <si>
    <t>teja.verma@bbtechhouse.com</t>
  </si>
  <si>
    <t>29-07-2020</t>
  </si>
  <si>
    <t>Teja Gupta</t>
  </si>
  <si>
    <t>teja.gupta@alphaworks.com</t>
  </si>
  <si>
    <t>30-03-2021</t>
  </si>
  <si>
    <t>04-09-2019</t>
  </si>
  <si>
    <t>20-02-2020</t>
  </si>
  <si>
    <t>DEL_010</t>
  </si>
  <si>
    <t>Arjun Verma</t>
  </si>
  <si>
    <t>arjun.verma@novasoft.com</t>
  </si>
  <si>
    <t>05-03-2021</t>
  </si>
  <si>
    <t>DEL_003</t>
  </si>
  <si>
    <t>Karthik Singh</t>
  </si>
  <si>
    <t>karthik.singh@bbtechhouse.com</t>
  </si>
  <si>
    <t>07-09-2022</t>
  </si>
  <si>
    <t>Teja Joshi</t>
  </si>
  <si>
    <t>teja.joshi@datagenix.com</t>
  </si>
  <si>
    <t>01-11-2018</t>
  </si>
  <si>
    <t>HYD_009</t>
  </si>
  <si>
    <t>Sneha Reddy</t>
  </si>
  <si>
    <t>sneha.reddy@softveda.com</t>
  </si>
  <si>
    <t>30-01-2021</t>
  </si>
  <si>
    <t>KOLKATA_010</t>
  </si>
  <si>
    <t>Ananya Iyer</t>
  </si>
  <si>
    <t>ananya.iyer@innomatrix.com</t>
  </si>
  <si>
    <t>19-07-2022</t>
  </si>
  <si>
    <t>kiran.joshi@cloudstride.com</t>
  </si>
  <si>
    <t>12-07-2021</t>
  </si>
  <si>
    <t>MUM_001</t>
  </si>
  <si>
    <t>Sneha Gupta</t>
  </si>
  <si>
    <t>sneha.gupta@novasoft.com</t>
  </si>
  <si>
    <t>05-09-2024</t>
  </si>
  <si>
    <t>Rahul Nair</t>
  </si>
  <si>
    <t>rahul.nair@alphaworks.com</t>
  </si>
  <si>
    <t>17-01-2022</t>
  </si>
  <si>
    <t>VIZAG_002</t>
  </si>
  <si>
    <t>Pooja Naidu</t>
  </si>
  <si>
    <t>pooja.naidu@novasoft.com</t>
  </si>
  <si>
    <t>22-08-2022</t>
  </si>
  <si>
    <t>ananya.nair@cloudstride.com</t>
  </si>
  <si>
    <t>11-03-2020</t>
  </si>
  <si>
    <t>Employees!A1</t>
  </si>
  <si>
    <t>COMPANY</t>
  </si>
  <si>
    <t>BRAND</t>
  </si>
  <si>
    <t>MODEL</t>
  </si>
  <si>
    <t>YEAR</t>
  </si>
  <si>
    <t>PRICE</t>
  </si>
  <si>
    <t>CC</t>
  </si>
  <si>
    <t>MAX_SPEED</t>
  </si>
  <si>
    <t>BODY_TYPE</t>
  </si>
  <si>
    <t>DISC</t>
  </si>
  <si>
    <t>ABS</t>
  </si>
  <si>
    <t>SALES_FIRST_3_MONTHS</t>
  </si>
  <si>
    <t>NO_OF_UNITS_SOLD_TILL</t>
  </si>
  <si>
    <t>REVENUE_TOTALLY</t>
  </si>
  <si>
    <t>NET_PROFIT</t>
  </si>
  <si>
    <t>BRANCH</t>
  </si>
  <si>
    <t>TYPE_OF_VEHICLE</t>
  </si>
  <si>
    <t>MILEAGE</t>
  </si>
  <si>
    <t>RELEASED_YEAR</t>
  </si>
  <si>
    <t>INVESTMENT_In_CR_MODEL</t>
  </si>
  <si>
    <t>PROFIT_MARGIN_%</t>
  </si>
  <si>
    <t>ROI_%</t>
  </si>
  <si>
    <t>SALES_GROWTH_%</t>
  </si>
  <si>
    <t>SALES_2023</t>
  </si>
  <si>
    <t>SALES_2024</t>
  </si>
  <si>
    <t>SALES_2025</t>
  </si>
  <si>
    <t>COMPANY_NETWORTH_CR</t>
  </si>
  <si>
    <t>MODEL_STATUS</t>
  </si>
  <si>
    <t>Royal Enfield</t>
  </si>
  <si>
    <t>Pune</t>
  </si>
  <si>
    <t>Royal Enfield X593</t>
  </si>
  <si>
    <t>Off-road</t>
  </si>
  <si>
    <t>Petrol</t>
  </si>
  <si>
    <t>Drum</t>
  </si>
  <si>
    <t>Yes</t>
  </si>
  <si>
    <t>Upcoming</t>
  </si>
  <si>
    <t>Noida</t>
  </si>
  <si>
    <t>Royal Enfield Storm416</t>
  </si>
  <si>
    <t>EV</t>
  </si>
  <si>
    <t>Front Disc</t>
  </si>
  <si>
    <t>Discontinued</t>
  </si>
  <si>
    <t>KTM India</t>
  </si>
  <si>
    <t>KTM</t>
  </si>
  <si>
    <t>Bangalore</t>
  </si>
  <si>
    <t>KTM NS566</t>
  </si>
  <si>
    <t>Street</t>
  </si>
  <si>
    <t>No</t>
  </si>
  <si>
    <t>Suzuki</t>
  </si>
  <si>
    <t>Suzuki NS256</t>
  </si>
  <si>
    <t>Cruiser</t>
  </si>
  <si>
    <t>Suzuki X133</t>
  </si>
  <si>
    <t>Sports</t>
  </si>
  <si>
    <t>Yamaha Motor India</t>
  </si>
  <si>
    <t>Yamaha</t>
  </si>
  <si>
    <t>Yamaha V621</t>
  </si>
  <si>
    <t>Suzuki Edge466</t>
  </si>
  <si>
    <t>Revolt Motors</t>
  </si>
  <si>
    <t>Revolt</t>
  </si>
  <si>
    <t>Revolt Classic148</t>
  </si>
  <si>
    <t>Hero MotoCorp</t>
  </si>
  <si>
    <t>Hero</t>
  </si>
  <si>
    <t>Hero V150</t>
  </si>
  <si>
    <t>Disc/Drum</t>
  </si>
  <si>
    <t>TVS Motor</t>
  </si>
  <si>
    <t>TVS</t>
  </si>
  <si>
    <t>Gurgaon</t>
  </si>
  <si>
    <t>TVS Z535</t>
  </si>
  <si>
    <t>Dual Disc</t>
  </si>
  <si>
    <t>Chennai</t>
  </si>
  <si>
    <t>TVS V170</t>
  </si>
  <si>
    <t>Bajaj Auto</t>
  </si>
  <si>
    <t>Bajaj</t>
  </si>
  <si>
    <t>Ahmedabad</t>
  </si>
  <si>
    <t>Bajaj GT411</t>
  </si>
  <si>
    <t>Bajaj Z261</t>
  </si>
  <si>
    <t>Honda Motorcycle</t>
  </si>
  <si>
    <t>Honda</t>
  </si>
  <si>
    <t>Honda GT449</t>
  </si>
  <si>
    <t>Commuter</t>
  </si>
  <si>
    <t>Royal Enfield V285</t>
  </si>
  <si>
    <t>Suzuki Z504</t>
  </si>
  <si>
    <t>Royal Enfield NS476</t>
  </si>
  <si>
    <t>Revolt GT397</t>
  </si>
  <si>
    <t>Bajaj Z539</t>
  </si>
  <si>
    <t>Jawa</t>
  </si>
  <si>
    <t>Jawa Z479</t>
  </si>
  <si>
    <t>Delhi</t>
  </si>
  <si>
    <t>KTM V260</t>
  </si>
  <si>
    <t>Hyderabad</t>
  </si>
  <si>
    <t>Revolt NS292</t>
  </si>
  <si>
    <t>Revolt GT381</t>
  </si>
  <si>
    <t>Royal Enfield R518</t>
  </si>
  <si>
    <t>Hero Storm546</t>
  </si>
  <si>
    <t>Bajaj NS413</t>
  </si>
  <si>
    <t>Revolt GT585</t>
  </si>
  <si>
    <t>Suzuki Edge438</t>
  </si>
  <si>
    <t>Bajaj NS619</t>
  </si>
  <si>
    <t>Yamaha Pro171</t>
  </si>
  <si>
    <t>Revolt Storm509</t>
  </si>
  <si>
    <t>Revolt GT289</t>
  </si>
  <si>
    <t>Hero GT211</t>
  </si>
  <si>
    <t>Hero X270</t>
  </si>
  <si>
    <t>Bajaj NS238</t>
  </si>
  <si>
    <t>Jawa Storm329</t>
  </si>
  <si>
    <t>Royal Enfield Storm109</t>
  </si>
  <si>
    <t>Jawa GT144</t>
  </si>
  <si>
    <t>Jawa Z310</t>
  </si>
  <si>
    <t>Revolt R209</t>
  </si>
  <si>
    <t>Revolt Z472</t>
  </si>
  <si>
    <t>Suzuki Edge309</t>
  </si>
  <si>
    <t>Suzuki X120</t>
  </si>
  <si>
    <t>Hero Z443</t>
  </si>
  <si>
    <t>Yamaha GT253</t>
  </si>
  <si>
    <t>Honda NS255</t>
  </si>
  <si>
    <t>Jawa Z274</t>
  </si>
  <si>
    <t>Royal Enfield Edge535</t>
  </si>
  <si>
    <t>Royal Enfield Edge423</t>
  </si>
  <si>
    <t>Honda V110</t>
  </si>
  <si>
    <t>Hero Pro521</t>
  </si>
  <si>
    <t>Yamaha Z488</t>
  </si>
  <si>
    <t>Bajaj Z216</t>
  </si>
  <si>
    <t>Yamaha GT355</t>
  </si>
  <si>
    <t>Bajaj NS647</t>
  </si>
  <si>
    <t>Hero V109</t>
  </si>
  <si>
    <t>Yamaha Storm585</t>
  </si>
  <si>
    <t>Bajaj Edge343</t>
  </si>
  <si>
    <t>Revolt Edge554</t>
  </si>
  <si>
    <t>Royal Enfield R599</t>
  </si>
  <si>
    <t>Royal Enfield Z253</t>
  </si>
  <si>
    <t>Hero Storm642</t>
  </si>
  <si>
    <t>Hero GT642</t>
  </si>
  <si>
    <t>Yamaha V306</t>
  </si>
  <si>
    <t>Revolt Storm601</t>
  </si>
  <si>
    <t>Bajaj NS347</t>
  </si>
  <si>
    <t>Bajaj R278</t>
  </si>
  <si>
    <t>Yamaha NS106</t>
  </si>
  <si>
    <t>TVS NS212</t>
  </si>
  <si>
    <t>Revolt NS546</t>
  </si>
  <si>
    <t>KTM V495</t>
  </si>
  <si>
    <t>Suzuki Classic423</t>
  </si>
  <si>
    <t>Suzuki NS546</t>
  </si>
  <si>
    <t>TVS Pro646</t>
  </si>
  <si>
    <t>Revolt NS332</t>
  </si>
  <si>
    <t>Bajaj Pro101</t>
  </si>
  <si>
    <t>Honda Classic526</t>
  </si>
  <si>
    <t>TVS X365</t>
  </si>
  <si>
    <t>Royal Enfield Classic624</t>
  </si>
  <si>
    <t>Bajaj GT377</t>
  </si>
  <si>
    <t>Bajaj Z381</t>
  </si>
  <si>
    <t>Suzuki R171</t>
  </si>
  <si>
    <t>Royal Enfield Pro540</t>
  </si>
  <si>
    <t>Yamaha R546</t>
  </si>
  <si>
    <t>Bajaj Storm359</t>
  </si>
  <si>
    <t>TVS NS419</t>
  </si>
  <si>
    <t>Jawa R593</t>
  </si>
  <si>
    <t>Suzuki R271</t>
  </si>
  <si>
    <t>Royal Enfield Edge222</t>
  </si>
  <si>
    <t>TVS Pro116</t>
  </si>
  <si>
    <t>TVS V507</t>
  </si>
  <si>
    <t>Honda Pro631</t>
  </si>
  <si>
    <t>Royal Enfield Edge199</t>
  </si>
  <si>
    <t>Revolt X424</t>
  </si>
  <si>
    <t>Suzuki GT630</t>
  </si>
  <si>
    <t>KTM Storm208</t>
  </si>
  <si>
    <t>Bajaj R397</t>
  </si>
  <si>
    <t>Royal Enfield Edge415</t>
  </si>
  <si>
    <t>Yamaha Classic310</t>
  </si>
  <si>
    <t>Honda V356</t>
  </si>
  <si>
    <t>BIKES!A1</t>
  </si>
  <si>
    <t>CAR_BRAND</t>
  </si>
  <si>
    <t>YEAR_OF_RELEASE</t>
  </si>
  <si>
    <t>MILEAGE_KMPL</t>
  </si>
  <si>
    <t>PRICE_Rs</t>
  </si>
  <si>
    <t>ENGINE_TYPE</t>
  </si>
  <si>
    <t>TRANSMISSION</t>
  </si>
  <si>
    <t>NCAP_RATING</t>
  </si>
  <si>
    <t>SEATING_CAPACITY</t>
  </si>
  <si>
    <t>USED_METAL_%</t>
  </si>
  <si>
    <t>SALES_2020</t>
  </si>
  <si>
    <t>SALES_2021</t>
  </si>
  <si>
    <t>SALES_2022</t>
  </si>
  <si>
    <t>SALES_OVERALL</t>
  </si>
  <si>
    <t>REVENUE_CR</t>
  </si>
  <si>
    <t>NET_PROFIT_CR</t>
  </si>
  <si>
    <t>STATE</t>
  </si>
  <si>
    <t>CITY</t>
  </si>
  <si>
    <t>Hyundai</t>
  </si>
  <si>
    <t>Verna</t>
  </si>
  <si>
    <t>Micro SUV</t>
  </si>
  <si>
    <t>AMT</t>
  </si>
  <si>
    <t>Telangana</t>
  </si>
  <si>
    <t>Warangal</t>
  </si>
  <si>
    <t>WAR_2</t>
  </si>
  <si>
    <t>Tata</t>
  </si>
  <si>
    <t>Altroz</t>
  </si>
  <si>
    <t>MPV</t>
  </si>
  <si>
    <t>CVT</t>
  </si>
  <si>
    <t>Uttar Pradesh</t>
  </si>
  <si>
    <t>NOI_9</t>
  </si>
  <si>
    <t>Datsun</t>
  </si>
  <si>
    <t>Redi-GO</t>
  </si>
  <si>
    <t>Hatchback</t>
  </si>
  <si>
    <t>Automatic</t>
  </si>
  <si>
    <t>Gujarat</t>
  </si>
  <si>
    <t>Vadodara</t>
  </si>
  <si>
    <t>VAD_2</t>
  </si>
  <si>
    <t>Jeep</t>
  </si>
  <si>
    <t>Compass</t>
  </si>
  <si>
    <t>Crossover</t>
  </si>
  <si>
    <t>Manual</t>
  </si>
  <si>
    <t>West Bengal</t>
  </si>
  <si>
    <t>Howrah</t>
  </si>
  <si>
    <t>HOW_8</t>
  </si>
  <si>
    <t>Toyota</t>
  </si>
  <si>
    <t>Fortuner</t>
  </si>
  <si>
    <t>Kerala</t>
  </si>
  <si>
    <t>Thiruvananthapuram</t>
  </si>
  <si>
    <t>THI_1</t>
  </si>
  <si>
    <t>Skoda</t>
  </si>
  <si>
    <t>Fabia</t>
  </si>
  <si>
    <t>SUV</t>
  </si>
  <si>
    <t>Rajasthan</t>
  </si>
  <si>
    <t>Jodhpur</t>
  </si>
  <si>
    <t>JOD_9</t>
  </si>
  <si>
    <t>Volkswagen</t>
  </si>
  <si>
    <t>Vento</t>
  </si>
  <si>
    <t>Lucknow</t>
  </si>
  <si>
    <t>LUC_3</t>
  </si>
  <si>
    <t>Nissan</t>
  </si>
  <si>
    <t>Kicks</t>
  </si>
  <si>
    <t>Diesel</t>
  </si>
  <si>
    <t>VAD_4</t>
  </si>
  <si>
    <t>Maruti Suzuki</t>
  </si>
  <si>
    <t>Dzire</t>
  </si>
  <si>
    <t>VAD_3</t>
  </si>
  <si>
    <t>Ciaz</t>
  </si>
  <si>
    <t>Tamil Nadu</t>
  </si>
  <si>
    <t>Coimbatore</t>
  </si>
  <si>
    <t>COI_1</t>
  </si>
  <si>
    <t>Ford</t>
  </si>
  <si>
    <t>Endeavour</t>
  </si>
  <si>
    <t>VAD_8</t>
  </si>
  <si>
    <t>Mercedes-Benz</t>
  </si>
  <si>
    <t>GLA</t>
  </si>
  <si>
    <t>HYD_1</t>
  </si>
  <si>
    <t>BYD</t>
  </si>
  <si>
    <t>Seal</t>
  </si>
  <si>
    <t>Sedan</t>
  </si>
  <si>
    <t>Jaipur</t>
  </si>
  <si>
    <t>JAI_5</t>
  </si>
  <si>
    <t>E-Class</t>
  </si>
  <si>
    <t>THI_9</t>
  </si>
  <si>
    <t>BMW</t>
  </si>
  <si>
    <t>5 Series</t>
  </si>
  <si>
    <t>COI_2</t>
  </si>
  <si>
    <t>MG</t>
  </si>
  <si>
    <t>Hector</t>
  </si>
  <si>
    <t>Odisha</t>
  </si>
  <si>
    <t>Bhubaneswar</t>
  </si>
  <si>
    <t>BHU_3</t>
  </si>
  <si>
    <t>Kolkata</t>
  </si>
  <si>
    <t>KOL_1</t>
  </si>
  <si>
    <t>Safari</t>
  </si>
  <si>
    <t>AHM_7</t>
  </si>
  <si>
    <t>Etios</t>
  </si>
  <si>
    <t>CNG</t>
  </si>
  <si>
    <t>JOD_7</t>
  </si>
  <si>
    <t>Karnataka</t>
  </si>
  <si>
    <t>Mangalore</t>
  </si>
  <si>
    <t>MAN_9</t>
  </si>
  <si>
    <t>Nexon</t>
  </si>
  <si>
    <t>Mysore</t>
  </si>
  <si>
    <t>MYS_2</t>
  </si>
  <si>
    <t>THI_8</t>
  </si>
  <si>
    <t>Swift</t>
  </si>
  <si>
    <t>Delhi NCR</t>
  </si>
  <si>
    <t>GUR_3</t>
  </si>
  <si>
    <t>Ecosport</t>
  </si>
  <si>
    <t>GUR_4</t>
  </si>
  <si>
    <t>3 Series</t>
  </si>
  <si>
    <t>MYS_1</t>
  </si>
  <si>
    <t>Taigun</t>
  </si>
  <si>
    <t>Maharashtra</t>
  </si>
  <si>
    <t>PUN_3</t>
  </si>
  <si>
    <t>Corolla</t>
  </si>
  <si>
    <t>Kochi</t>
  </si>
  <si>
    <t>KOC_8</t>
  </si>
  <si>
    <t>Renault</t>
  </si>
  <si>
    <t>Duster</t>
  </si>
  <si>
    <t>WAR_3</t>
  </si>
  <si>
    <t>Atto 3</t>
  </si>
  <si>
    <t>THI_6</t>
  </si>
  <si>
    <t>Kia</t>
  </si>
  <si>
    <t>Sonet</t>
  </si>
  <si>
    <t>WAR_6</t>
  </si>
  <si>
    <t>NOI_2</t>
  </si>
  <si>
    <t>i10</t>
  </si>
  <si>
    <t>Bengaluru</t>
  </si>
  <si>
    <t>BEN_5</t>
  </si>
  <si>
    <t>Mahindra</t>
  </si>
  <si>
    <t>KUV100</t>
  </si>
  <si>
    <t>Cuttack</t>
  </si>
  <si>
    <t>CUT_6</t>
  </si>
  <si>
    <t>Polo</t>
  </si>
  <si>
    <t>WAR_9</t>
  </si>
  <si>
    <t>Grand i10</t>
  </si>
  <si>
    <t>COI_3</t>
  </si>
  <si>
    <t>XUV500</t>
  </si>
  <si>
    <t>CUT_1</t>
  </si>
  <si>
    <t>BHU_2</t>
  </si>
  <si>
    <t>Seltos</t>
  </si>
  <si>
    <t>Mumbai</t>
  </si>
  <si>
    <t>MUM_7</t>
  </si>
  <si>
    <t>HOW_6</t>
  </si>
  <si>
    <t>Kiger</t>
  </si>
  <si>
    <t>VAD_7</t>
  </si>
  <si>
    <t>Carnival</t>
  </si>
  <si>
    <t>HYD_8</t>
  </si>
  <si>
    <t>i20</t>
  </si>
  <si>
    <t>CHE_4</t>
  </si>
  <si>
    <t>Punjab</t>
  </si>
  <si>
    <t>Amritsar</t>
  </si>
  <si>
    <t>AMR_3</t>
  </si>
  <si>
    <t>Kw id</t>
  </si>
  <si>
    <t>THI_5</t>
  </si>
  <si>
    <t>Chandigarh</t>
  </si>
  <si>
    <t>CHA_7</t>
  </si>
  <si>
    <t>COI_8</t>
  </si>
  <si>
    <t>Yaris</t>
  </si>
  <si>
    <t>Madurai</t>
  </si>
  <si>
    <t>MAD_7</t>
  </si>
  <si>
    <t>HYD_5</t>
  </si>
  <si>
    <t>KOC_3</t>
  </si>
  <si>
    <t>Mahindra Electric</t>
  </si>
  <si>
    <t>eVerito</t>
  </si>
  <si>
    <t>DEL_2</t>
  </si>
  <si>
    <t>Octavia</t>
  </si>
  <si>
    <t>BHU_9</t>
  </si>
  <si>
    <t>Jazz</t>
  </si>
  <si>
    <t>DEL_4</t>
  </si>
  <si>
    <t>GUR_5</t>
  </si>
  <si>
    <t>JAI_1</t>
  </si>
  <si>
    <t>PUN_5</t>
  </si>
  <si>
    <t>Audi</t>
  </si>
  <si>
    <t>A3</t>
  </si>
  <si>
    <t>JAI_3</t>
  </si>
  <si>
    <t>NOI_3</t>
  </si>
  <si>
    <t>GO</t>
  </si>
  <si>
    <t>COI_5</t>
  </si>
  <si>
    <t>Surat</t>
  </si>
  <si>
    <t>SUR_3</t>
  </si>
  <si>
    <t>Wrangler</t>
  </si>
  <si>
    <t>JAI_6</t>
  </si>
  <si>
    <t>HOW_3</t>
  </si>
  <si>
    <t>JAI_2</t>
  </si>
  <si>
    <t>Aura</t>
  </si>
  <si>
    <t>GLE</t>
  </si>
  <si>
    <t>BEN_7</t>
  </si>
  <si>
    <t>Baleno</t>
  </si>
  <si>
    <t>VAD_9</t>
  </si>
  <si>
    <t>MAD_2</t>
  </si>
  <si>
    <t>CR-V</t>
  </si>
  <si>
    <t>GUR_9</t>
  </si>
  <si>
    <t>CHE_2</t>
  </si>
  <si>
    <t>AMR_5</t>
  </si>
  <si>
    <t>X1</t>
  </si>
  <si>
    <t>JAI_7</t>
  </si>
  <si>
    <t>CHA_3</t>
  </si>
  <si>
    <t>HYD_7</t>
  </si>
  <si>
    <t>Elantra</t>
  </si>
  <si>
    <t>CHA_6</t>
  </si>
  <si>
    <t>BHU_5</t>
  </si>
  <si>
    <t>NOI_6</t>
  </si>
  <si>
    <t>Indica</t>
  </si>
  <si>
    <t>AMR_1</t>
  </si>
  <si>
    <t>Scorpio</t>
  </si>
  <si>
    <t>BHU_6</t>
  </si>
  <si>
    <t>Ertiga</t>
  </si>
  <si>
    <t>Nashik</t>
  </si>
  <si>
    <t>NAS_6</t>
  </si>
  <si>
    <t>e2oPlus</t>
  </si>
  <si>
    <t>Creta</t>
  </si>
  <si>
    <t>BHU_7</t>
  </si>
  <si>
    <t>CUT_9</t>
  </si>
  <si>
    <t>MAD_5</t>
  </si>
  <si>
    <t>Rapid</t>
  </si>
  <si>
    <t>BHU_1</t>
  </si>
  <si>
    <t>Jeeto</t>
  </si>
  <si>
    <t>WAR_1</t>
  </si>
  <si>
    <t>Kanpur</t>
  </si>
  <si>
    <t>KAN_6</t>
  </si>
  <si>
    <t>THI_2</t>
  </si>
  <si>
    <t>MYS_3</t>
  </si>
  <si>
    <t>Q3</t>
  </si>
  <si>
    <t>KOC_1</t>
  </si>
  <si>
    <t>THI_4</t>
  </si>
  <si>
    <t>LUC_1</t>
  </si>
  <si>
    <t>Tucson</t>
  </si>
  <si>
    <t>JOD_6</t>
  </si>
  <si>
    <t>ZS EV</t>
  </si>
  <si>
    <t>Figo</t>
  </si>
  <si>
    <t>TUV300</t>
  </si>
  <si>
    <t>Nagpur</t>
  </si>
  <si>
    <t>NAG_9</t>
  </si>
  <si>
    <t>WAR_5</t>
  </si>
  <si>
    <t>Brezza</t>
  </si>
  <si>
    <t>MYS_5</t>
  </si>
  <si>
    <t>CUT_2</t>
  </si>
  <si>
    <t>KOL_8</t>
  </si>
  <si>
    <t>HYD_3</t>
  </si>
  <si>
    <t>HOW_1</t>
  </si>
  <si>
    <t>VAD_1</t>
  </si>
  <si>
    <t>Tigor</t>
  </si>
  <si>
    <t>BEN_9</t>
  </si>
  <si>
    <t>CUT_8</t>
  </si>
  <si>
    <t>GUR_8</t>
  </si>
  <si>
    <t>Amaze</t>
  </si>
  <si>
    <t>NAS_3</t>
  </si>
  <si>
    <t>Magnite</t>
  </si>
  <si>
    <t>BHU_8</t>
  </si>
  <si>
    <t>THI_7</t>
  </si>
  <si>
    <t>AMR_8</t>
  </si>
  <si>
    <t>X5</t>
  </si>
  <si>
    <t>Tiago</t>
  </si>
  <si>
    <t>BEN_2</t>
  </si>
  <si>
    <t>Urban Cruiser</t>
  </si>
  <si>
    <t>KAN_2</t>
  </si>
  <si>
    <t>MAN_6</t>
  </si>
  <si>
    <t>Celerio</t>
  </si>
  <si>
    <t>CHA_5</t>
  </si>
  <si>
    <t>Bolero</t>
  </si>
  <si>
    <t>HYD_2</t>
  </si>
  <si>
    <t>City</t>
  </si>
  <si>
    <t>MAN_4</t>
  </si>
  <si>
    <t>A4</t>
  </si>
  <si>
    <t>CHE_5</t>
  </si>
  <si>
    <t>SUR_5</t>
  </si>
  <si>
    <t>NAG_2</t>
  </si>
  <si>
    <t>XUV300</t>
  </si>
  <si>
    <t>CUT_4</t>
  </si>
  <si>
    <t>CHA_8</t>
  </si>
  <si>
    <t>HOW_5</t>
  </si>
  <si>
    <t>MUM_5</t>
  </si>
  <si>
    <t>WR-V</t>
  </si>
  <si>
    <t>NOI_8</t>
  </si>
  <si>
    <t>KOL_4</t>
  </si>
  <si>
    <t>NAS_5</t>
  </si>
  <si>
    <t>Bolt</t>
  </si>
  <si>
    <t>DEL_9</t>
  </si>
  <si>
    <t>CUT_5</t>
  </si>
  <si>
    <t>WagonR</t>
  </si>
  <si>
    <t>C-Class</t>
  </si>
  <si>
    <t>VAD_6</t>
  </si>
  <si>
    <t>BHU_4</t>
  </si>
  <si>
    <t>Zest</t>
  </si>
  <si>
    <t>DEL_7</t>
  </si>
  <si>
    <t>Venue</t>
  </si>
  <si>
    <t>MYS_6</t>
  </si>
  <si>
    <t>KOC_9</t>
  </si>
  <si>
    <t>HYD_9</t>
  </si>
  <si>
    <t>JAI_4</t>
  </si>
  <si>
    <t>MAD_9</t>
  </si>
  <si>
    <t>CARS!A1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</si>
</sst>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rgb="FFFF0000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1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14" fontId="0" fillId="0" borderId="6" xfId="0" applyNumberFormat="1" applyFill="1" applyBorder="1" applyAlignment="1">
      <alignment horizontal="left" vertical="center"/>
    </xf>
    <xf numFmtId="0" fontId="0" fillId="0" borderId="5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left" vertical="center"/>
    </xf>
    <xf numFmtId="1" fontId="0" fillId="0" borderId="1" xfId="0" applyNumberFormat="1" applyFill="1" applyBorder="1" applyAlignment="1">
      <alignment horizontal="left"/>
    </xf>
    <xf numFmtId="1" fontId="0" fillId="0" borderId="8" xfId="0" applyNumberFormat="1" applyFill="1" applyBorder="1" applyAlignment="1">
      <alignment horizontal="left"/>
    </xf>
    <xf numFmtId="1" fontId="0" fillId="0" borderId="0" xfId="0" applyNumberFormat="1"/>
    <xf numFmtId="0" fontId="2" fillId="0" borderId="6" xfId="1" applyBorder="1"/>
    <xf numFmtId="0" fontId="0" fillId="0" borderId="15" xfId="0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4" borderId="0" xfId="0" applyFill="1"/>
    <xf numFmtId="0" fontId="0" fillId="4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10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top style="thin">
          <color indexed="64"/>
        </top>
        <bottom style="thin">
          <color theme="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  <vertical style="thin">
          <color theme="4" tint="-0.249977111117893"/>
        </vertical>
        <horizontal style="thin">
          <color theme="4" tint="-0.249977111117893"/>
        </horizontal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0D529-7D68-4372-B8B4-265DC8619E2B}" name="Table1" displayName="Table1" ref="A1:C16" totalsRowShown="0" headerRowDxfId="6" headerRowBorderDxfId="4" tableBorderDxfId="5" totalsRowBorderDxfId="3">
  <autoFilter ref="A1:C16" xr:uid="{8400D529-7D68-4372-B8B4-265DC8619E2B}"/>
  <tableColumns count="3">
    <tableColumn id="1" xr3:uid="{9C7F1518-9540-43B2-A6AA-633BF6047AB5}" name="S.No" dataDxfId="2"/>
    <tableColumn id="2" xr3:uid="{3E7AC7C4-ECC5-4085-A6CD-3B3A2529C7DA}" name="List_of_ Domains_Data" dataDxfId="1"/>
    <tableColumn id="3" xr3:uid="{3A3109B8-05FF-4172-882C-EBE6F38273A1}" name="Navigation" dataDxfId="0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871961-6CAC-4D4E-BB73-8230B788C50C}" name="Table2" displayName="Table2" ref="A1:AJ102" totalsRowShown="0" headerRowDxfId="68" dataDxfId="69" headerRowBorderDxfId="105" tableBorderDxfId="106" totalsRowBorderDxfId="104">
  <autoFilter ref="A1:AJ102" xr:uid="{DC871961-6CAC-4D4E-BB73-8230B788C50C}"/>
  <sortState xmlns:xlrd2="http://schemas.microsoft.com/office/spreadsheetml/2017/richdata2" ref="A2:AJ102">
    <sortCondition ref="A1:A102"/>
  </sortState>
  <tableColumns count="36">
    <tableColumn id="1" xr3:uid="{763B0B53-165A-4F1A-8EAD-77313D8F1897}" name="S.No" dataDxfId="103"/>
    <tableColumn id="2" xr3:uid="{92F4B037-7B21-4D51-895C-DEC9D572527C}" name="COMPANY_NAME" dataDxfId="102"/>
    <tableColumn id="3" xr3:uid="{9DFEF28C-9733-41B3-8B2E-9A1D0BCB2A50}" name="DEPT_NAME" dataDxfId="101"/>
    <tableColumn id="4" xr3:uid="{47067B3B-9CEF-4B40-9FCF-B891FFF07788}" name="LOCATION" dataDxfId="100"/>
    <tableColumn id="5" xr3:uid="{23DD9A19-89F7-4ACD-826A-69975DD8A2D8}" name="BRANCH_CODE" dataDxfId="99"/>
    <tableColumn id="6" xr3:uid="{2166E58D-EB8B-4B1A-AEC7-A799A3BF79BB}" name="EMP_ID" dataDxfId="98"/>
    <tableColumn id="7" xr3:uid="{7A3E986C-2933-43F2-A7C9-008631360C10}" name="EMP_FIRST_NAME" dataDxfId="97"/>
    <tableColumn id="8" xr3:uid="{4F5066DB-015A-4F75-BF9E-91761A9834CD}" name="EMP_LAST_NAME" dataDxfId="96"/>
    <tableColumn id="9" xr3:uid="{B852466B-C532-4D8F-858D-57724519AF63}" name="EMP_NAME" dataDxfId="95"/>
    <tableColumn id="10" xr3:uid="{843503B6-8ABF-4ED3-ADA9-FEB42B227A4F}" name="EMP_ROLE" dataDxfId="94"/>
    <tableColumn id="11" xr3:uid="{44A02840-0167-4403-8075-1BAAF780F226}" name="EMP_EMAIL_ID" dataDxfId="93"/>
    <tableColumn id="12" xr3:uid="{AA676263-D972-469E-8129-6A69B0CBDA9C}" name="REPORTING_MANAGER" dataDxfId="92"/>
    <tableColumn id="13" xr3:uid="{F2746085-243F-45CE-8280-F7074420CE5C}" name="EMP_AGE" dataDxfId="91"/>
    <tableColumn id="14" xr3:uid="{F2AADD45-A582-4365-8753-A4ED09D9CD4F}" name="EMP_START_DATE" dataDxfId="90"/>
    <tableColumn id="15" xr3:uid="{F6A21BC5-A6B0-4866-B7FC-483824981EE1}" name="EMP_TYPE" dataDxfId="89"/>
    <tableColumn id="16" xr3:uid="{54B57388-5F46-45A5-A816-121D9B178987}" name="EMP_STATUS" dataDxfId="88"/>
    <tableColumn id="17" xr3:uid="{780AC717-062C-40FB-A1AA-304030AC2289}" name="EMP_TENURE_YEARS" dataDxfId="87"/>
    <tableColumn id="18" xr3:uid="{01C6BD15-1526-430D-8467-AC210DB37FE7}" name="EMP_GOVT_AVAILABLE" dataDxfId="86"/>
    <tableColumn id="19" xr3:uid="{BA80AD4A-28F8-45D3-9F8C-E34763672E53}" name="ID_TYPE" dataDxfId="85"/>
    <tableColumn id="20" xr3:uid="{1CB9E1BE-D2D5-4827-B2CB-57CF34E91E90}" name="ID_NUMBER" dataDxfId="67"/>
    <tableColumn id="21" xr3:uid="{356D23DF-3779-4801-B748-4717C07F6B0F}" name="EMP_SALARY_MONTHLY" dataDxfId="84"/>
    <tableColumn id="22" xr3:uid="{6527A1BB-1C52-4EF7-AE16-51B398057D7B}" name="EMP_SALARY_YEARLY" dataDxfId="83"/>
    <tableColumn id="23" xr3:uid="{BDB61652-5B16-4B47-99A3-5DF632580E0B}" name="EMP_TAX_SLAB" dataDxfId="82"/>
    <tableColumn id="24" xr3:uid="{98F22920-1C98-411E-86EC-A3AAC9BC8D36}" name="EMP_WORKING_POLICY" dataDxfId="81"/>
    <tableColumn id="25" xr3:uid="{B39DF78D-F894-43AB-A4E7-7CE7A3F78CAF}" name="EMP_MED_INSURENCE_OPTED ?" dataDxfId="80"/>
    <tableColumn id="26" xr3:uid="{77BBFD3F-33C4-4131-A595-F1387F8FB3D6}" name="EMP_PARENTS_INSURENCE_OPTED ?" dataDxfId="79"/>
    <tableColumn id="27" xr3:uid="{01E0D35A-8B7A-4828-8DA9-8EEBD37995DB}" name="EMP_BLOOD_GROUP" dataDxfId="78"/>
    <tableColumn id="28" xr3:uid="{D581B6DB-A353-4B9B-B4C1-2A8054270DE7}" name="EMP_REVENUE_GENERATION_PER_YEAR" dataDxfId="77"/>
    <tableColumn id="29" xr3:uid="{FFDC06A0-A4DC-45A6-889F-E1F0B2F8356E}" name="EMP_LAST_HIKE_%" dataDxfId="66"/>
    <tableColumn id="30" xr3:uid="{6A9DE371-178B-48BE-B3F9-8E58627C1900}" name="EMP_LEAVES" dataDxfId="76"/>
    <tableColumn id="31" xr3:uid="{2D9BE348-9051-4F37-9BE4-562795EA40DE}" name="EMP_ACTUVAL_LEAVES" dataDxfId="75"/>
    <tableColumn id="32" xr3:uid="{FF3A4E8D-B4C5-403D-AFE1-C9E7DE671ACC}" name="EMP_ALLOWANCE" dataDxfId="74"/>
    <tableColumn id="33" xr3:uid="{F9D702D5-DF93-4F05-8319-58A2DABE43E3}" name="EMP_RATING" dataDxfId="73"/>
    <tableColumn id="34" xr3:uid="{B891F066-960F-4099-9885-5614A58AEC9C}" name="EMP_PROMOTED_LAST_YEAR?" dataDxfId="72"/>
    <tableColumn id="35" xr3:uid="{23F502C4-9E5F-4166-AC7E-FF9CC9E8C4C2}" name="DATA_CREATED_DATE" dataDxfId="71"/>
    <tableColumn id="36" xr3:uid="{7BBE1893-F864-459E-B193-34C478C57B92}" name="DATA_UPDATED_DATE" dataDxfId="70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69D1B8-7210-4EE0-A12F-18019B0A03FE}" name="Table5" displayName="Table5" ref="A1:AA101" totalsRowShown="0" headerRowDxfId="7" dataDxfId="8" tableBorderDxfId="36">
  <autoFilter ref="A1:AA101" xr:uid="{6669D1B8-7210-4EE0-A12F-18019B0A03FE}"/>
  <tableColumns count="27">
    <tableColumn id="1" xr3:uid="{284073F9-24D6-41C4-BAB4-2FD3A5EE7087}" name="COMPANY" dataDxfId="35"/>
    <tableColumn id="2" xr3:uid="{27FE0F3F-B9E9-467D-8EB6-B3EE54468B19}" name="BRAND" dataDxfId="34"/>
    <tableColumn id="3" xr3:uid="{964EE0D1-82D6-4F12-B1C5-00E19FF4512E}" name="BRANCH" dataDxfId="33"/>
    <tableColumn id="4" xr3:uid="{F3E49227-1DD8-43D2-A076-F0BFC6CCAABC}" name="MODEL" dataDxfId="32"/>
    <tableColumn id="5" xr3:uid="{DEB94CCB-81B4-4A18-B70F-4DD8D253F0A1}" name="BODY_TYPE" dataDxfId="31"/>
    <tableColumn id="6" xr3:uid="{4028DF18-27CA-46F9-843F-8BF284094887}" name="TYPE_OF_VEHICLE" dataDxfId="30"/>
    <tableColumn id="7" xr3:uid="{6CB19424-AAD7-437A-8B14-976B3BE61C4A}" name="YEAR" dataDxfId="29"/>
    <tableColumn id="8" xr3:uid="{0DE91E7A-232A-468E-AF14-1F646C2EEB2B}" name="PRICE" dataDxfId="28"/>
    <tableColumn id="9" xr3:uid="{7DFDAAFD-9684-4FBB-881E-C5F56E132B8C}" name="CC" dataDxfId="27"/>
    <tableColumn id="10" xr3:uid="{23C77954-1129-4CCC-95C0-FFFAA6EBC28E}" name="MAX_SPEED" dataDxfId="26"/>
    <tableColumn id="11" xr3:uid="{A26B872C-5E52-4299-AE77-7F51036B7B24}" name="DISC" dataDxfId="25"/>
    <tableColumn id="12" xr3:uid="{3881B58A-D4DA-4D6F-AC57-34B04FD123EA}" name="ABS" dataDxfId="24"/>
    <tableColumn id="13" xr3:uid="{17B1B4F5-0CE5-4B6B-BC39-AF699F935973}" name="MILEAGE" dataDxfId="23"/>
    <tableColumn id="14" xr3:uid="{C64683DF-7907-4784-ABC8-BD0EADEA71D3}" name="RELEASED_YEAR" dataDxfId="22"/>
    <tableColumn id="15" xr3:uid="{DA8F4BEB-227F-4FA2-9F92-14410FEF173A}" name="SALES_FIRST_3_MONTHS" dataDxfId="21"/>
    <tableColumn id="16" xr3:uid="{FB8711A9-FEEF-45FC-AB93-402C346E62CF}" name="NO_OF_UNITS_SOLD_TILL" dataDxfId="20"/>
    <tableColumn id="17" xr3:uid="{C05CE79D-D5AA-41D9-BC27-475D8CEAA8B3}" name="INVESTMENT_In_CR_MODEL" dataDxfId="19"/>
    <tableColumn id="18" xr3:uid="{449F49D5-3CDA-46A0-A653-07B393C6CAC8}" name="REVENUE_TOTALLY" dataDxfId="18"/>
    <tableColumn id="19" xr3:uid="{4186E16D-398A-4F25-B52B-7B8BCFAF80F8}" name="NET_PROFIT" dataDxfId="17"/>
    <tableColumn id="20" xr3:uid="{CDADB47C-8A2C-495D-9A55-E4AF440973C0}" name="PROFIT_MARGIN_%" dataDxfId="16"/>
    <tableColumn id="21" xr3:uid="{C20AB2B3-A573-4377-9B26-6F5ADC1E7291}" name="ROI_%" dataDxfId="15"/>
    <tableColumn id="22" xr3:uid="{8221289C-F416-4C8A-BAE7-9B1231E6B311}" name="SALES_GROWTH_%" dataDxfId="14"/>
    <tableColumn id="23" xr3:uid="{DD07C34F-87DB-4561-9FF6-81B160530E5E}" name="SALES_2023" dataDxfId="13"/>
    <tableColumn id="24" xr3:uid="{D2CDB6A6-04BB-4427-B598-3D8D150E0A59}" name="SALES_2024" dataDxfId="12"/>
    <tableColumn id="25" xr3:uid="{40DC9B02-5272-437F-8ABB-527065E873DD}" name="SALES_2025" dataDxfId="11"/>
    <tableColumn id="26" xr3:uid="{C6BEB109-FB59-4CB2-8BF6-671CBF5C4703}" name="COMPANY_NETWORTH_CR" dataDxfId="10"/>
    <tableColumn id="27" xr3:uid="{1142F480-8C78-4AA8-AE99-B3A2EDC0D8D3}" name="MODEL_STATUS" dataDxfId="9"/>
  </tableColumns>
  <tableStyleInfo name="TableStyleDark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07EE2F-81AF-4205-ACD0-956D03F631F7}" name="Table4" displayName="Table4" ref="A1:AA201" totalsRowShown="0" headerRowDxfId="64" dataDxfId="65">
  <autoFilter ref="A1:AA201" xr:uid="{FA07EE2F-81AF-4205-ACD0-956D03F631F7}"/>
  <tableColumns count="27">
    <tableColumn id="1" xr3:uid="{9C753E27-4DBD-4506-8A24-52D45B9CFF4A}" name="S.No" dataDxfId="63"/>
    <tableColumn id="2" xr3:uid="{5DB8374B-5618-47DB-B0F7-18F48CE80A67}" name="CAR_BRAND" dataDxfId="62"/>
    <tableColumn id="3" xr3:uid="{45F2ED02-6FB0-4953-BCDB-54BE7C2F3BE9}" name="MODEL" dataDxfId="61"/>
    <tableColumn id="4" xr3:uid="{B7A8B928-DD27-459D-85D4-E4085644792D}" name="YEAR_OF_RELEASE" dataDxfId="60"/>
    <tableColumn id="5" xr3:uid="{FD69138F-B63D-4549-9137-F05D4C4A4D9F}" name="MILEAGE_KMPL" dataDxfId="59"/>
    <tableColumn id="6" xr3:uid="{169193D5-DFE2-40E4-A973-3FB575E6F6E3}" name="PRICE_Rs" dataDxfId="58"/>
    <tableColumn id="7" xr3:uid="{55065DCD-50EC-4320-B2E2-69B5763D21EE}" name="CC" dataDxfId="57"/>
    <tableColumn id="8" xr3:uid="{86A3F42F-67C9-4764-A48B-697BAC2D5CA2}" name="BODY_TYPE" dataDxfId="56"/>
    <tableColumn id="9" xr3:uid="{3468B4ED-1CC8-4EC8-8453-5DF43FAC4471}" name="ENGINE_TYPE" dataDxfId="55"/>
    <tableColumn id="10" xr3:uid="{25B82C5F-A5EF-4C49-8BEF-96F3F52E7338}" name="TRANSMISSION" dataDxfId="54"/>
    <tableColumn id="11" xr3:uid="{A04AEC8C-810A-4D2E-AD0C-81F09029AB73}" name="NCAP_RATING" dataDxfId="53"/>
    <tableColumn id="12" xr3:uid="{E3B996C6-5379-4FCC-B068-B25E83B44011}" name="SEATING_CAPACITY" dataDxfId="52"/>
    <tableColumn id="13" xr3:uid="{B204F5F7-81B3-4373-9DB5-2EFDF1421DA3}" name="USED_METAL_%" dataDxfId="51"/>
    <tableColumn id="14" xr3:uid="{01225E93-03E0-49FB-B893-854077ACA652}" name="SALES_2020" dataDxfId="50"/>
    <tableColumn id="15" xr3:uid="{CEDDA576-8DD7-4A1E-8463-EB92252E269D}" name="SALES_2021" dataDxfId="49"/>
    <tableColumn id="16" xr3:uid="{F9A6C1CA-CE6D-43F7-AB4C-2937B284A061}" name="SALES_2022" dataDxfId="48"/>
    <tableColumn id="17" xr3:uid="{55B9912F-5967-4C57-ABBD-97BD435C4D2E}" name="SALES_2023" dataDxfId="47"/>
    <tableColumn id="18" xr3:uid="{FA56C18A-37B2-436C-B92C-06D87F17FCEE}" name="SALES_2024" dataDxfId="46"/>
    <tableColumn id="19" xr3:uid="{8614A158-2C51-466E-827F-8EA8B9301E20}" name="SALES_2025" dataDxfId="45"/>
    <tableColumn id="20" xr3:uid="{32778859-5D0A-4FFF-8435-CD4F53F7F756}" name="SALES_OVERALL" dataDxfId="44"/>
    <tableColumn id="21" xr3:uid="{D7533510-4707-4E39-A120-8B704E3EB45A}" name="REVENUE_CR" dataDxfId="43"/>
    <tableColumn id="22" xr3:uid="{1FD8A0B2-EF67-4916-9C90-34C4E3D41B61}" name="NET_PROFIT_CR" dataDxfId="42"/>
    <tableColumn id="23" xr3:uid="{D3ECE77B-5248-44CC-A814-3A42C60A9D42}" name="PROFIT_MARGIN_%" dataDxfId="41"/>
    <tableColumn id="24" xr3:uid="{33303C55-9950-4059-9D5E-85ECD2D5412C}" name="STATE" dataDxfId="40"/>
    <tableColumn id="25" xr3:uid="{03904FFE-A70D-4772-A69E-71252253C006}" name="CITY" dataDxfId="39"/>
    <tableColumn id="26" xr3:uid="{47D41E1B-1715-44C4-8D91-0BCB37408845}" name="BRANCH_CODE" dataDxfId="38"/>
    <tableColumn id="27" xr3:uid="{DE94CB17-8613-4D69-9589-9DC9F38BABDB}" name="MODEL_STATUS" dataDxfId="3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3D56-254D-4334-BCE9-CF518C2696B6}">
  <sheetPr>
    <tabColor theme="9" tint="-0.249977111117893"/>
  </sheetPr>
  <dimension ref="A1:C16"/>
  <sheetViews>
    <sheetView tabSelected="1" zoomScale="154" workbookViewId="0">
      <selection activeCell="G13" sqref="G13"/>
    </sheetView>
  </sheetViews>
  <sheetFormatPr defaultRowHeight="15" x14ac:dyDescent="0.25"/>
  <cols>
    <col min="1" max="1" width="9.140625" style="46"/>
    <col min="2" max="2" width="23.140625" style="45" customWidth="1"/>
    <col min="3" max="3" width="20.140625" style="45" customWidth="1"/>
    <col min="4" max="16384" width="9.140625" style="45"/>
  </cols>
  <sheetData>
    <row r="1" spans="1:3" x14ac:dyDescent="0.25">
      <c r="A1" s="2" t="s">
        <v>0</v>
      </c>
      <c r="B1" s="3" t="s">
        <v>1</v>
      </c>
      <c r="C1" s="4" t="s">
        <v>2</v>
      </c>
    </row>
    <row r="2" spans="1:3" x14ac:dyDescent="0.25">
      <c r="A2" s="5">
        <v>1</v>
      </c>
      <c r="B2" s="6" t="s">
        <v>3</v>
      </c>
      <c r="C2" s="36" t="s">
        <v>506</v>
      </c>
    </row>
    <row r="3" spans="1:3" x14ac:dyDescent="0.25">
      <c r="A3" s="5">
        <v>2</v>
      </c>
      <c r="B3" s="6" t="s">
        <v>4</v>
      </c>
      <c r="C3" s="36" t="s">
        <v>674</v>
      </c>
    </row>
    <row r="4" spans="1:3" x14ac:dyDescent="0.25">
      <c r="A4" s="5">
        <v>3</v>
      </c>
      <c r="B4" s="6" t="s">
        <v>5</v>
      </c>
      <c r="C4" s="36" t="s">
        <v>968</v>
      </c>
    </row>
    <row r="5" spans="1:3" x14ac:dyDescent="0.25">
      <c r="A5" s="5">
        <v>4</v>
      </c>
      <c r="B5" s="6" t="s">
        <v>6</v>
      </c>
      <c r="C5" s="7"/>
    </row>
    <row r="6" spans="1:3" x14ac:dyDescent="0.25">
      <c r="A6" s="5">
        <v>5</v>
      </c>
      <c r="B6" s="6" t="s">
        <v>7</v>
      </c>
      <c r="C6" s="7"/>
    </row>
    <row r="7" spans="1:3" x14ac:dyDescent="0.25">
      <c r="A7" s="5">
        <v>6</v>
      </c>
      <c r="B7" s="6" t="s">
        <v>9</v>
      </c>
      <c r="C7" s="7"/>
    </row>
    <row r="8" spans="1:3" x14ac:dyDescent="0.25">
      <c r="A8" s="5">
        <v>7</v>
      </c>
      <c r="B8" s="6" t="s">
        <v>8</v>
      </c>
      <c r="C8" s="7"/>
    </row>
    <row r="9" spans="1:3" x14ac:dyDescent="0.25">
      <c r="A9" s="5">
        <v>8</v>
      </c>
      <c r="B9" s="6" t="s">
        <v>10</v>
      </c>
      <c r="C9" s="7"/>
    </row>
    <row r="10" spans="1:3" x14ac:dyDescent="0.25">
      <c r="A10" s="5">
        <v>9</v>
      </c>
      <c r="B10" s="6" t="s">
        <v>11</v>
      </c>
      <c r="C10" s="7"/>
    </row>
    <row r="11" spans="1:3" x14ac:dyDescent="0.25">
      <c r="A11" s="5">
        <v>10</v>
      </c>
      <c r="B11" s="6" t="s">
        <v>12</v>
      </c>
      <c r="C11" s="7"/>
    </row>
    <row r="12" spans="1:3" x14ac:dyDescent="0.25">
      <c r="A12" s="5">
        <v>11</v>
      </c>
      <c r="B12" s="6" t="s">
        <v>13</v>
      </c>
      <c r="C12" s="7"/>
    </row>
    <row r="13" spans="1:3" x14ac:dyDescent="0.25">
      <c r="A13" s="5">
        <v>12</v>
      </c>
      <c r="B13" s="6" t="s">
        <v>14</v>
      </c>
      <c r="C13" s="7"/>
    </row>
    <row r="14" spans="1:3" x14ac:dyDescent="0.25">
      <c r="A14" s="5">
        <v>13</v>
      </c>
      <c r="B14" s="6" t="s">
        <v>15</v>
      </c>
      <c r="C14" s="7"/>
    </row>
    <row r="15" spans="1:3" x14ac:dyDescent="0.25">
      <c r="A15" s="5">
        <v>14</v>
      </c>
      <c r="B15" s="6" t="s">
        <v>17</v>
      </c>
      <c r="C15" s="7"/>
    </row>
    <row r="16" spans="1:3" x14ac:dyDescent="0.25">
      <c r="A16" s="8">
        <v>15</v>
      </c>
      <c r="B16" s="9" t="s">
        <v>16</v>
      </c>
      <c r="C16" s="10"/>
    </row>
  </sheetData>
  <hyperlinks>
    <hyperlink ref="C2" location="Employees!A1" display="Employees!A1" xr:uid="{E81AEF14-F29C-42C6-B864-0234FDDB8097}"/>
    <hyperlink ref="C3" location="BIKES!A1" display="BIKES!A1" xr:uid="{4EBB3E31-A382-4226-926B-F64F4027FE82}"/>
    <hyperlink ref="C4" location="CARS!A1" display="CARS!A1" xr:uid="{8761D3E3-C5CC-484B-B829-06578388D65B}"/>
  </hyperlink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1518-C57C-4ADB-913E-FCAB08BA3487}">
  <sheetPr>
    <tabColor rgb="FF00B0F0"/>
  </sheetPr>
  <dimension ref="A1:AJ102"/>
  <sheetViews>
    <sheetView workbookViewId="0">
      <pane xSplit="1" topLeftCell="L1" activePane="topRight" state="frozen"/>
      <selection pane="topRight" activeCell="N27" sqref="N27"/>
    </sheetView>
  </sheetViews>
  <sheetFormatPr defaultRowHeight="15" x14ac:dyDescent="0.25"/>
  <cols>
    <col min="1" max="1" width="11.140625" customWidth="1"/>
    <col min="2" max="2" width="23.85546875" customWidth="1"/>
    <col min="3" max="3" width="20.140625" customWidth="1"/>
    <col min="4" max="4" width="17.28515625" customWidth="1"/>
    <col min="5" max="5" width="20.85546875" customWidth="1"/>
    <col min="6" max="6" width="14.5703125" customWidth="1"/>
    <col min="7" max="7" width="24.7109375" customWidth="1"/>
    <col min="8" max="8" width="25.28515625" customWidth="1"/>
    <col min="9" max="9" width="18.140625" customWidth="1"/>
    <col min="10" max="10" width="22.5703125" customWidth="1"/>
    <col min="11" max="11" width="39.28515625" customWidth="1"/>
    <col min="12" max="12" width="27.140625" customWidth="1"/>
    <col min="13" max="13" width="17" customWidth="1"/>
    <col min="14" max="14" width="24.85546875" customWidth="1"/>
    <col min="15" max="15" width="21.28515625" customWidth="1"/>
    <col min="16" max="16" width="14.85546875" customWidth="1"/>
    <col min="17" max="17" width="21.7109375" customWidth="1"/>
    <col min="18" max="18" width="23.85546875" customWidth="1"/>
    <col min="19" max="19" width="14.42578125" customWidth="1"/>
    <col min="20" max="20" width="19.140625" style="35" customWidth="1"/>
    <col min="21" max="21" width="30.7109375" customWidth="1"/>
    <col min="22" max="22" width="29.85546875" customWidth="1"/>
    <col min="23" max="23" width="22.85546875" customWidth="1"/>
    <col min="24" max="24" width="24.5703125" customWidth="1"/>
    <col min="25" max="25" width="31.7109375" style="11" customWidth="1"/>
    <col min="26" max="26" width="35.5703125" style="11" customWidth="1"/>
    <col min="27" max="27" width="21.85546875" style="11" customWidth="1"/>
    <col min="28" max="28" width="39" style="11" customWidth="1"/>
    <col min="29" max="29" width="19.85546875" customWidth="1"/>
    <col min="30" max="30" width="14.5703125" customWidth="1"/>
    <col min="31" max="31" width="23.85546875" customWidth="1"/>
    <col min="32" max="32" width="19.42578125" customWidth="1"/>
    <col min="33" max="33" width="15" customWidth="1"/>
    <col min="34" max="34" width="30.140625" customWidth="1"/>
    <col min="35" max="35" width="22.42578125" customWidth="1"/>
    <col min="36" max="36" width="23" customWidth="1"/>
  </cols>
  <sheetData>
    <row r="1" spans="1:36" s="1" customFormat="1" ht="25.5" x14ac:dyDescent="0.25">
      <c r="A1" s="27" t="s">
        <v>0</v>
      </c>
      <c r="B1" s="28" t="s">
        <v>41</v>
      </c>
      <c r="C1" s="28" t="s">
        <v>42</v>
      </c>
      <c r="D1" s="28" t="s">
        <v>43</v>
      </c>
      <c r="E1" s="28" t="s">
        <v>44</v>
      </c>
      <c r="F1" s="28" t="s">
        <v>18</v>
      </c>
      <c r="G1" s="28" t="s">
        <v>20</v>
      </c>
      <c r="H1" s="28" t="s">
        <v>21</v>
      </c>
      <c r="I1" s="28" t="s">
        <v>19</v>
      </c>
      <c r="J1" s="28" t="s">
        <v>22</v>
      </c>
      <c r="K1" s="28" t="s">
        <v>40</v>
      </c>
      <c r="L1" s="28" t="s">
        <v>45</v>
      </c>
      <c r="M1" s="28" t="s">
        <v>23</v>
      </c>
      <c r="N1" s="28" t="s">
        <v>24</v>
      </c>
      <c r="O1" s="28" t="s">
        <v>46</v>
      </c>
      <c r="P1" s="28" t="s">
        <v>47</v>
      </c>
      <c r="Q1" s="28" t="s">
        <v>48</v>
      </c>
      <c r="R1" s="28" t="s">
        <v>25</v>
      </c>
      <c r="S1" s="28" t="s">
        <v>26</v>
      </c>
      <c r="T1" s="31" t="s">
        <v>27</v>
      </c>
      <c r="U1" s="28" t="s">
        <v>28</v>
      </c>
      <c r="V1" s="28" t="s">
        <v>29</v>
      </c>
      <c r="W1" s="28" t="s">
        <v>30</v>
      </c>
      <c r="X1" s="28" t="s">
        <v>31</v>
      </c>
      <c r="Y1" s="29" t="s">
        <v>32</v>
      </c>
      <c r="Z1" s="29" t="s">
        <v>33</v>
      </c>
      <c r="AA1" s="29" t="s">
        <v>34</v>
      </c>
      <c r="AB1" s="29" t="s">
        <v>35</v>
      </c>
      <c r="AC1" s="28" t="s">
        <v>36</v>
      </c>
      <c r="AD1" s="28" t="s">
        <v>37</v>
      </c>
      <c r="AE1" s="28" t="s">
        <v>39</v>
      </c>
      <c r="AF1" s="28" t="s">
        <v>38</v>
      </c>
      <c r="AG1" s="28" t="s">
        <v>49</v>
      </c>
      <c r="AH1" s="28" t="s">
        <v>50</v>
      </c>
      <c r="AI1" s="28" t="s">
        <v>51</v>
      </c>
      <c r="AJ1" s="30" t="s">
        <v>52</v>
      </c>
    </row>
    <row r="2" spans="1:36" s="1" customFormat="1" x14ac:dyDescent="0.25">
      <c r="A2" s="13">
        <v>1</v>
      </c>
      <c r="B2" s="14" t="s">
        <v>53</v>
      </c>
      <c r="C2" s="15" t="s">
        <v>54</v>
      </c>
      <c r="D2" s="14" t="s">
        <v>55</v>
      </c>
      <c r="E2" s="14" t="s">
        <v>56</v>
      </c>
      <c r="F2" s="14">
        <v>476</v>
      </c>
      <c r="G2" s="14" t="s">
        <v>57</v>
      </c>
      <c r="H2" s="14" t="s">
        <v>58</v>
      </c>
      <c r="I2" s="14" t="s">
        <v>59</v>
      </c>
      <c r="J2" s="14" t="s">
        <v>60</v>
      </c>
      <c r="K2" s="14" t="str">
        <f>LOWER(G2&amp;"."&amp;I2&amp;"@"&amp;B2&amp;".com")</f>
        <v>parimi.shiva@bbtechhouse.com</v>
      </c>
      <c r="L2" s="14" t="s">
        <v>61</v>
      </c>
      <c r="M2" s="14">
        <v>28</v>
      </c>
      <c r="N2" s="16">
        <v>45962</v>
      </c>
      <c r="O2" s="14" t="s">
        <v>62</v>
      </c>
      <c r="P2" s="14" t="s">
        <v>63</v>
      </c>
      <c r="Q2" s="14">
        <v>1</v>
      </c>
      <c r="R2" s="14" t="s">
        <v>64</v>
      </c>
      <c r="S2" s="14" t="s">
        <v>65</v>
      </c>
      <c r="T2" s="32">
        <v>223366554411</v>
      </c>
      <c r="U2" s="14">
        <v>76000</v>
      </c>
      <c r="V2" s="14">
        <f>(U2*12)</f>
        <v>912000</v>
      </c>
      <c r="W2" s="14">
        <f>(V2*10%)</f>
        <v>91200</v>
      </c>
      <c r="X2" s="14" t="s">
        <v>66</v>
      </c>
      <c r="Y2" s="17" t="s">
        <v>67</v>
      </c>
      <c r="Z2" s="17" t="s">
        <v>64</v>
      </c>
      <c r="AA2" s="17" t="s">
        <v>68</v>
      </c>
      <c r="AB2" s="17">
        <v>7050000</v>
      </c>
      <c r="AC2" s="14">
        <v>8</v>
      </c>
      <c r="AD2" s="14">
        <v>28</v>
      </c>
      <c r="AE2" s="14">
        <v>30</v>
      </c>
      <c r="AF2" s="14">
        <v>25000</v>
      </c>
      <c r="AG2" s="14">
        <v>3.5</v>
      </c>
      <c r="AH2" s="14" t="s">
        <v>64</v>
      </c>
      <c r="AI2" s="16">
        <v>45962</v>
      </c>
      <c r="AJ2" s="18">
        <v>45962</v>
      </c>
    </row>
    <row r="3" spans="1:36" x14ac:dyDescent="0.25">
      <c r="A3" s="19">
        <v>2</v>
      </c>
      <c r="B3" s="20" t="s">
        <v>69</v>
      </c>
      <c r="C3" s="21" t="s">
        <v>54</v>
      </c>
      <c r="D3" s="20" t="s">
        <v>70</v>
      </c>
      <c r="E3" s="20" t="s">
        <v>71</v>
      </c>
      <c r="F3" s="20">
        <v>328</v>
      </c>
      <c r="G3" s="20" t="s">
        <v>72</v>
      </c>
      <c r="H3" s="20" t="s">
        <v>73</v>
      </c>
      <c r="I3" s="20" t="s">
        <v>74</v>
      </c>
      <c r="J3" s="20" t="s">
        <v>75</v>
      </c>
      <c r="K3" s="20" t="s">
        <v>76</v>
      </c>
      <c r="L3" s="20" t="s">
        <v>77</v>
      </c>
      <c r="M3" s="20">
        <v>24</v>
      </c>
      <c r="N3" s="20" t="s">
        <v>78</v>
      </c>
      <c r="O3" s="20" t="s">
        <v>79</v>
      </c>
      <c r="P3" s="20" t="s">
        <v>63</v>
      </c>
      <c r="Q3" s="20">
        <v>1.2</v>
      </c>
      <c r="R3" s="20" t="s">
        <v>64</v>
      </c>
      <c r="S3" s="20" t="s">
        <v>80</v>
      </c>
      <c r="T3" s="33">
        <v>336625619290</v>
      </c>
      <c r="U3" s="20">
        <v>55247</v>
      </c>
      <c r="V3" s="20">
        <v>662964</v>
      </c>
      <c r="W3" s="20">
        <v>66296</v>
      </c>
      <c r="X3" s="20" t="s">
        <v>81</v>
      </c>
      <c r="Y3" s="20" t="s">
        <v>64</v>
      </c>
      <c r="Z3" s="20" t="s">
        <v>67</v>
      </c>
      <c r="AA3" s="20" t="s">
        <v>82</v>
      </c>
      <c r="AB3" s="20">
        <v>6292914</v>
      </c>
      <c r="AC3" s="20">
        <v>7.7</v>
      </c>
      <c r="AD3" s="20">
        <v>20</v>
      </c>
      <c r="AE3" s="20">
        <v>19</v>
      </c>
      <c r="AF3" s="20">
        <v>24876</v>
      </c>
      <c r="AG3" s="20">
        <v>3.6</v>
      </c>
      <c r="AH3" s="20" t="s">
        <v>67</v>
      </c>
      <c r="AI3" s="20" t="s">
        <v>78</v>
      </c>
      <c r="AJ3" s="22" t="s">
        <v>83</v>
      </c>
    </row>
    <row r="4" spans="1:36" x14ac:dyDescent="0.25">
      <c r="A4" s="19">
        <v>3</v>
      </c>
      <c r="B4" s="23" t="s">
        <v>84</v>
      </c>
      <c r="C4" s="20" t="s">
        <v>85</v>
      </c>
      <c r="D4" s="20" t="s">
        <v>86</v>
      </c>
      <c r="E4" s="20" t="s">
        <v>87</v>
      </c>
      <c r="F4" s="20">
        <v>194</v>
      </c>
      <c r="G4" s="20" t="s">
        <v>88</v>
      </c>
      <c r="H4" s="20" t="s">
        <v>89</v>
      </c>
      <c r="I4" s="20" t="s">
        <v>90</v>
      </c>
      <c r="J4" s="20" t="s">
        <v>91</v>
      </c>
      <c r="K4" s="20" t="s">
        <v>92</v>
      </c>
      <c r="L4" s="20" t="s">
        <v>93</v>
      </c>
      <c r="M4" s="20">
        <v>41</v>
      </c>
      <c r="N4" s="20" t="s">
        <v>94</v>
      </c>
      <c r="O4" s="20" t="s">
        <v>62</v>
      </c>
      <c r="P4" s="20" t="s">
        <v>63</v>
      </c>
      <c r="Q4" s="20">
        <v>4.9000000000000004</v>
      </c>
      <c r="R4" s="20" t="s">
        <v>67</v>
      </c>
      <c r="S4" s="20" t="s">
        <v>95</v>
      </c>
      <c r="T4" s="33">
        <v>516278088865</v>
      </c>
      <c r="U4" s="20">
        <v>16291</v>
      </c>
      <c r="V4" s="20">
        <v>195492</v>
      </c>
      <c r="W4" s="20">
        <v>19549</v>
      </c>
      <c r="X4" s="20" t="s">
        <v>96</v>
      </c>
      <c r="Y4" s="20" t="s">
        <v>67</v>
      </c>
      <c r="Z4" s="20" t="s">
        <v>64</v>
      </c>
      <c r="AA4" s="20" t="s">
        <v>97</v>
      </c>
      <c r="AB4" s="20">
        <v>1067043</v>
      </c>
      <c r="AC4" s="20">
        <v>6.9</v>
      </c>
      <c r="AD4" s="20">
        <v>24</v>
      </c>
      <c r="AE4" s="20">
        <v>24</v>
      </c>
      <c r="AF4" s="20">
        <v>9628</v>
      </c>
      <c r="AG4" s="20">
        <v>4.7</v>
      </c>
      <c r="AH4" s="20" t="s">
        <v>67</v>
      </c>
      <c r="AI4" s="20" t="s">
        <v>94</v>
      </c>
      <c r="AJ4" s="22" t="s">
        <v>83</v>
      </c>
    </row>
    <row r="5" spans="1:36" x14ac:dyDescent="0.25">
      <c r="A5" s="13">
        <v>4</v>
      </c>
      <c r="B5" s="21" t="s">
        <v>98</v>
      </c>
      <c r="C5" s="20" t="s">
        <v>99</v>
      </c>
      <c r="D5" s="20" t="s">
        <v>86</v>
      </c>
      <c r="E5" s="20" t="s">
        <v>100</v>
      </c>
      <c r="F5" s="20">
        <v>479</v>
      </c>
      <c r="G5" s="20" t="s">
        <v>101</v>
      </c>
      <c r="H5" s="20" t="s">
        <v>102</v>
      </c>
      <c r="I5" s="20" t="s">
        <v>103</v>
      </c>
      <c r="J5" s="20" t="s">
        <v>104</v>
      </c>
      <c r="K5" s="20" t="s">
        <v>105</v>
      </c>
      <c r="L5" s="20" t="s">
        <v>106</v>
      </c>
      <c r="M5" s="20">
        <v>41</v>
      </c>
      <c r="N5" s="20" t="s">
        <v>107</v>
      </c>
      <c r="O5" s="20" t="s">
        <v>108</v>
      </c>
      <c r="P5" s="20" t="s">
        <v>63</v>
      </c>
      <c r="Q5" s="20">
        <v>5.9</v>
      </c>
      <c r="R5" s="20" t="s">
        <v>64</v>
      </c>
      <c r="S5" s="20" t="s">
        <v>80</v>
      </c>
      <c r="T5" s="33">
        <v>518597220210</v>
      </c>
      <c r="U5" s="20">
        <v>105382</v>
      </c>
      <c r="V5" s="20">
        <v>1264584</v>
      </c>
      <c r="W5" s="20">
        <v>126458</v>
      </c>
      <c r="X5" s="20" t="s">
        <v>109</v>
      </c>
      <c r="Y5" s="20" t="s">
        <v>67</v>
      </c>
      <c r="Z5" s="20" t="s">
        <v>64</v>
      </c>
      <c r="AA5" s="20" t="s">
        <v>82</v>
      </c>
      <c r="AB5" s="20">
        <v>16715304</v>
      </c>
      <c r="AC5" s="20">
        <v>16.7</v>
      </c>
      <c r="AD5" s="20">
        <v>26</v>
      </c>
      <c r="AE5" s="20">
        <v>24</v>
      </c>
      <c r="AF5" s="20">
        <v>4168</v>
      </c>
      <c r="AG5" s="20">
        <v>3</v>
      </c>
      <c r="AH5" s="20" t="s">
        <v>67</v>
      </c>
      <c r="AI5" s="20" t="s">
        <v>107</v>
      </c>
      <c r="AJ5" s="22" t="s">
        <v>83</v>
      </c>
    </row>
    <row r="6" spans="1:36" x14ac:dyDescent="0.25">
      <c r="A6" s="19">
        <v>5</v>
      </c>
      <c r="B6" s="20" t="s">
        <v>110</v>
      </c>
      <c r="C6" s="20" t="s">
        <v>99</v>
      </c>
      <c r="D6" s="20" t="s">
        <v>111</v>
      </c>
      <c r="E6" s="20" t="s">
        <v>112</v>
      </c>
      <c r="F6" s="20">
        <v>246</v>
      </c>
      <c r="G6" s="20" t="s">
        <v>113</v>
      </c>
      <c r="H6" s="20" t="s">
        <v>114</v>
      </c>
      <c r="I6" s="20" t="s">
        <v>115</v>
      </c>
      <c r="J6" s="20" t="s">
        <v>116</v>
      </c>
      <c r="K6" s="20" t="s">
        <v>117</v>
      </c>
      <c r="L6" s="20" t="s">
        <v>77</v>
      </c>
      <c r="M6" s="20">
        <v>39</v>
      </c>
      <c r="N6" s="20" t="s">
        <v>118</v>
      </c>
      <c r="O6" s="20" t="s">
        <v>108</v>
      </c>
      <c r="P6" s="20" t="s">
        <v>63</v>
      </c>
      <c r="Q6" s="20">
        <v>4.9000000000000004</v>
      </c>
      <c r="R6" s="20" t="s">
        <v>67</v>
      </c>
      <c r="S6" s="20" t="s">
        <v>95</v>
      </c>
      <c r="T6" s="33">
        <v>496852403351</v>
      </c>
      <c r="U6" s="20">
        <v>98746</v>
      </c>
      <c r="V6" s="20">
        <v>1184952</v>
      </c>
      <c r="W6" s="20">
        <v>118495</v>
      </c>
      <c r="X6" s="20" t="s">
        <v>109</v>
      </c>
      <c r="Y6" s="20" t="s">
        <v>67</v>
      </c>
      <c r="Z6" s="20" t="s">
        <v>64</v>
      </c>
      <c r="AA6" s="20" t="s">
        <v>68</v>
      </c>
      <c r="AB6" s="20">
        <v>16128416</v>
      </c>
      <c r="AC6" s="20">
        <v>5.6</v>
      </c>
      <c r="AD6" s="20">
        <v>22</v>
      </c>
      <c r="AE6" s="20">
        <v>17</v>
      </c>
      <c r="AF6" s="20">
        <v>15833</v>
      </c>
      <c r="AG6" s="20">
        <v>4</v>
      </c>
      <c r="AH6" s="20" t="s">
        <v>67</v>
      </c>
      <c r="AI6" s="20" t="s">
        <v>118</v>
      </c>
      <c r="AJ6" s="22" t="s">
        <v>83</v>
      </c>
    </row>
    <row r="7" spans="1:36" x14ac:dyDescent="0.25">
      <c r="A7" s="19">
        <v>6</v>
      </c>
      <c r="B7" s="20" t="s">
        <v>119</v>
      </c>
      <c r="C7" s="20" t="s">
        <v>120</v>
      </c>
      <c r="D7" s="20" t="s">
        <v>121</v>
      </c>
      <c r="E7" s="20" t="s">
        <v>122</v>
      </c>
      <c r="F7" s="20">
        <v>357</v>
      </c>
      <c r="G7" s="20" t="s">
        <v>123</v>
      </c>
      <c r="H7" s="20" t="s">
        <v>124</v>
      </c>
      <c r="I7" s="20" t="s">
        <v>125</v>
      </c>
      <c r="J7" s="20" t="s">
        <v>75</v>
      </c>
      <c r="K7" s="20" t="s">
        <v>126</v>
      </c>
      <c r="L7" s="20" t="s">
        <v>77</v>
      </c>
      <c r="M7" s="20">
        <v>46</v>
      </c>
      <c r="N7" s="20" t="s">
        <v>127</v>
      </c>
      <c r="O7" s="20" t="s">
        <v>108</v>
      </c>
      <c r="P7" s="20" t="s">
        <v>63</v>
      </c>
      <c r="Q7" s="20">
        <v>4.9000000000000004</v>
      </c>
      <c r="R7" s="20" t="s">
        <v>67</v>
      </c>
      <c r="S7" s="20" t="s">
        <v>80</v>
      </c>
      <c r="T7" s="33">
        <v>578001943304</v>
      </c>
      <c r="U7" s="20">
        <v>90730</v>
      </c>
      <c r="V7" s="20">
        <v>1088760</v>
      </c>
      <c r="W7" s="20">
        <v>108876</v>
      </c>
      <c r="X7" s="20" t="s">
        <v>79</v>
      </c>
      <c r="Y7" s="20" t="s">
        <v>64</v>
      </c>
      <c r="Z7" s="20" t="s">
        <v>67</v>
      </c>
      <c r="AA7" s="20" t="s">
        <v>128</v>
      </c>
      <c r="AB7" s="20">
        <v>10971235</v>
      </c>
      <c r="AC7" s="20">
        <v>4.8</v>
      </c>
      <c r="AD7" s="20">
        <v>30</v>
      </c>
      <c r="AE7" s="20">
        <v>28</v>
      </c>
      <c r="AF7" s="20">
        <v>22937</v>
      </c>
      <c r="AG7" s="20">
        <v>3.8</v>
      </c>
      <c r="AH7" s="20" t="s">
        <v>64</v>
      </c>
      <c r="AI7" s="20" t="s">
        <v>127</v>
      </c>
      <c r="AJ7" s="22" t="s">
        <v>83</v>
      </c>
    </row>
    <row r="8" spans="1:36" x14ac:dyDescent="0.25">
      <c r="A8" s="13">
        <v>7</v>
      </c>
      <c r="B8" s="20" t="s">
        <v>84</v>
      </c>
      <c r="C8" s="20" t="s">
        <v>129</v>
      </c>
      <c r="D8" s="20" t="s">
        <v>130</v>
      </c>
      <c r="E8" s="20" t="s">
        <v>131</v>
      </c>
      <c r="F8" s="20">
        <v>897</v>
      </c>
      <c r="G8" s="20" t="s">
        <v>132</v>
      </c>
      <c r="H8" s="20" t="s">
        <v>124</v>
      </c>
      <c r="I8" s="20" t="s">
        <v>133</v>
      </c>
      <c r="J8" s="20" t="s">
        <v>134</v>
      </c>
      <c r="K8" s="20" t="s">
        <v>135</v>
      </c>
      <c r="L8" s="20" t="s">
        <v>93</v>
      </c>
      <c r="M8" s="20">
        <v>37</v>
      </c>
      <c r="N8" s="20" t="s">
        <v>136</v>
      </c>
      <c r="O8" s="20" t="s">
        <v>62</v>
      </c>
      <c r="P8" s="20" t="s">
        <v>63</v>
      </c>
      <c r="Q8" s="20">
        <v>7.6</v>
      </c>
      <c r="R8" s="20" t="s">
        <v>67</v>
      </c>
      <c r="S8" s="20" t="s">
        <v>137</v>
      </c>
      <c r="T8" s="33">
        <v>161157982007</v>
      </c>
      <c r="U8" s="20">
        <v>18946</v>
      </c>
      <c r="V8" s="20">
        <v>227352</v>
      </c>
      <c r="W8" s="20">
        <v>22735</v>
      </c>
      <c r="X8" s="20" t="s">
        <v>81</v>
      </c>
      <c r="Y8" s="20" t="s">
        <v>64</v>
      </c>
      <c r="Z8" s="20" t="s">
        <v>67</v>
      </c>
      <c r="AA8" s="20" t="s">
        <v>97</v>
      </c>
      <c r="AB8" s="20">
        <v>3360227</v>
      </c>
      <c r="AC8" s="20">
        <v>12.1</v>
      </c>
      <c r="AD8" s="20">
        <v>22</v>
      </c>
      <c r="AE8" s="20">
        <v>21</v>
      </c>
      <c r="AF8" s="20">
        <v>23618</v>
      </c>
      <c r="AG8" s="20">
        <v>3.7</v>
      </c>
      <c r="AH8" s="20" t="s">
        <v>64</v>
      </c>
      <c r="AI8" s="20" t="s">
        <v>136</v>
      </c>
      <c r="AJ8" s="22" t="s">
        <v>83</v>
      </c>
    </row>
    <row r="9" spans="1:36" x14ac:dyDescent="0.25">
      <c r="A9" s="19">
        <v>8</v>
      </c>
      <c r="B9" s="20" t="s">
        <v>98</v>
      </c>
      <c r="C9" s="20" t="s">
        <v>138</v>
      </c>
      <c r="D9" s="20" t="s">
        <v>139</v>
      </c>
      <c r="E9" s="20" t="s">
        <v>140</v>
      </c>
      <c r="F9" s="20">
        <v>316</v>
      </c>
      <c r="G9" s="20" t="s">
        <v>123</v>
      </c>
      <c r="H9" s="20" t="s">
        <v>73</v>
      </c>
      <c r="I9" s="20" t="s">
        <v>141</v>
      </c>
      <c r="J9" s="20" t="s">
        <v>116</v>
      </c>
      <c r="K9" s="20" t="s">
        <v>142</v>
      </c>
      <c r="L9" s="20" t="s">
        <v>143</v>
      </c>
      <c r="M9" s="20">
        <v>34</v>
      </c>
      <c r="N9" s="20" t="s">
        <v>144</v>
      </c>
      <c r="O9" s="20" t="s">
        <v>79</v>
      </c>
      <c r="P9" s="20" t="s">
        <v>63</v>
      </c>
      <c r="Q9" s="20">
        <v>3.7</v>
      </c>
      <c r="R9" s="20" t="s">
        <v>67</v>
      </c>
      <c r="S9" s="20" t="s">
        <v>80</v>
      </c>
      <c r="T9" s="33">
        <v>345877882397</v>
      </c>
      <c r="U9" s="20">
        <v>44196</v>
      </c>
      <c r="V9" s="20">
        <v>530352</v>
      </c>
      <c r="W9" s="20">
        <v>53035</v>
      </c>
      <c r="X9" s="20" t="s">
        <v>96</v>
      </c>
      <c r="Y9" s="20" t="s">
        <v>64</v>
      </c>
      <c r="Z9" s="20" t="s">
        <v>64</v>
      </c>
      <c r="AA9" s="20" t="s">
        <v>82</v>
      </c>
      <c r="AB9" s="20">
        <v>2689896</v>
      </c>
      <c r="AC9" s="20">
        <v>15</v>
      </c>
      <c r="AD9" s="20">
        <v>20</v>
      </c>
      <c r="AE9" s="20">
        <v>19</v>
      </c>
      <c r="AF9" s="20">
        <v>4208</v>
      </c>
      <c r="AG9" s="20">
        <v>4.8</v>
      </c>
      <c r="AH9" s="20" t="s">
        <v>67</v>
      </c>
      <c r="AI9" s="20" t="s">
        <v>144</v>
      </c>
      <c r="AJ9" s="22" t="s">
        <v>83</v>
      </c>
    </row>
    <row r="10" spans="1:36" x14ac:dyDescent="0.25">
      <c r="A10" s="19">
        <v>9</v>
      </c>
      <c r="B10" s="20" t="s">
        <v>69</v>
      </c>
      <c r="C10" s="20" t="s">
        <v>138</v>
      </c>
      <c r="D10" s="20" t="s">
        <v>145</v>
      </c>
      <c r="E10" s="20" t="s">
        <v>146</v>
      </c>
      <c r="F10" s="20">
        <v>785</v>
      </c>
      <c r="G10" s="20" t="s">
        <v>147</v>
      </c>
      <c r="H10" s="20" t="s">
        <v>102</v>
      </c>
      <c r="I10" s="20" t="s">
        <v>148</v>
      </c>
      <c r="J10" s="20" t="s">
        <v>149</v>
      </c>
      <c r="K10" s="20" t="s">
        <v>150</v>
      </c>
      <c r="L10" s="20" t="s">
        <v>151</v>
      </c>
      <c r="M10" s="20">
        <v>45</v>
      </c>
      <c r="N10" s="20" t="s">
        <v>152</v>
      </c>
      <c r="O10" s="20" t="s">
        <v>108</v>
      </c>
      <c r="P10" s="20" t="s">
        <v>63</v>
      </c>
      <c r="Q10" s="20">
        <v>1.4</v>
      </c>
      <c r="R10" s="20" t="s">
        <v>67</v>
      </c>
      <c r="S10" s="20" t="s">
        <v>80</v>
      </c>
      <c r="T10" s="33">
        <v>623060957599</v>
      </c>
      <c r="U10" s="20">
        <v>123354</v>
      </c>
      <c r="V10" s="20">
        <v>1480248</v>
      </c>
      <c r="W10" s="20">
        <v>148024</v>
      </c>
      <c r="X10" s="20" t="s">
        <v>109</v>
      </c>
      <c r="Y10" s="20" t="s">
        <v>64</v>
      </c>
      <c r="Z10" s="20" t="s">
        <v>64</v>
      </c>
      <c r="AA10" s="20" t="s">
        <v>153</v>
      </c>
      <c r="AB10" s="20">
        <v>12645722</v>
      </c>
      <c r="AC10" s="20">
        <v>10</v>
      </c>
      <c r="AD10" s="20">
        <v>20</v>
      </c>
      <c r="AE10" s="20">
        <v>15</v>
      </c>
      <c r="AF10" s="20">
        <v>23412</v>
      </c>
      <c r="AG10" s="20">
        <v>5</v>
      </c>
      <c r="AH10" s="20" t="s">
        <v>64</v>
      </c>
      <c r="AI10" s="20" t="s">
        <v>152</v>
      </c>
      <c r="AJ10" s="22" t="s">
        <v>83</v>
      </c>
    </row>
    <row r="11" spans="1:36" x14ac:dyDescent="0.25">
      <c r="A11" s="13">
        <v>10</v>
      </c>
      <c r="B11" s="20" t="s">
        <v>53</v>
      </c>
      <c r="C11" s="20" t="s">
        <v>154</v>
      </c>
      <c r="D11" s="20" t="s">
        <v>86</v>
      </c>
      <c r="E11" s="20" t="s">
        <v>87</v>
      </c>
      <c r="F11" s="20">
        <v>354</v>
      </c>
      <c r="G11" s="20" t="s">
        <v>155</v>
      </c>
      <c r="H11" s="20" t="s">
        <v>102</v>
      </c>
      <c r="I11" s="20" t="s">
        <v>156</v>
      </c>
      <c r="J11" s="20" t="s">
        <v>149</v>
      </c>
      <c r="K11" s="20" t="s">
        <v>157</v>
      </c>
      <c r="L11" s="20" t="s">
        <v>158</v>
      </c>
      <c r="M11" s="20">
        <v>26</v>
      </c>
      <c r="N11" s="20" t="s">
        <v>159</v>
      </c>
      <c r="O11" s="20" t="s">
        <v>62</v>
      </c>
      <c r="P11" s="20" t="s">
        <v>63</v>
      </c>
      <c r="Q11" s="20">
        <v>3.1</v>
      </c>
      <c r="R11" s="20" t="s">
        <v>67</v>
      </c>
      <c r="S11" s="20" t="s">
        <v>137</v>
      </c>
      <c r="T11" s="33">
        <v>185569774204</v>
      </c>
      <c r="U11" s="20">
        <v>22260</v>
      </c>
      <c r="V11" s="20">
        <v>267120</v>
      </c>
      <c r="W11" s="20">
        <v>26712</v>
      </c>
      <c r="X11" s="20" t="s">
        <v>81</v>
      </c>
      <c r="Y11" s="20" t="s">
        <v>64</v>
      </c>
      <c r="Z11" s="20" t="s">
        <v>64</v>
      </c>
      <c r="AA11" s="20" t="s">
        <v>97</v>
      </c>
      <c r="AB11" s="20">
        <v>3810111</v>
      </c>
      <c r="AC11" s="20">
        <v>17.399999999999999</v>
      </c>
      <c r="AD11" s="20">
        <v>22</v>
      </c>
      <c r="AE11" s="20">
        <v>19</v>
      </c>
      <c r="AF11" s="20">
        <v>17913</v>
      </c>
      <c r="AG11" s="20">
        <v>3.7</v>
      </c>
      <c r="AH11" s="20" t="s">
        <v>67</v>
      </c>
      <c r="AI11" s="20" t="s">
        <v>159</v>
      </c>
      <c r="AJ11" s="22" t="s">
        <v>83</v>
      </c>
    </row>
    <row r="12" spans="1:36" x14ac:dyDescent="0.25">
      <c r="A12" s="19">
        <v>11</v>
      </c>
      <c r="B12" s="20" t="s">
        <v>53</v>
      </c>
      <c r="C12" s="20" t="s">
        <v>160</v>
      </c>
      <c r="D12" s="20" t="s">
        <v>111</v>
      </c>
      <c r="E12" s="20" t="s">
        <v>161</v>
      </c>
      <c r="F12" s="20">
        <v>499</v>
      </c>
      <c r="G12" s="20" t="s">
        <v>113</v>
      </c>
      <c r="H12" s="20" t="s">
        <v>162</v>
      </c>
      <c r="I12" s="20" t="s">
        <v>163</v>
      </c>
      <c r="J12" s="20" t="s">
        <v>104</v>
      </c>
      <c r="K12" s="20" t="s">
        <v>164</v>
      </c>
      <c r="L12" s="20" t="s">
        <v>165</v>
      </c>
      <c r="M12" s="20">
        <v>44</v>
      </c>
      <c r="N12" s="20" t="s">
        <v>166</v>
      </c>
      <c r="O12" s="20" t="s">
        <v>108</v>
      </c>
      <c r="P12" s="20" t="s">
        <v>63</v>
      </c>
      <c r="Q12" s="20">
        <v>1.6</v>
      </c>
      <c r="R12" s="20" t="s">
        <v>67</v>
      </c>
      <c r="S12" s="20" t="s">
        <v>80</v>
      </c>
      <c r="T12" s="33">
        <v>422938152332</v>
      </c>
      <c r="U12" s="20">
        <v>98534</v>
      </c>
      <c r="V12" s="20">
        <v>1182408</v>
      </c>
      <c r="W12" s="20">
        <v>118240</v>
      </c>
      <c r="X12" s="20" t="s">
        <v>81</v>
      </c>
      <c r="Y12" s="20" t="s">
        <v>64</v>
      </c>
      <c r="Z12" s="20" t="s">
        <v>67</v>
      </c>
      <c r="AA12" s="20" t="s">
        <v>68</v>
      </c>
      <c r="AB12" s="20">
        <v>6504927</v>
      </c>
      <c r="AC12" s="20">
        <v>11.1</v>
      </c>
      <c r="AD12" s="20">
        <v>28</v>
      </c>
      <c r="AE12" s="20">
        <v>27</v>
      </c>
      <c r="AF12" s="20">
        <v>3863</v>
      </c>
      <c r="AG12" s="20">
        <v>4.9000000000000004</v>
      </c>
      <c r="AH12" s="20" t="s">
        <v>64</v>
      </c>
      <c r="AI12" s="20" t="s">
        <v>166</v>
      </c>
      <c r="AJ12" s="22" t="s">
        <v>83</v>
      </c>
    </row>
    <row r="13" spans="1:36" x14ac:dyDescent="0.25">
      <c r="A13" s="19">
        <v>12</v>
      </c>
      <c r="B13" s="20" t="s">
        <v>84</v>
      </c>
      <c r="C13" s="20" t="s">
        <v>167</v>
      </c>
      <c r="D13" s="20" t="s">
        <v>139</v>
      </c>
      <c r="E13" s="20" t="s">
        <v>168</v>
      </c>
      <c r="F13" s="20">
        <v>791</v>
      </c>
      <c r="G13" s="20" t="s">
        <v>169</v>
      </c>
      <c r="H13" s="20" t="s">
        <v>170</v>
      </c>
      <c r="I13" s="20" t="s">
        <v>171</v>
      </c>
      <c r="J13" s="20" t="s">
        <v>75</v>
      </c>
      <c r="K13" s="20" t="s">
        <v>172</v>
      </c>
      <c r="L13" s="20" t="s">
        <v>173</v>
      </c>
      <c r="M13" s="20">
        <v>29</v>
      </c>
      <c r="N13" s="20" t="s">
        <v>174</v>
      </c>
      <c r="O13" s="20" t="s">
        <v>108</v>
      </c>
      <c r="P13" s="20" t="s">
        <v>63</v>
      </c>
      <c r="Q13" s="20">
        <v>1.4</v>
      </c>
      <c r="R13" s="20" t="s">
        <v>64</v>
      </c>
      <c r="S13" s="20" t="s">
        <v>95</v>
      </c>
      <c r="T13" s="33">
        <v>559913616724</v>
      </c>
      <c r="U13" s="20">
        <v>146503</v>
      </c>
      <c r="V13" s="20">
        <v>1758036</v>
      </c>
      <c r="W13" s="20">
        <v>175803</v>
      </c>
      <c r="X13" s="20" t="s">
        <v>96</v>
      </c>
      <c r="Y13" s="20" t="s">
        <v>67</v>
      </c>
      <c r="Z13" s="20" t="s">
        <v>64</v>
      </c>
      <c r="AA13" s="20" t="s">
        <v>175</v>
      </c>
      <c r="AB13" s="20">
        <v>12986364</v>
      </c>
      <c r="AC13" s="20">
        <v>9.6999999999999993</v>
      </c>
      <c r="AD13" s="20">
        <v>30</v>
      </c>
      <c r="AE13" s="20">
        <v>25</v>
      </c>
      <c r="AF13" s="20">
        <v>11830</v>
      </c>
      <c r="AG13" s="20">
        <v>3.6</v>
      </c>
      <c r="AH13" s="20" t="s">
        <v>64</v>
      </c>
      <c r="AI13" s="20" t="s">
        <v>174</v>
      </c>
      <c r="AJ13" s="22" t="s">
        <v>83</v>
      </c>
    </row>
    <row r="14" spans="1:36" x14ac:dyDescent="0.25">
      <c r="A14" s="13">
        <v>13</v>
      </c>
      <c r="B14" s="20" t="s">
        <v>53</v>
      </c>
      <c r="C14" s="20" t="s">
        <v>99</v>
      </c>
      <c r="D14" s="20" t="s">
        <v>139</v>
      </c>
      <c r="E14" s="20" t="s">
        <v>176</v>
      </c>
      <c r="F14" s="20">
        <v>202</v>
      </c>
      <c r="G14" s="20" t="s">
        <v>177</v>
      </c>
      <c r="H14" s="20" t="s">
        <v>178</v>
      </c>
      <c r="I14" s="20" t="s">
        <v>179</v>
      </c>
      <c r="J14" s="20" t="s">
        <v>116</v>
      </c>
      <c r="K14" s="20" t="s">
        <v>180</v>
      </c>
      <c r="L14" s="20" t="s">
        <v>77</v>
      </c>
      <c r="M14" s="20">
        <v>30</v>
      </c>
      <c r="N14" s="20" t="s">
        <v>181</v>
      </c>
      <c r="O14" s="20" t="s">
        <v>79</v>
      </c>
      <c r="P14" s="20" t="s">
        <v>63</v>
      </c>
      <c r="Q14" s="20">
        <v>6.4</v>
      </c>
      <c r="R14" s="20" t="s">
        <v>64</v>
      </c>
      <c r="S14" s="20" t="s">
        <v>80</v>
      </c>
      <c r="T14" s="33">
        <v>410824752082</v>
      </c>
      <c r="U14" s="20">
        <v>50338</v>
      </c>
      <c r="V14" s="20">
        <v>604056</v>
      </c>
      <c r="W14" s="20">
        <v>60405</v>
      </c>
      <c r="X14" s="20" t="s">
        <v>79</v>
      </c>
      <c r="Y14" s="20" t="s">
        <v>67</v>
      </c>
      <c r="Z14" s="20" t="s">
        <v>64</v>
      </c>
      <c r="AA14" s="20" t="s">
        <v>182</v>
      </c>
      <c r="AB14" s="20">
        <v>8648608</v>
      </c>
      <c r="AC14" s="20">
        <v>4.8</v>
      </c>
      <c r="AD14" s="20">
        <v>22</v>
      </c>
      <c r="AE14" s="20">
        <v>20</v>
      </c>
      <c r="AF14" s="20">
        <v>5782</v>
      </c>
      <c r="AG14" s="20">
        <v>4.7</v>
      </c>
      <c r="AH14" s="20" t="s">
        <v>64</v>
      </c>
      <c r="AI14" s="20" t="s">
        <v>181</v>
      </c>
      <c r="AJ14" s="22" t="s">
        <v>83</v>
      </c>
    </row>
    <row r="15" spans="1:36" x14ac:dyDescent="0.25">
      <c r="A15" s="19">
        <v>14</v>
      </c>
      <c r="B15" s="20" t="s">
        <v>98</v>
      </c>
      <c r="C15" s="20" t="s">
        <v>183</v>
      </c>
      <c r="D15" s="20" t="s">
        <v>139</v>
      </c>
      <c r="E15" s="20" t="s">
        <v>184</v>
      </c>
      <c r="F15" s="20">
        <v>834</v>
      </c>
      <c r="G15" s="20" t="s">
        <v>185</v>
      </c>
      <c r="H15" s="20" t="s">
        <v>102</v>
      </c>
      <c r="I15" s="20" t="s">
        <v>186</v>
      </c>
      <c r="J15" s="20" t="s">
        <v>104</v>
      </c>
      <c r="K15" s="20" t="s">
        <v>187</v>
      </c>
      <c r="L15" s="20" t="s">
        <v>77</v>
      </c>
      <c r="M15" s="20">
        <v>37</v>
      </c>
      <c r="N15" s="20" t="s">
        <v>188</v>
      </c>
      <c r="O15" s="20" t="s">
        <v>62</v>
      </c>
      <c r="P15" s="20" t="s">
        <v>63</v>
      </c>
      <c r="Q15" s="20">
        <v>5</v>
      </c>
      <c r="R15" s="20" t="s">
        <v>64</v>
      </c>
      <c r="S15" s="20" t="s">
        <v>95</v>
      </c>
      <c r="T15" s="33">
        <v>148432972787</v>
      </c>
      <c r="U15" s="20">
        <v>15058</v>
      </c>
      <c r="V15" s="20">
        <v>180696</v>
      </c>
      <c r="W15" s="20">
        <v>18069</v>
      </c>
      <c r="X15" s="20" t="s">
        <v>96</v>
      </c>
      <c r="Y15" s="20" t="s">
        <v>64</v>
      </c>
      <c r="Z15" s="20" t="s">
        <v>67</v>
      </c>
      <c r="AA15" s="20" t="s">
        <v>128</v>
      </c>
      <c r="AB15" s="20">
        <v>2242854</v>
      </c>
      <c r="AC15" s="20">
        <v>12.4</v>
      </c>
      <c r="AD15" s="20">
        <v>26</v>
      </c>
      <c r="AE15" s="20">
        <v>22</v>
      </c>
      <c r="AF15" s="20">
        <v>2316</v>
      </c>
      <c r="AG15" s="20">
        <v>2.8</v>
      </c>
      <c r="AH15" s="20" t="s">
        <v>64</v>
      </c>
      <c r="AI15" s="20" t="s">
        <v>188</v>
      </c>
      <c r="AJ15" s="22" t="s">
        <v>83</v>
      </c>
    </row>
    <row r="16" spans="1:36" x14ac:dyDescent="0.25">
      <c r="A16" s="19">
        <v>15</v>
      </c>
      <c r="B16" s="20" t="s">
        <v>189</v>
      </c>
      <c r="C16" s="20" t="s">
        <v>54</v>
      </c>
      <c r="D16" s="20" t="s">
        <v>86</v>
      </c>
      <c r="E16" s="20" t="s">
        <v>190</v>
      </c>
      <c r="F16" s="20">
        <v>665</v>
      </c>
      <c r="G16" s="20" t="s">
        <v>72</v>
      </c>
      <c r="H16" s="20" t="s">
        <v>170</v>
      </c>
      <c r="I16" s="20" t="s">
        <v>191</v>
      </c>
      <c r="J16" s="20" t="s">
        <v>192</v>
      </c>
      <c r="K16" s="20" t="s">
        <v>193</v>
      </c>
      <c r="L16" s="20" t="s">
        <v>61</v>
      </c>
      <c r="M16" s="20">
        <v>31</v>
      </c>
      <c r="N16" s="20" t="s">
        <v>194</v>
      </c>
      <c r="O16" s="20" t="s">
        <v>62</v>
      </c>
      <c r="P16" s="20" t="s">
        <v>63</v>
      </c>
      <c r="Q16" s="20">
        <v>3.8</v>
      </c>
      <c r="R16" s="20" t="s">
        <v>67</v>
      </c>
      <c r="S16" s="20" t="s">
        <v>80</v>
      </c>
      <c r="T16" s="33">
        <v>373512393782</v>
      </c>
      <c r="U16" s="20">
        <v>25927</v>
      </c>
      <c r="V16" s="20">
        <v>311124</v>
      </c>
      <c r="W16" s="20">
        <v>31112</v>
      </c>
      <c r="X16" s="20" t="s">
        <v>81</v>
      </c>
      <c r="Y16" s="20" t="s">
        <v>67</v>
      </c>
      <c r="Z16" s="20" t="s">
        <v>67</v>
      </c>
      <c r="AA16" s="20" t="s">
        <v>128</v>
      </c>
      <c r="AB16" s="20">
        <v>4435893</v>
      </c>
      <c r="AC16" s="20">
        <v>7</v>
      </c>
      <c r="AD16" s="20">
        <v>22</v>
      </c>
      <c r="AE16" s="20">
        <v>21</v>
      </c>
      <c r="AF16" s="20">
        <v>15510</v>
      </c>
      <c r="AG16" s="20">
        <v>2.6</v>
      </c>
      <c r="AH16" s="20" t="s">
        <v>67</v>
      </c>
      <c r="AI16" s="20" t="s">
        <v>194</v>
      </c>
      <c r="AJ16" s="22" t="s">
        <v>83</v>
      </c>
    </row>
    <row r="17" spans="1:36" x14ac:dyDescent="0.25">
      <c r="A17" s="13">
        <v>16</v>
      </c>
      <c r="B17" s="20" t="s">
        <v>119</v>
      </c>
      <c r="C17" s="20" t="s">
        <v>85</v>
      </c>
      <c r="D17" s="20" t="s">
        <v>70</v>
      </c>
      <c r="E17" s="20" t="s">
        <v>195</v>
      </c>
      <c r="F17" s="20">
        <v>906</v>
      </c>
      <c r="G17" s="20" t="s">
        <v>196</v>
      </c>
      <c r="H17" s="20" t="s">
        <v>170</v>
      </c>
      <c r="I17" s="20" t="s">
        <v>197</v>
      </c>
      <c r="J17" s="20" t="s">
        <v>198</v>
      </c>
      <c r="K17" s="20" t="s">
        <v>199</v>
      </c>
      <c r="L17" s="20" t="s">
        <v>158</v>
      </c>
      <c r="M17" s="20">
        <v>29</v>
      </c>
      <c r="N17" s="20" t="s">
        <v>200</v>
      </c>
      <c r="O17" s="20" t="s">
        <v>79</v>
      </c>
      <c r="P17" s="20" t="s">
        <v>63</v>
      </c>
      <c r="Q17" s="20">
        <v>5.6</v>
      </c>
      <c r="R17" s="20" t="s">
        <v>67</v>
      </c>
      <c r="S17" s="20" t="s">
        <v>137</v>
      </c>
      <c r="T17" s="33">
        <v>975402538007</v>
      </c>
      <c r="U17" s="20">
        <v>54915</v>
      </c>
      <c r="V17" s="20">
        <v>658980</v>
      </c>
      <c r="W17" s="20">
        <v>65898</v>
      </c>
      <c r="X17" s="20" t="s">
        <v>109</v>
      </c>
      <c r="Y17" s="20" t="s">
        <v>64</v>
      </c>
      <c r="Z17" s="20" t="s">
        <v>64</v>
      </c>
      <c r="AA17" s="20" t="s">
        <v>153</v>
      </c>
      <c r="AB17" s="20">
        <v>5458080</v>
      </c>
      <c r="AC17" s="20">
        <v>17.7</v>
      </c>
      <c r="AD17" s="20">
        <v>24</v>
      </c>
      <c r="AE17" s="20">
        <v>22</v>
      </c>
      <c r="AF17" s="20">
        <v>23020</v>
      </c>
      <c r="AG17" s="20">
        <v>3.8</v>
      </c>
      <c r="AH17" s="20" t="s">
        <v>67</v>
      </c>
      <c r="AI17" s="20" t="s">
        <v>200</v>
      </c>
      <c r="AJ17" s="22" t="s">
        <v>83</v>
      </c>
    </row>
    <row r="18" spans="1:36" x14ac:dyDescent="0.25">
      <c r="A18" s="19">
        <v>17</v>
      </c>
      <c r="B18" s="20" t="s">
        <v>53</v>
      </c>
      <c r="C18" s="20" t="s">
        <v>167</v>
      </c>
      <c r="D18" s="20" t="s">
        <v>70</v>
      </c>
      <c r="E18" s="20" t="s">
        <v>195</v>
      </c>
      <c r="F18" s="20">
        <v>694</v>
      </c>
      <c r="G18" s="20" t="s">
        <v>113</v>
      </c>
      <c r="H18" s="20" t="s">
        <v>124</v>
      </c>
      <c r="I18" s="20" t="s">
        <v>201</v>
      </c>
      <c r="J18" s="20" t="s">
        <v>75</v>
      </c>
      <c r="K18" s="20" t="s">
        <v>202</v>
      </c>
      <c r="L18" s="20" t="s">
        <v>173</v>
      </c>
      <c r="M18" s="20">
        <v>35</v>
      </c>
      <c r="N18" s="20" t="s">
        <v>203</v>
      </c>
      <c r="O18" s="20" t="s">
        <v>108</v>
      </c>
      <c r="P18" s="20" t="s">
        <v>63</v>
      </c>
      <c r="Q18" s="20">
        <v>4</v>
      </c>
      <c r="R18" s="20" t="s">
        <v>67</v>
      </c>
      <c r="S18" s="20" t="s">
        <v>137</v>
      </c>
      <c r="T18" s="33">
        <v>226750596909</v>
      </c>
      <c r="U18" s="20">
        <v>120488</v>
      </c>
      <c r="V18" s="20">
        <v>1445856</v>
      </c>
      <c r="W18" s="20">
        <v>144585</v>
      </c>
      <c r="X18" s="20" t="s">
        <v>109</v>
      </c>
      <c r="Y18" s="20" t="s">
        <v>67</v>
      </c>
      <c r="Z18" s="20" t="s">
        <v>64</v>
      </c>
      <c r="AA18" s="20" t="s">
        <v>153</v>
      </c>
      <c r="AB18" s="20">
        <v>7253733</v>
      </c>
      <c r="AC18" s="20">
        <v>18.7</v>
      </c>
      <c r="AD18" s="20">
        <v>28</v>
      </c>
      <c r="AE18" s="20">
        <v>23</v>
      </c>
      <c r="AF18" s="20">
        <v>23975</v>
      </c>
      <c r="AG18" s="20">
        <v>3</v>
      </c>
      <c r="AH18" s="20" t="s">
        <v>67</v>
      </c>
      <c r="AI18" s="20" t="s">
        <v>203</v>
      </c>
      <c r="AJ18" s="22" t="s">
        <v>83</v>
      </c>
    </row>
    <row r="19" spans="1:36" x14ac:dyDescent="0.25">
      <c r="A19" s="19">
        <v>18</v>
      </c>
      <c r="B19" s="20" t="s">
        <v>69</v>
      </c>
      <c r="C19" s="20" t="s">
        <v>129</v>
      </c>
      <c r="D19" s="20" t="s">
        <v>139</v>
      </c>
      <c r="E19" s="20" t="s">
        <v>204</v>
      </c>
      <c r="F19" s="20">
        <v>779</v>
      </c>
      <c r="G19" s="20" t="s">
        <v>196</v>
      </c>
      <c r="H19" s="20" t="s">
        <v>73</v>
      </c>
      <c r="I19" s="20" t="s">
        <v>205</v>
      </c>
      <c r="J19" s="20" t="s">
        <v>104</v>
      </c>
      <c r="K19" s="20" t="s">
        <v>206</v>
      </c>
      <c r="L19" s="20" t="s">
        <v>77</v>
      </c>
      <c r="M19" s="20">
        <v>31</v>
      </c>
      <c r="N19" s="20" t="s">
        <v>207</v>
      </c>
      <c r="O19" s="20" t="s">
        <v>79</v>
      </c>
      <c r="P19" s="20" t="s">
        <v>63</v>
      </c>
      <c r="Q19" s="20">
        <v>3.3</v>
      </c>
      <c r="R19" s="20" t="s">
        <v>67</v>
      </c>
      <c r="S19" s="20" t="s">
        <v>95</v>
      </c>
      <c r="T19" s="33">
        <v>706860218144</v>
      </c>
      <c r="U19" s="20">
        <v>48341</v>
      </c>
      <c r="V19" s="20">
        <v>580092</v>
      </c>
      <c r="W19" s="20">
        <v>58009</v>
      </c>
      <c r="X19" s="20" t="s">
        <v>109</v>
      </c>
      <c r="Y19" s="20" t="s">
        <v>67</v>
      </c>
      <c r="Z19" s="20" t="s">
        <v>67</v>
      </c>
      <c r="AA19" s="20" t="s">
        <v>128</v>
      </c>
      <c r="AB19" s="20">
        <v>6471012</v>
      </c>
      <c r="AC19" s="20">
        <v>8.1</v>
      </c>
      <c r="AD19" s="20">
        <v>28</v>
      </c>
      <c r="AE19" s="20">
        <v>28</v>
      </c>
      <c r="AF19" s="20">
        <v>11957</v>
      </c>
      <c r="AG19" s="20">
        <v>3.2</v>
      </c>
      <c r="AH19" s="20" t="s">
        <v>67</v>
      </c>
      <c r="AI19" s="20" t="s">
        <v>207</v>
      </c>
      <c r="AJ19" s="22" t="s">
        <v>83</v>
      </c>
    </row>
    <row r="20" spans="1:36" x14ac:dyDescent="0.25">
      <c r="A20" s="13">
        <v>19</v>
      </c>
      <c r="B20" s="20" t="s">
        <v>208</v>
      </c>
      <c r="C20" s="20" t="s">
        <v>120</v>
      </c>
      <c r="D20" s="20" t="s">
        <v>86</v>
      </c>
      <c r="E20" s="20" t="s">
        <v>209</v>
      </c>
      <c r="F20" s="20">
        <v>552</v>
      </c>
      <c r="G20" s="20" t="s">
        <v>210</v>
      </c>
      <c r="H20" s="20" t="s">
        <v>211</v>
      </c>
      <c r="I20" s="20" t="s">
        <v>212</v>
      </c>
      <c r="J20" s="20" t="s">
        <v>116</v>
      </c>
      <c r="K20" s="20" t="s">
        <v>213</v>
      </c>
      <c r="L20" s="20" t="s">
        <v>77</v>
      </c>
      <c r="M20" s="20">
        <v>37</v>
      </c>
      <c r="N20" s="20" t="s">
        <v>214</v>
      </c>
      <c r="O20" s="20" t="s">
        <v>108</v>
      </c>
      <c r="P20" s="20" t="s">
        <v>63</v>
      </c>
      <c r="Q20" s="20">
        <v>6</v>
      </c>
      <c r="R20" s="20" t="s">
        <v>64</v>
      </c>
      <c r="S20" s="20" t="s">
        <v>137</v>
      </c>
      <c r="T20" s="33">
        <v>828063322537</v>
      </c>
      <c r="U20" s="20">
        <v>113933</v>
      </c>
      <c r="V20" s="20">
        <v>1367196</v>
      </c>
      <c r="W20" s="20">
        <v>136719</v>
      </c>
      <c r="X20" s="20" t="s">
        <v>81</v>
      </c>
      <c r="Y20" s="20" t="s">
        <v>64</v>
      </c>
      <c r="Z20" s="20" t="s">
        <v>67</v>
      </c>
      <c r="AA20" s="20" t="s">
        <v>82</v>
      </c>
      <c r="AB20" s="20">
        <v>17863275</v>
      </c>
      <c r="AC20" s="20">
        <v>5.5</v>
      </c>
      <c r="AD20" s="20">
        <v>20</v>
      </c>
      <c r="AE20" s="20">
        <v>19</v>
      </c>
      <c r="AF20" s="20">
        <v>17569</v>
      </c>
      <c r="AG20" s="20">
        <v>4</v>
      </c>
      <c r="AH20" s="20" t="s">
        <v>64</v>
      </c>
      <c r="AI20" s="20" t="s">
        <v>214</v>
      </c>
      <c r="AJ20" s="22" t="s">
        <v>83</v>
      </c>
    </row>
    <row r="21" spans="1:36" x14ac:dyDescent="0.25">
      <c r="A21" s="19">
        <v>20</v>
      </c>
      <c r="B21" s="20" t="s">
        <v>215</v>
      </c>
      <c r="C21" s="20" t="s">
        <v>154</v>
      </c>
      <c r="D21" s="20" t="s">
        <v>139</v>
      </c>
      <c r="E21" s="20" t="s">
        <v>184</v>
      </c>
      <c r="F21" s="20">
        <v>835</v>
      </c>
      <c r="G21" s="20" t="s">
        <v>88</v>
      </c>
      <c r="H21" s="20" t="s">
        <v>162</v>
      </c>
      <c r="I21" s="20" t="s">
        <v>216</v>
      </c>
      <c r="J21" s="20" t="s">
        <v>217</v>
      </c>
      <c r="K21" s="20" t="s">
        <v>218</v>
      </c>
      <c r="L21" s="20" t="s">
        <v>219</v>
      </c>
      <c r="M21" s="20">
        <v>26</v>
      </c>
      <c r="N21" s="20" t="s">
        <v>220</v>
      </c>
      <c r="O21" s="20" t="s">
        <v>62</v>
      </c>
      <c r="P21" s="20" t="s">
        <v>63</v>
      </c>
      <c r="Q21" s="20">
        <v>7.8</v>
      </c>
      <c r="R21" s="20" t="s">
        <v>67</v>
      </c>
      <c r="S21" s="20" t="s">
        <v>80</v>
      </c>
      <c r="T21" s="33">
        <v>981223723215</v>
      </c>
      <c r="U21" s="20">
        <v>26401</v>
      </c>
      <c r="V21" s="20">
        <v>316812</v>
      </c>
      <c r="W21" s="20">
        <v>31681</v>
      </c>
      <c r="X21" s="20" t="s">
        <v>79</v>
      </c>
      <c r="Y21" s="20" t="s">
        <v>64</v>
      </c>
      <c r="Z21" s="20" t="s">
        <v>64</v>
      </c>
      <c r="AA21" s="20" t="s">
        <v>97</v>
      </c>
      <c r="AB21" s="20">
        <v>3030185</v>
      </c>
      <c r="AC21" s="20">
        <v>16.600000000000001</v>
      </c>
      <c r="AD21" s="20">
        <v>30</v>
      </c>
      <c r="AE21" s="20">
        <v>26</v>
      </c>
      <c r="AF21" s="20">
        <v>20314</v>
      </c>
      <c r="AG21" s="20">
        <v>4</v>
      </c>
      <c r="AH21" s="20" t="s">
        <v>67</v>
      </c>
      <c r="AI21" s="20" t="s">
        <v>220</v>
      </c>
      <c r="AJ21" s="22" t="s">
        <v>83</v>
      </c>
    </row>
    <row r="22" spans="1:36" x14ac:dyDescent="0.25">
      <c r="A22" s="19">
        <v>21</v>
      </c>
      <c r="B22" s="20" t="s">
        <v>208</v>
      </c>
      <c r="C22" s="20" t="s">
        <v>138</v>
      </c>
      <c r="D22" s="20" t="s">
        <v>111</v>
      </c>
      <c r="E22" s="20" t="s">
        <v>221</v>
      </c>
      <c r="F22" s="20">
        <v>556</v>
      </c>
      <c r="G22" s="20" t="s">
        <v>222</v>
      </c>
      <c r="H22" s="20" t="s">
        <v>73</v>
      </c>
      <c r="I22" s="20" t="s">
        <v>223</v>
      </c>
      <c r="J22" s="20" t="s">
        <v>224</v>
      </c>
      <c r="K22" s="20" t="s">
        <v>225</v>
      </c>
      <c r="L22" s="20" t="s">
        <v>158</v>
      </c>
      <c r="M22" s="20">
        <v>30</v>
      </c>
      <c r="N22" s="20" t="s">
        <v>226</v>
      </c>
      <c r="O22" s="20" t="s">
        <v>108</v>
      </c>
      <c r="P22" s="20" t="s">
        <v>63</v>
      </c>
      <c r="Q22" s="20">
        <v>5.0999999999999996</v>
      </c>
      <c r="R22" s="20" t="s">
        <v>67</v>
      </c>
      <c r="S22" s="20" t="s">
        <v>95</v>
      </c>
      <c r="T22" s="33">
        <v>789276095704</v>
      </c>
      <c r="U22" s="20">
        <v>101358</v>
      </c>
      <c r="V22" s="20">
        <v>1216296</v>
      </c>
      <c r="W22" s="20">
        <v>121629</v>
      </c>
      <c r="X22" s="20" t="s">
        <v>96</v>
      </c>
      <c r="Y22" s="20" t="s">
        <v>67</v>
      </c>
      <c r="Z22" s="20" t="s">
        <v>64</v>
      </c>
      <c r="AA22" s="20" t="s">
        <v>182</v>
      </c>
      <c r="AB22" s="20">
        <v>8933616</v>
      </c>
      <c r="AC22" s="20">
        <v>8.6999999999999993</v>
      </c>
      <c r="AD22" s="20">
        <v>28</v>
      </c>
      <c r="AE22" s="20">
        <v>28</v>
      </c>
      <c r="AF22" s="20">
        <v>6534</v>
      </c>
      <c r="AG22" s="20">
        <v>2.9</v>
      </c>
      <c r="AH22" s="20" t="s">
        <v>67</v>
      </c>
      <c r="AI22" s="20" t="s">
        <v>226</v>
      </c>
      <c r="AJ22" s="22" t="s">
        <v>83</v>
      </c>
    </row>
    <row r="23" spans="1:36" x14ac:dyDescent="0.25">
      <c r="A23" s="13">
        <v>22</v>
      </c>
      <c r="B23" s="20" t="s">
        <v>84</v>
      </c>
      <c r="C23" s="20" t="s">
        <v>85</v>
      </c>
      <c r="D23" s="20" t="s">
        <v>227</v>
      </c>
      <c r="E23" s="20" t="s">
        <v>228</v>
      </c>
      <c r="F23" s="20">
        <v>517</v>
      </c>
      <c r="G23" s="20" t="s">
        <v>185</v>
      </c>
      <c r="H23" s="20" t="s">
        <v>178</v>
      </c>
      <c r="I23" s="20" t="s">
        <v>229</v>
      </c>
      <c r="J23" s="20" t="s">
        <v>224</v>
      </c>
      <c r="K23" s="20" t="s">
        <v>230</v>
      </c>
      <c r="L23" s="20" t="s">
        <v>165</v>
      </c>
      <c r="M23" s="20">
        <v>23</v>
      </c>
      <c r="N23" s="20" t="s">
        <v>231</v>
      </c>
      <c r="O23" s="20" t="s">
        <v>79</v>
      </c>
      <c r="P23" s="20" t="s">
        <v>63</v>
      </c>
      <c r="Q23" s="20">
        <v>5.5</v>
      </c>
      <c r="R23" s="20" t="s">
        <v>67</v>
      </c>
      <c r="S23" s="20" t="s">
        <v>95</v>
      </c>
      <c r="T23" s="33">
        <v>868567484183</v>
      </c>
      <c r="U23" s="20">
        <v>41280</v>
      </c>
      <c r="V23" s="20">
        <v>495360</v>
      </c>
      <c r="W23" s="20">
        <v>49536</v>
      </c>
      <c r="X23" s="20" t="s">
        <v>79</v>
      </c>
      <c r="Y23" s="20" t="s">
        <v>67</v>
      </c>
      <c r="Z23" s="20" t="s">
        <v>64</v>
      </c>
      <c r="AA23" s="20" t="s">
        <v>175</v>
      </c>
      <c r="AB23" s="20">
        <v>3956007</v>
      </c>
      <c r="AC23" s="20">
        <v>9.6</v>
      </c>
      <c r="AD23" s="20">
        <v>26</v>
      </c>
      <c r="AE23" s="20">
        <v>22</v>
      </c>
      <c r="AF23" s="20">
        <v>19895</v>
      </c>
      <c r="AG23" s="20">
        <v>4.5</v>
      </c>
      <c r="AH23" s="20" t="s">
        <v>64</v>
      </c>
      <c r="AI23" s="20" t="s">
        <v>231</v>
      </c>
      <c r="AJ23" s="22" t="s">
        <v>83</v>
      </c>
    </row>
    <row r="24" spans="1:36" x14ac:dyDescent="0.25">
      <c r="A24" s="19">
        <v>23</v>
      </c>
      <c r="B24" s="20" t="s">
        <v>215</v>
      </c>
      <c r="C24" s="20" t="s">
        <v>85</v>
      </c>
      <c r="D24" s="20" t="s">
        <v>70</v>
      </c>
      <c r="E24" s="20" t="s">
        <v>232</v>
      </c>
      <c r="F24" s="20">
        <v>597</v>
      </c>
      <c r="G24" s="20" t="s">
        <v>233</v>
      </c>
      <c r="H24" s="20" t="s">
        <v>170</v>
      </c>
      <c r="I24" s="20" t="s">
        <v>234</v>
      </c>
      <c r="J24" s="20" t="s">
        <v>91</v>
      </c>
      <c r="K24" s="20" t="s">
        <v>235</v>
      </c>
      <c r="L24" s="20" t="s">
        <v>165</v>
      </c>
      <c r="M24" s="20">
        <v>45</v>
      </c>
      <c r="N24" s="20" t="s">
        <v>236</v>
      </c>
      <c r="O24" s="20" t="s">
        <v>79</v>
      </c>
      <c r="P24" s="20" t="s">
        <v>63</v>
      </c>
      <c r="Q24" s="20">
        <v>6</v>
      </c>
      <c r="R24" s="20" t="s">
        <v>64</v>
      </c>
      <c r="S24" s="20" t="s">
        <v>95</v>
      </c>
      <c r="T24" s="33">
        <v>128063847324</v>
      </c>
      <c r="U24" s="20">
        <v>65822</v>
      </c>
      <c r="V24" s="20">
        <v>789864</v>
      </c>
      <c r="W24" s="20">
        <v>78986</v>
      </c>
      <c r="X24" s="20" t="s">
        <v>81</v>
      </c>
      <c r="Y24" s="20" t="s">
        <v>64</v>
      </c>
      <c r="Z24" s="20" t="s">
        <v>67</v>
      </c>
      <c r="AA24" s="20" t="s">
        <v>128</v>
      </c>
      <c r="AB24" s="20">
        <v>10796266</v>
      </c>
      <c r="AC24" s="20">
        <v>6.1</v>
      </c>
      <c r="AD24" s="20">
        <v>24</v>
      </c>
      <c r="AE24" s="20">
        <v>21</v>
      </c>
      <c r="AF24" s="20">
        <v>12726</v>
      </c>
      <c r="AG24" s="20">
        <v>3</v>
      </c>
      <c r="AH24" s="20" t="s">
        <v>67</v>
      </c>
      <c r="AI24" s="20" t="s">
        <v>236</v>
      </c>
      <c r="AJ24" s="22" t="s">
        <v>83</v>
      </c>
    </row>
    <row r="25" spans="1:36" x14ac:dyDescent="0.25">
      <c r="A25" s="19">
        <v>24</v>
      </c>
      <c r="B25" s="20" t="s">
        <v>237</v>
      </c>
      <c r="C25" s="20" t="s">
        <v>154</v>
      </c>
      <c r="D25" s="20" t="s">
        <v>70</v>
      </c>
      <c r="E25" s="20" t="s">
        <v>232</v>
      </c>
      <c r="F25" s="20">
        <v>358</v>
      </c>
      <c r="G25" s="20" t="s">
        <v>177</v>
      </c>
      <c r="H25" s="20" t="s">
        <v>162</v>
      </c>
      <c r="I25" s="20" t="s">
        <v>238</v>
      </c>
      <c r="J25" s="20" t="s">
        <v>198</v>
      </c>
      <c r="K25" s="20" t="s">
        <v>239</v>
      </c>
      <c r="L25" s="20" t="s">
        <v>77</v>
      </c>
      <c r="M25" s="20">
        <v>23</v>
      </c>
      <c r="N25" s="20" t="s">
        <v>240</v>
      </c>
      <c r="O25" s="20" t="s">
        <v>62</v>
      </c>
      <c r="P25" s="20" t="s">
        <v>63</v>
      </c>
      <c r="Q25" s="20">
        <v>3.9</v>
      </c>
      <c r="R25" s="20" t="s">
        <v>64</v>
      </c>
      <c r="S25" s="20" t="s">
        <v>95</v>
      </c>
      <c r="T25" s="33">
        <v>929101595504</v>
      </c>
      <c r="U25" s="20">
        <v>15508</v>
      </c>
      <c r="V25" s="20">
        <v>186096</v>
      </c>
      <c r="W25" s="20">
        <v>18609</v>
      </c>
      <c r="X25" s="20" t="s">
        <v>109</v>
      </c>
      <c r="Y25" s="20" t="s">
        <v>64</v>
      </c>
      <c r="Z25" s="20" t="s">
        <v>64</v>
      </c>
      <c r="AA25" s="20" t="s">
        <v>128</v>
      </c>
      <c r="AB25" s="20">
        <v>1374402</v>
      </c>
      <c r="AC25" s="20">
        <v>11.1</v>
      </c>
      <c r="AD25" s="20">
        <v>21</v>
      </c>
      <c r="AE25" s="20">
        <v>17</v>
      </c>
      <c r="AF25" s="20">
        <v>9142</v>
      </c>
      <c r="AG25" s="20">
        <v>3.7</v>
      </c>
      <c r="AH25" s="20" t="s">
        <v>67</v>
      </c>
      <c r="AI25" s="20" t="s">
        <v>240</v>
      </c>
      <c r="AJ25" s="22" t="s">
        <v>83</v>
      </c>
    </row>
    <row r="26" spans="1:36" x14ac:dyDescent="0.25">
      <c r="A26" s="13">
        <v>25</v>
      </c>
      <c r="B26" s="20" t="s">
        <v>237</v>
      </c>
      <c r="C26" s="20" t="s">
        <v>160</v>
      </c>
      <c r="D26" s="20" t="s">
        <v>139</v>
      </c>
      <c r="E26" s="20" t="s">
        <v>176</v>
      </c>
      <c r="F26" s="20">
        <v>865</v>
      </c>
      <c r="G26" s="20" t="s">
        <v>196</v>
      </c>
      <c r="H26" s="20" t="s">
        <v>114</v>
      </c>
      <c r="I26" s="20" t="s">
        <v>241</v>
      </c>
      <c r="J26" s="20" t="s">
        <v>104</v>
      </c>
      <c r="K26" s="20" t="s">
        <v>242</v>
      </c>
      <c r="L26" s="20" t="s">
        <v>106</v>
      </c>
      <c r="M26" s="20">
        <v>40</v>
      </c>
      <c r="N26" s="20" t="s">
        <v>243</v>
      </c>
      <c r="O26" s="20" t="s">
        <v>79</v>
      </c>
      <c r="P26" s="20" t="s">
        <v>63</v>
      </c>
      <c r="Q26" s="20">
        <v>7.6</v>
      </c>
      <c r="R26" s="20" t="s">
        <v>67</v>
      </c>
      <c r="S26" s="20" t="s">
        <v>137</v>
      </c>
      <c r="T26" s="33">
        <v>890022600581</v>
      </c>
      <c r="U26" s="20">
        <v>52997</v>
      </c>
      <c r="V26" s="20">
        <v>635964</v>
      </c>
      <c r="W26" s="20">
        <v>63596</v>
      </c>
      <c r="X26" s="20" t="s">
        <v>81</v>
      </c>
      <c r="Y26" s="20" t="s">
        <v>64</v>
      </c>
      <c r="Z26" s="20" t="s">
        <v>64</v>
      </c>
      <c r="AA26" s="20" t="s">
        <v>182</v>
      </c>
      <c r="AB26" s="20">
        <v>8587378</v>
      </c>
      <c r="AC26" s="20">
        <v>13.2</v>
      </c>
      <c r="AD26" s="20">
        <v>21</v>
      </c>
      <c r="AE26" s="20">
        <v>17</v>
      </c>
      <c r="AF26" s="20">
        <v>3345</v>
      </c>
      <c r="AG26" s="20">
        <v>3.4</v>
      </c>
      <c r="AH26" s="20" t="s">
        <v>67</v>
      </c>
      <c r="AI26" s="20" t="s">
        <v>243</v>
      </c>
      <c r="AJ26" s="22" t="s">
        <v>83</v>
      </c>
    </row>
    <row r="27" spans="1:36" x14ac:dyDescent="0.25">
      <c r="A27" s="19">
        <v>26</v>
      </c>
      <c r="B27" s="20" t="s">
        <v>237</v>
      </c>
      <c r="C27" s="20" t="s">
        <v>167</v>
      </c>
      <c r="D27" s="20" t="s">
        <v>244</v>
      </c>
      <c r="E27" s="20" t="s">
        <v>245</v>
      </c>
      <c r="F27" s="20">
        <v>112</v>
      </c>
      <c r="G27" s="20" t="s">
        <v>246</v>
      </c>
      <c r="H27" s="20" t="s">
        <v>162</v>
      </c>
      <c r="I27" s="20" t="s">
        <v>247</v>
      </c>
      <c r="J27" s="20" t="s">
        <v>75</v>
      </c>
      <c r="K27" s="20" t="s">
        <v>248</v>
      </c>
      <c r="L27" s="20" t="s">
        <v>165</v>
      </c>
      <c r="M27" s="20">
        <v>33</v>
      </c>
      <c r="N27" s="20" t="s">
        <v>249</v>
      </c>
      <c r="O27" s="20" t="s">
        <v>108</v>
      </c>
      <c r="P27" s="20" t="s">
        <v>63</v>
      </c>
      <c r="Q27" s="20">
        <v>2.7</v>
      </c>
      <c r="R27" s="20" t="s">
        <v>64</v>
      </c>
      <c r="S27" s="20" t="s">
        <v>137</v>
      </c>
      <c r="T27" s="33">
        <v>903915386825</v>
      </c>
      <c r="U27" s="20">
        <v>138386</v>
      </c>
      <c r="V27" s="20">
        <v>1660632</v>
      </c>
      <c r="W27" s="20">
        <v>166063</v>
      </c>
      <c r="X27" s="20" t="s">
        <v>96</v>
      </c>
      <c r="Y27" s="20" t="s">
        <v>67</v>
      </c>
      <c r="Z27" s="20" t="s">
        <v>67</v>
      </c>
      <c r="AA27" s="20" t="s">
        <v>153</v>
      </c>
      <c r="AB27" s="20">
        <v>22015572</v>
      </c>
      <c r="AC27" s="20">
        <v>13.1</v>
      </c>
      <c r="AD27" s="20">
        <v>25</v>
      </c>
      <c r="AE27" s="20">
        <v>24</v>
      </c>
      <c r="AF27" s="20">
        <v>4839</v>
      </c>
      <c r="AG27" s="20">
        <v>3.2</v>
      </c>
      <c r="AH27" s="20" t="s">
        <v>67</v>
      </c>
      <c r="AI27" s="20" t="s">
        <v>249</v>
      </c>
      <c r="AJ27" s="22" t="s">
        <v>83</v>
      </c>
    </row>
    <row r="28" spans="1:36" x14ac:dyDescent="0.25">
      <c r="A28" s="19">
        <v>27</v>
      </c>
      <c r="B28" s="20" t="s">
        <v>110</v>
      </c>
      <c r="C28" s="20" t="s">
        <v>99</v>
      </c>
      <c r="D28" s="20" t="s">
        <v>139</v>
      </c>
      <c r="E28" s="20" t="s">
        <v>176</v>
      </c>
      <c r="F28" s="20">
        <v>784</v>
      </c>
      <c r="G28" s="20" t="s">
        <v>88</v>
      </c>
      <c r="H28" s="20" t="s">
        <v>250</v>
      </c>
      <c r="I28" s="20" t="s">
        <v>251</v>
      </c>
      <c r="J28" s="20" t="s">
        <v>198</v>
      </c>
      <c r="K28" s="20" t="s">
        <v>252</v>
      </c>
      <c r="L28" s="20" t="s">
        <v>158</v>
      </c>
      <c r="M28" s="20">
        <v>49</v>
      </c>
      <c r="N28" s="20" t="s">
        <v>253</v>
      </c>
      <c r="O28" s="20" t="s">
        <v>62</v>
      </c>
      <c r="P28" s="20" t="s">
        <v>63</v>
      </c>
      <c r="Q28" s="20">
        <v>4.2</v>
      </c>
      <c r="R28" s="20" t="s">
        <v>67</v>
      </c>
      <c r="S28" s="20" t="s">
        <v>80</v>
      </c>
      <c r="T28" s="33">
        <v>977697289990</v>
      </c>
      <c r="U28" s="20">
        <v>19232</v>
      </c>
      <c r="V28" s="20">
        <v>230784</v>
      </c>
      <c r="W28" s="20">
        <v>23078</v>
      </c>
      <c r="X28" s="20" t="s">
        <v>96</v>
      </c>
      <c r="Y28" s="20" t="s">
        <v>67</v>
      </c>
      <c r="Z28" s="20" t="s">
        <v>67</v>
      </c>
      <c r="AA28" s="20" t="s">
        <v>68</v>
      </c>
      <c r="AB28" s="20">
        <v>2346213</v>
      </c>
      <c r="AC28" s="20">
        <v>6.2</v>
      </c>
      <c r="AD28" s="20">
        <v>23</v>
      </c>
      <c r="AE28" s="20">
        <v>18</v>
      </c>
      <c r="AF28" s="20">
        <v>15317</v>
      </c>
      <c r="AG28" s="20">
        <v>3.7</v>
      </c>
      <c r="AH28" s="20" t="s">
        <v>64</v>
      </c>
      <c r="AI28" s="20" t="s">
        <v>253</v>
      </c>
      <c r="AJ28" s="22" t="s">
        <v>83</v>
      </c>
    </row>
    <row r="29" spans="1:36" x14ac:dyDescent="0.25">
      <c r="A29" s="13">
        <v>28</v>
      </c>
      <c r="B29" s="20" t="s">
        <v>215</v>
      </c>
      <c r="C29" s="20" t="s">
        <v>99</v>
      </c>
      <c r="D29" s="20" t="s">
        <v>121</v>
      </c>
      <c r="E29" s="20" t="s">
        <v>254</v>
      </c>
      <c r="F29" s="20">
        <v>195</v>
      </c>
      <c r="G29" s="20" t="s">
        <v>255</v>
      </c>
      <c r="H29" s="20" t="s">
        <v>102</v>
      </c>
      <c r="I29" s="20" t="s">
        <v>256</v>
      </c>
      <c r="J29" s="20" t="s">
        <v>217</v>
      </c>
      <c r="K29" s="20" t="s">
        <v>257</v>
      </c>
      <c r="L29" s="20" t="s">
        <v>219</v>
      </c>
      <c r="M29" s="20">
        <v>31</v>
      </c>
      <c r="N29" s="20" t="s">
        <v>258</v>
      </c>
      <c r="O29" s="20" t="s">
        <v>79</v>
      </c>
      <c r="P29" s="20" t="s">
        <v>63</v>
      </c>
      <c r="Q29" s="20">
        <v>1.3</v>
      </c>
      <c r="R29" s="20" t="s">
        <v>67</v>
      </c>
      <c r="S29" s="20" t="s">
        <v>95</v>
      </c>
      <c r="T29" s="33">
        <v>480237414389</v>
      </c>
      <c r="U29" s="20">
        <v>67885</v>
      </c>
      <c r="V29" s="20">
        <v>814620</v>
      </c>
      <c r="W29" s="20">
        <v>81462</v>
      </c>
      <c r="X29" s="20" t="s">
        <v>96</v>
      </c>
      <c r="Y29" s="20" t="s">
        <v>67</v>
      </c>
      <c r="Z29" s="20" t="s">
        <v>67</v>
      </c>
      <c r="AA29" s="20" t="s">
        <v>182</v>
      </c>
      <c r="AB29" s="20">
        <v>6570912</v>
      </c>
      <c r="AC29" s="20">
        <v>6.9</v>
      </c>
      <c r="AD29" s="20">
        <v>23</v>
      </c>
      <c r="AE29" s="20">
        <v>21</v>
      </c>
      <c r="AF29" s="20">
        <v>5917</v>
      </c>
      <c r="AG29" s="20">
        <v>4.4000000000000004</v>
      </c>
      <c r="AH29" s="20" t="s">
        <v>64</v>
      </c>
      <c r="AI29" s="20" t="s">
        <v>258</v>
      </c>
      <c r="AJ29" s="22" t="s">
        <v>83</v>
      </c>
    </row>
    <row r="30" spans="1:36" x14ac:dyDescent="0.25">
      <c r="A30" s="19">
        <v>29</v>
      </c>
      <c r="B30" s="20" t="s">
        <v>110</v>
      </c>
      <c r="C30" s="20" t="s">
        <v>85</v>
      </c>
      <c r="D30" s="20" t="s">
        <v>121</v>
      </c>
      <c r="E30" s="20" t="s">
        <v>259</v>
      </c>
      <c r="F30" s="20">
        <v>841</v>
      </c>
      <c r="G30" s="20" t="s">
        <v>260</v>
      </c>
      <c r="H30" s="20" t="s">
        <v>178</v>
      </c>
      <c r="I30" s="20" t="s">
        <v>261</v>
      </c>
      <c r="J30" s="20" t="s">
        <v>134</v>
      </c>
      <c r="K30" s="20" t="s">
        <v>262</v>
      </c>
      <c r="L30" s="20" t="s">
        <v>143</v>
      </c>
      <c r="M30" s="20">
        <v>25</v>
      </c>
      <c r="N30" s="20" t="s">
        <v>263</v>
      </c>
      <c r="O30" s="20" t="s">
        <v>79</v>
      </c>
      <c r="P30" s="20" t="s">
        <v>63</v>
      </c>
      <c r="Q30" s="20">
        <v>5.7</v>
      </c>
      <c r="R30" s="20" t="s">
        <v>64</v>
      </c>
      <c r="S30" s="20" t="s">
        <v>137</v>
      </c>
      <c r="T30" s="33">
        <v>431483177363</v>
      </c>
      <c r="U30" s="20">
        <v>40927</v>
      </c>
      <c r="V30" s="20">
        <v>491124</v>
      </c>
      <c r="W30" s="20">
        <v>49112</v>
      </c>
      <c r="X30" s="20" t="s">
        <v>109</v>
      </c>
      <c r="Y30" s="20" t="s">
        <v>67</v>
      </c>
      <c r="Z30" s="20" t="s">
        <v>64</v>
      </c>
      <c r="AA30" s="20" t="s">
        <v>68</v>
      </c>
      <c r="AB30" s="20">
        <v>5173298</v>
      </c>
      <c r="AC30" s="20">
        <v>14.9</v>
      </c>
      <c r="AD30" s="20">
        <v>22</v>
      </c>
      <c r="AE30" s="20">
        <v>17</v>
      </c>
      <c r="AF30" s="20">
        <v>18085</v>
      </c>
      <c r="AG30" s="20">
        <v>2.8</v>
      </c>
      <c r="AH30" s="20" t="s">
        <v>64</v>
      </c>
      <c r="AI30" s="20" t="s">
        <v>263</v>
      </c>
      <c r="AJ30" s="22" t="s">
        <v>83</v>
      </c>
    </row>
    <row r="31" spans="1:36" x14ac:dyDescent="0.25">
      <c r="A31" s="19">
        <v>30</v>
      </c>
      <c r="B31" s="20" t="s">
        <v>208</v>
      </c>
      <c r="C31" s="20" t="s">
        <v>183</v>
      </c>
      <c r="D31" s="20" t="s">
        <v>121</v>
      </c>
      <c r="E31" s="20" t="s">
        <v>264</v>
      </c>
      <c r="F31" s="20">
        <v>551</v>
      </c>
      <c r="G31" s="20" t="s">
        <v>185</v>
      </c>
      <c r="H31" s="20" t="s">
        <v>114</v>
      </c>
      <c r="I31" s="20" t="s">
        <v>265</v>
      </c>
      <c r="J31" s="20" t="s">
        <v>198</v>
      </c>
      <c r="K31" s="20" t="s">
        <v>266</v>
      </c>
      <c r="L31" s="20" t="s">
        <v>143</v>
      </c>
      <c r="M31" s="20">
        <v>49</v>
      </c>
      <c r="N31" s="20" t="s">
        <v>267</v>
      </c>
      <c r="O31" s="20" t="s">
        <v>62</v>
      </c>
      <c r="P31" s="20" t="s">
        <v>63</v>
      </c>
      <c r="Q31" s="20">
        <v>2.5</v>
      </c>
      <c r="R31" s="20" t="s">
        <v>64</v>
      </c>
      <c r="S31" s="20" t="s">
        <v>137</v>
      </c>
      <c r="T31" s="33">
        <v>179421446737</v>
      </c>
      <c r="U31" s="20">
        <v>24453</v>
      </c>
      <c r="V31" s="20">
        <v>293436</v>
      </c>
      <c r="W31" s="20">
        <v>29343</v>
      </c>
      <c r="X31" s="20" t="s">
        <v>81</v>
      </c>
      <c r="Y31" s="20" t="s">
        <v>64</v>
      </c>
      <c r="Z31" s="20" t="s">
        <v>64</v>
      </c>
      <c r="AA31" s="20" t="s">
        <v>182</v>
      </c>
      <c r="AB31" s="20">
        <v>1717131</v>
      </c>
      <c r="AC31" s="20">
        <v>7.2</v>
      </c>
      <c r="AD31" s="20">
        <v>28</v>
      </c>
      <c r="AE31" s="20">
        <v>25</v>
      </c>
      <c r="AF31" s="20">
        <v>21867</v>
      </c>
      <c r="AG31" s="20">
        <v>4</v>
      </c>
      <c r="AH31" s="20" t="s">
        <v>64</v>
      </c>
      <c r="AI31" s="20" t="s">
        <v>267</v>
      </c>
      <c r="AJ31" s="22" t="s">
        <v>83</v>
      </c>
    </row>
    <row r="32" spans="1:36" x14ac:dyDescent="0.25">
      <c r="A32" s="13">
        <v>31</v>
      </c>
      <c r="B32" s="20" t="s">
        <v>189</v>
      </c>
      <c r="C32" s="20" t="s">
        <v>154</v>
      </c>
      <c r="D32" s="20" t="s">
        <v>121</v>
      </c>
      <c r="E32" s="20" t="s">
        <v>264</v>
      </c>
      <c r="F32" s="20">
        <v>404</v>
      </c>
      <c r="G32" s="20" t="s">
        <v>260</v>
      </c>
      <c r="H32" s="20" t="s">
        <v>170</v>
      </c>
      <c r="I32" s="20" t="s">
        <v>268</v>
      </c>
      <c r="J32" s="20" t="s">
        <v>104</v>
      </c>
      <c r="K32" s="20" t="s">
        <v>269</v>
      </c>
      <c r="L32" s="20" t="s">
        <v>173</v>
      </c>
      <c r="M32" s="20">
        <v>41</v>
      </c>
      <c r="N32" s="20" t="s">
        <v>270</v>
      </c>
      <c r="O32" s="20" t="s">
        <v>108</v>
      </c>
      <c r="P32" s="20" t="s">
        <v>63</v>
      </c>
      <c r="Q32" s="20">
        <v>7.2</v>
      </c>
      <c r="R32" s="20" t="s">
        <v>64</v>
      </c>
      <c r="S32" s="20" t="s">
        <v>80</v>
      </c>
      <c r="T32" s="33">
        <v>334614800586</v>
      </c>
      <c r="U32" s="20">
        <v>104687</v>
      </c>
      <c r="V32" s="20">
        <v>1256244</v>
      </c>
      <c r="W32" s="20">
        <v>125624</v>
      </c>
      <c r="X32" s="20" t="s">
        <v>81</v>
      </c>
      <c r="Y32" s="20" t="s">
        <v>64</v>
      </c>
      <c r="Z32" s="20" t="s">
        <v>64</v>
      </c>
      <c r="AA32" s="20" t="s">
        <v>128</v>
      </c>
      <c r="AB32" s="20">
        <v>13215589</v>
      </c>
      <c r="AC32" s="20">
        <v>5.7</v>
      </c>
      <c r="AD32" s="20">
        <v>26</v>
      </c>
      <c r="AE32" s="20">
        <v>23</v>
      </c>
      <c r="AF32" s="20">
        <v>24589</v>
      </c>
      <c r="AG32" s="20">
        <v>4</v>
      </c>
      <c r="AH32" s="20" t="s">
        <v>67</v>
      </c>
      <c r="AI32" s="20" t="s">
        <v>270</v>
      </c>
      <c r="AJ32" s="22" t="s">
        <v>83</v>
      </c>
    </row>
    <row r="33" spans="1:36" x14ac:dyDescent="0.25">
      <c r="A33" s="19">
        <v>32</v>
      </c>
      <c r="B33" s="20" t="s">
        <v>53</v>
      </c>
      <c r="C33" s="20" t="s">
        <v>85</v>
      </c>
      <c r="D33" s="20" t="s">
        <v>70</v>
      </c>
      <c r="E33" s="20" t="s">
        <v>271</v>
      </c>
      <c r="F33" s="20">
        <v>819</v>
      </c>
      <c r="G33" s="20" t="s">
        <v>210</v>
      </c>
      <c r="H33" s="20" t="s">
        <v>89</v>
      </c>
      <c r="I33" s="20" t="s">
        <v>272</v>
      </c>
      <c r="J33" s="20" t="s">
        <v>116</v>
      </c>
      <c r="K33" s="20" t="s">
        <v>273</v>
      </c>
      <c r="L33" s="20" t="s">
        <v>143</v>
      </c>
      <c r="M33" s="20">
        <v>47</v>
      </c>
      <c r="N33" s="20" t="s">
        <v>274</v>
      </c>
      <c r="O33" s="20" t="s">
        <v>108</v>
      </c>
      <c r="P33" s="20" t="s">
        <v>63</v>
      </c>
      <c r="Q33" s="20">
        <v>1.2</v>
      </c>
      <c r="R33" s="20" t="s">
        <v>64</v>
      </c>
      <c r="S33" s="20" t="s">
        <v>137</v>
      </c>
      <c r="T33" s="33">
        <v>697493414595</v>
      </c>
      <c r="U33" s="20">
        <v>99466</v>
      </c>
      <c r="V33" s="20">
        <v>1193592</v>
      </c>
      <c r="W33" s="20">
        <v>119359</v>
      </c>
      <c r="X33" s="20" t="s">
        <v>109</v>
      </c>
      <c r="Y33" s="20" t="s">
        <v>67</v>
      </c>
      <c r="Z33" s="20" t="s">
        <v>64</v>
      </c>
      <c r="AA33" s="20" t="s">
        <v>97</v>
      </c>
      <c r="AB33" s="20">
        <v>6679794</v>
      </c>
      <c r="AC33" s="20">
        <v>16.5</v>
      </c>
      <c r="AD33" s="20">
        <v>29</v>
      </c>
      <c r="AE33" s="20">
        <v>24</v>
      </c>
      <c r="AF33" s="20">
        <v>20651</v>
      </c>
      <c r="AG33" s="20">
        <v>4.8</v>
      </c>
      <c r="AH33" s="20" t="s">
        <v>67</v>
      </c>
      <c r="AI33" s="20" t="s">
        <v>274</v>
      </c>
      <c r="AJ33" s="22" t="s">
        <v>83</v>
      </c>
    </row>
    <row r="34" spans="1:36" x14ac:dyDescent="0.25">
      <c r="A34" s="19">
        <v>33</v>
      </c>
      <c r="B34" s="20" t="s">
        <v>69</v>
      </c>
      <c r="C34" s="20" t="s">
        <v>99</v>
      </c>
      <c r="D34" s="20" t="s">
        <v>70</v>
      </c>
      <c r="E34" s="20" t="s">
        <v>232</v>
      </c>
      <c r="F34" s="20">
        <v>378</v>
      </c>
      <c r="G34" s="20" t="s">
        <v>132</v>
      </c>
      <c r="H34" s="20" t="s">
        <v>178</v>
      </c>
      <c r="I34" s="20" t="s">
        <v>275</v>
      </c>
      <c r="J34" s="20" t="s">
        <v>224</v>
      </c>
      <c r="K34" s="20" t="s">
        <v>276</v>
      </c>
      <c r="L34" s="20" t="s">
        <v>158</v>
      </c>
      <c r="M34" s="20">
        <v>24</v>
      </c>
      <c r="N34" s="20" t="s">
        <v>277</v>
      </c>
      <c r="O34" s="20" t="s">
        <v>62</v>
      </c>
      <c r="P34" s="20" t="s">
        <v>63</v>
      </c>
      <c r="Q34" s="20">
        <v>1.1000000000000001</v>
      </c>
      <c r="R34" s="20" t="s">
        <v>67</v>
      </c>
      <c r="S34" s="20" t="s">
        <v>95</v>
      </c>
      <c r="T34" s="33">
        <v>762809324231</v>
      </c>
      <c r="U34" s="20">
        <v>19102</v>
      </c>
      <c r="V34" s="20">
        <v>229224</v>
      </c>
      <c r="W34" s="20">
        <v>22922</v>
      </c>
      <c r="X34" s="20" t="s">
        <v>81</v>
      </c>
      <c r="Y34" s="20" t="s">
        <v>64</v>
      </c>
      <c r="Z34" s="20" t="s">
        <v>64</v>
      </c>
      <c r="AA34" s="20" t="s">
        <v>68</v>
      </c>
      <c r="AB34" s="20">
        <v>3437379</v>
      </c>
      <c r="AC34" s="20">
        <v>14.4</v>
      </c>
      <c r="AD34" s="20">
        <v>24</v>
      </c>
      <c r="AE34" s="20">
        <v>20</v>
      </c>
      <c r="AF34" s="20">
        <v>3318</v>
      </c>
      <c r="AG34" s="20">
        <v>4.4000000000000004</v>
      </c>
      <c r="AH34" s="20" t="s">
        <v>64</v>
      </c>
      <c r="AI34" s="20" t="s">
        <v>277</v>
      </c>
      <c r="AJ34" s="22" t="s">
        <v>83</v>
      </c>
    </row>
    <row r="35" spans="1:36" x14ac:dyDescent="0.25">
      <c r="A35" s="13">
        <v>34</v>
      </c>
      <c r="B35" s="20" t="s">
        <v>215</v>
      </c>
      <c r="C35" s="20" t="s">
        <v>138</v>
      </c>
      <c r="D35" s="20" t="s">
        <v>121</v>
      </c>
      <c r="E35" s="20" t="s">
        <v>259</v>
      </c>
      <c r="F35" s="20">
        <v>285</v>
      </c>
      <c r="G35" s="20" t="s">
        <v>260</v>
      </c>
      <c r="H35" s="20" t="s">
        <v>170</v>
      </c>
      <c r="I35" s="20" t="s">
        <v>268</v>
      </c>
      <c r="J35" s="20" t="s">
        <v>224</v>
      </c>
      <c r="K35" s="20" t="s">
        <v>278</v>
      </c>
      <c r="L35" s="20" t="s">
        <v>106</v>
      </c>
      <c r="M35" s="20">
        <v>37</v>
      </c>
      <c r="N35" s="20" t="s">
        <v>279</v>
      </c>
      <c r="O35" s="20" t="s">
        <v>79</v>
      </c>
      <c r="P35" s="20" t="s">
        <v>63</v>
      </c>
      <c r="Q35" s="20">
        <v>4</v>
      </c>
      <c r="R35" s="20" t="s">
        <v>67</v>
      </c>
      <c r="S35" s="20" t="s">
        <v>137</v>
      </c>
      <c r="T35" s="33">
        <v>214547351220</v>
      </c>
      <c r="U35" s="20">
        <v>50539</v>
      </c>
      <c r="V35" s="20">
        <v>606468</v>
      </c>
      <c r="W35" s="20">
        <v>60646</v>
      </c>
      <c r="X35" s="20" t="s">
        <v>96</v>
      </c>
      <c r="Y35" s="20" t="s">
        <v>67</v>
      </c>
      <c r="Z35" s="20" t="s">
        <v>67</v>
      </c>
      <c r="AA35" s="20" t="s">
        <v>182</v>
      </c>
      <c r="AB35" s="20">
        <v>7050697</v>
      </c>
      <c r="AC35" s="20">
        <v>9.8000000000000007</v>
      </c>
      <c r="AD35" s="20">
        <v>28</v>
      </c>
      <c r="AE35" s="20">
        <v>28</v>
      </c>
      <c r="AF35" s="20">
        <v>16903</v>
      </c>
      <c r="AG35" s="20">
        <v>2.7</v>
      </c>
      <c r="AH35" s="20" t="s">
        <v>67</v>
      </c>
      <c r="AI35" s="20" t="s">
        <v>279</v>
      </c>
      <c r="AJ35" s="22" t="s">
        <v>83</v>
      </c>
    </row>
    <row r="36" spans="1:36" x14ac:dyDescent="0.25">
      <c r="A36" s="19">
        <v>35</v>
      </c>
      <c r="B36" s="20" t="s">
        <v>237</v>
      </c>
      <c r="C36" s="20" t="s">
        <v>167</v>
      </c>
      <c r="D36" s="20" t="s">
        <v>111</v>
      </c>
      <c r="E36" s="20" t="s">
        <v>221</v>
      </c>
      <c r="F36" s="20">
        <v>944</v>
      </c>
      <c r="G36" s="20" t="s">
        <v>233</v>
      </c>
      <c r="H36" s="20" t="s">
        <v>211</v>
      </c>
      <c r="I36" s="20" t="s">
        <v>280</v>
      </c>
      <c r="J36" s="20" t="s">
        <v>149</v>
      </c>
      <c r="K36" s="20" t="s">
        <v>281</v>
      </c>
      <c r="L36" s="20" t="s">
        <v>158</v>
      </c>
      <c r="M36" s="20">
        <v>35</v>
      </c>
      <c r="N36" s="20" t="s">
        <v>282</v>
      </c>
      <c r="O36" s="20" t="s">
        <v>62</v>
      </c>
      <c r="P36" s="20" t="s">
        <v>63</v>
      </c>
      <c r="Q36" s="20">
        <v>7.2</v>
      </c>
      <c r="R36" s="20" t="s">
        <v>67</v>
      </c>
      <c r="S36" s="20" t="s">
        <v>95</v>
      </c>
      <c r="T36" s="33">
        <v>648709745211</v>
      </c>
      <c r="U36" s="20">
        <v>25246</v>
      </c>
      <c r="V36" s="20">
        <v>302952</v>
      </c>
      <c r="W36" s="20">
        <v>30295</v>
      </c>
      <c r="X36" s="20" t="s">
        <v>79</v>
      </c>
      <c r="Y36" s="20" t="s">
        <v>64</v>
      </c>
      <c r="Z36" s="20" t="s">
        <v>64</v>
      </c>
      <c r="AA36" s="20" t="s">
        <v>182</v>
      </c>
      <c r="AB36" s="20">
        <v>3178631</v>
      </c>
      <c r="AC36" s="20">
        <v>18.8</v>
      </c>
      <c r="AD36" s="20">
        <v>27</v>
      </c>
      <c r="AE36" s="20">
        <v>22</v>
      </c>
      <c r="AF36" s="20">
        <v>17883</v>
      </c>
      <c r="AG36" s="20">
        <v>2.8</v>
      </c>
      <c r="AH36" s="20" t="s">
        <v>64</v>
      </c>
      <c r="AI36" s="20" t="s">
        <v>282</v>
      </c>
      <c r="AJ36" s="22" t="s">
        <v>83</v>
      </c>
    </row>
    <row r="37" spans="1:36" x14ac:dyDescent="0.25">
      <c r="A37" s="19">
        <v>36</v>
      </c>
      <c r="B37" s="20" t="s">
        <v>84</v>
      </c>
      <c r="C37" s="20" t="s">
        <v>183</v>
      </c>
      <c r="D37" s="20" t="s">
        <v>244</v>
      </c>
      <c r="E37" s="20" t="s">
        <v>283</v>
      </c>
      <c r="F37" s="20">
        <v>665</v>
      </c>
      <c r="G37" s="20" t="s">
        <v>246</v>
      </c>
      <c r="H37" s="20" t="s">
        <v>89</v>
      </c>
      <c r="I37" s="20" t="s">
        <v>284</v>
      </c>
      <c r="J37" s="20" t="s">
        <v>116</v>
      </c>
      <c r="K37" s="20" t="s">
        <v>285</v>
      </c>
      <c r="L37" s="20" t="s">
        <v>106</v>
      </c>
      <c r="M37" s="20">
        <v>36</v>
      </c>
      <c r="N37" s="20" t="s">
        <v>286</v>
      </c>
      <c r="O37" s="20" t="s">
        <v>108</v>
      </c>
      <c r="P37" s="20" t="s">
        <v>63</v>
      </c>
      <c r="Q37" s="20">
        <v>6.5</v>
      </c>
      <c r="R37" s="20" t="s">
        <v>64</v>
      </c>
      <c r="S37" s="20" t="s">
        <v>137</v>
      </c>
      <c r="T37" s="33">
        <v>889984729564</v>
      </c>
      <c r="U37" s="20">
        <v>108254</v>
      </c>
      <c r="V37" s="20">
        <v>1299048</v>
      </c>
      <c r="W37" s="20">
        <v>129904</v>
      </c>
      <c r="X37" s="20" t="s">
        <v>96</v>
      </c>
      <c r="Y37" s="20" t="s">
        <v>67</v>
      </c>
      <c r="Z37" s="20" t="s">
        <v>67</v>
      </c>
      <c r="AA37" s="20" t="s">
        <v>287</v>
      </c>
      <c r="AB37" s="20">
        <v>9661421</v>
      </c>
      <c r="AC37" s="20">
        <v>12.4</v>
      </c>
      <c r="AD37" s="20">
        <v>26</v>
      </c>
      <c r="AE37" s="20">
        <v>25</v>
      </c>
      <c r="AF37" s="20">
        <v>21640</v>
      </c>
      <c r="AG37" s="20">
        <v>3.8</v>
      </c>
      <c r="AH37" s="20" t="s">
        <v>64</v>
      </c>
      <c r="AI37" s="20" t="s">
        <v>286</v>
      </c>
      <c r="AJ37" s="22" t="s">
        <v>83</v>
      </c>
    </row>
    <row r="38" spans="1:36" x14ac:dyDescent="0.25">
      <c r="A38" s="13">
        <v>37</v>
      </c>
      <c r="B38" s="20" t="s">
        <v>69</v>
      </c>
      <c r="C38" s="20" t="s">
        <v>183</v>
      </c>
      <c r="D38" s="20" t="s">
        <v>111</v>
      </c>
      <c r="E38" s="20" t="s">
        <v>288</v>
      </c>
      <c r="F38" s="20">
        <v>906</v>
      </c>
      <c r="G38" s="20" t="s">
        <v>132</v>
      </c>
      <c r="H38" s="20" t="s">
        <v>289</v>
      </c>
      <c r="I38" s="20" t="s">
        <v>290</v>
      </c>
      <c r="J38" s="20" t="s">
        <v>198</v>
      </c>
      <c r="K38" s="20" t="s">
        <v>291</v>
      </c>
      <c r="L38" s="20" t="s">
        <v>143</v>
      </c>
      <c r="M38" s="20">
        <v>45</v>
      </c>
      <c r="N38" s="20" t="s">
        <v>292</v>
      </c>
      <c r="O38" s="20" t="s">
        <v>108</v>
      </c>
      <c r="P38" s="20" t="s">
        <v>63</v>
      </c>
      <c r="Q38" s="20">
        <v>4.5</v>
      </c>
      <c r="R38" s="20" t="s">
        <v>67</v>
      </c>
      <c r="S38" s="20" t="s">
        <v>80</v>
      </c>
      <c r="T38" s="33">
        <v>690328426008</v>
      </c>
      <c r="U38" s="20">
        <v>133483</v>
      </c>
      <c r="V38" s="20">
        <v>1601796</v>
      </c>
      <c r="W38" s="20">
        <v>160179</v>
      </c>
      <c r="X38" s="20" t="s">
        <v>96</v>
      </c>
      <c r="Y38" s="20" t="s">
        <v>67</v>
      </c>
      <c r="Z38" s="20" t="s">
        <v>67</v>
      </c>
      <c r="AA38" s="20" t="s">
        <v>287</v>
      </c>
      <c r="AB38" s="20">
        <v>22951370</v>
      </c>
      <c r="AC38" s="20">
        <v>17.8</v>
      </c>
      <c r="AD38" s="20">
        <v>23</v>
      </c>
      <c r="AE38" s="20">
        <v>19</v>
      </c>
      <c r="AF38" s="20">
        <v>14549</v>
      </c>
      <c r="AG38" s="20">
        <v>3.1</v>
      </c>
      <c r="AH38" s="20" t="s">
        <v>67</v>
      </c>
      <c r="AI38" s="20" t="s">
        <v>292</v>
      </c>
      <c r="AJ38" s="22" t="s">
        <v>83</v>
      </c>
    </row>
    <row r="39" spans="1:36" x14ac:dyDescent="0.25">
      <c r="A39" s="19">
        <v>38</v>
      </c>
      <c r="B39" s="20" t="s">
        <v>53</v>
      </c>
      <c r="C39" s="20" t="s">
        <v>129</v>
      </c>
      <c r="D39" s="20" t="s">
        <v>121</v>
      </c>
      <c r="E39" s="20" t="s">
        <v>293</v>
      </c>
      <c r="F39" s="20">
        <v>495</v>
      </c>
      <c r="G39" s="20" t="s">
        <v>72</v>
      </c>
      <c r="H39" s="20" t="s">
        <v>162</v>
      </c>
      <c r="I39" s="20" t="s">
        <v>294</v>
      </c>
      <c r="J39" s="20" t="s">
        <v>198</v>
      </c>
      <c r="K39" s="20" t="s">
        <v>295</v>
      </c>
      <c r="L39" s="20" t="s">
        <v>151</v>
      </c>
      <c r="M39" s="20">
        <v>38</v>
      </c>
      <c r="N39" s="20" t="s">
        <v>296</v>
      </c>
      <c r="O39" s="20" t="s">
        <v>79</v>
      </c>
      <c r="P39" s="20" t="s">
        <v>63</v>
      </c>
      <c r="Q39" s="20">
        <v>1.2</v>
      </c>
      <c r="R39" s="20" t="s">
        <v>64</v>
      </c>
      <c r="S39" s="20" t="s">
        <v>137</v>
      </c>
      <c r="T39" s="33">
        <v>675953876146</v>
      </c>
      <c r="U39" s="20">
        <v>69945</v>
      </c>
      <c r="V39" s="20">
        <v>839340</v>
      </c>
      <c r="W39" s="20">
        <v>83934</v>
      </c>
      <c r="X39" s="20" t="s">
        <v>81</v>
      </c>
      <c r="Y39" s="20" t="s">
        <v>64</v>
      </c>
      <c r="Z39" s="20" t="s">
        <v>67</v>
      </c>
      <c r="AA39" s="20" t="s">
        <v>128</v>
      </c>
      <c r="AB39" s="20">
        <v>4824763</v>
      </c>
      <c r="AC39" s="20">
        <v>16.3</v>
      </c>
      <c r="AD39" s="20">
        <v>24</v>
      </c>
      <c r="AE39" s="20">
        <v>22</v>
      </c>
      <c r="AF39" s="20">
        <v>22422</v>
      </c>
      <c r="AG39" s="20">
        <v>4.2</v>
      </c>
      <c r="AH39" s="20" t="s">
        <v>64</v>
      </c>
      <c r="AI39" s="20" t="s">
        <v>296</v>
      </c>
      <c r="AJ39" s="22" t="s">
        <v>83</v>
      </c>
    </row>
    <row r="40" spans="1:36" x14ac:dyDescent="0.25">
      <c r="A40" s="19">
        <v>39</v>
      </c>
      <c r="B40" s="20" t="s">
        <v>237</v>
      </c>
      <c r="C40" s="20" t="s">
        <v>138</v>
      </c>
      <c r="D40" s="20" t="s">
        <v>111</v>
      </c>
      <c r="E40" s="20" t="s">
        <v>288</v>
      </c>
      <c r="F40" s="20">
        <v>741</v>
      </c>
      <c r="G40" s="20" t="s">
        <v>147</v>
      </c>
      <c r="H40" s="20" t="s">
        <v>178</v>
      </c>
      <c r="I40" s="20" t="s">
        <v>297</v>
      </c>
      <c r="J40" s="20" t="s">
        <v>198</v>
      </c>
      <c r="K40" s="20" t="s">
        <v>298</v>
      </c>
      <c r="L40" s="20" t="s">
        <v>173</v>
      </c>
      <c r="M40" s="20">
        <v>24</v>
      </c>
      <c r="N40" s="20" t="s">
        <v>299</v>
      </c>
      <c r="O40" s="20" t="s">
        <v>108</v>
      </c>
      <c r="P40" s="20" t="s">
        <v>63</v>
      </c>
      <c r="Q40" s="20">
        <v>5.2</v>
      </c>
      <c r="R40" s="20" t="s">
        <v>67</v>
      </c>
      <c r="S40" s="20" t="s">
        <v>80</v>
      </c>
      <c r="T40" s="33">
        <v>201991584928</v>
      </c>
      <c r="U40" s="20">
        <v>126881</v>
      </c>
      <c r="V40" s="20">
        <v>1522572</v>
      </c>
      <c r="W40" s="20">
        <v>152257</v>
      </c>
      <c r="X40" s="20" t="s">
        <v>81</v>
      </c>
      <c r="Y40" s="20" t="s">
        <v>64</v>
      </c>
      <c r="Z40" s="20" t="s">
        <v>67</v>
      </c>
      <c r="AA40" s="20" t="s">
        <v>128</v>
      </c>
      <c r="AB40" s="20">
        <v>18179527</v>
      </c>
      <c r="AC40" s="20">
        <v>18.399999999999999</v>
      </c>
      <c r="AD40" s="20">
        <v>20</v>
      </c>
      <c r="AE40" s="20">
        <v>18</v>
      </c>
      <c r="AF40" s="20">
        <v>3838</v>
      </c>
      <c r="AG40" s="20">
        <v>3.2</v>
      </c>
      <c r="AH40" s="20" t="s">
        <v>67</v>
      </c>
      <c r="AI40" s="20" t="s">
        <v>299</v>
      </c>
      <c r="AJ40" s="22" t="s">
        <v>83</v>
      </c>
    </row>
    <row r="41" spans="1:36" x14ac:dyDescent="0.25">
      <c r="A41" s="13">
        <v>40</v>
      </c>
      <c r="B41" s="20" t="s">
        <v>119</v>
      </c>
      <c r="C41" s="20" t="s">
        <v>160</v>
      </c>
      <c r="D41" s="20" t="s">
        <v>145</v>
      </c>
      <c r="E41" s="20" t="s">
        <v>300</v>
      </c>
      <c r="F41" s="20">
        <v>521</v>
      </c>
      <c r="G41" s="20" t="s">
        <v>260</v>
      </c>
      <c r="H41" s="20" t="s">
        <v>211</v>
      </c>
      <c r="I41" s="20" t="s">
        <v>301</v>
      </c>
      <c r="J41" s="20" t="s">
        <v>192</v>
      </c>
      <c r="K41" s="20" t="s">
        <v>302</v>
      </c>
      <c r="L41" s="20" t="s">
        <v>151</v>
      </c>
      <c r="M41" s="20">
        <v>27</v>
      </c>
      <c r="N41" s="20" t="s">
        <v>303</v>
      </c>
      <c r="O41" s="20" t="s">
        <v>108</v>
      </c>
      <c r="P41" s="20" t="s">
        <v>63</v>
      </c>
      <c r="Q41" s="20">
        <v>7</v>
      </c>
      <c r="R41" s="20" t="s">
        <v>67</v>
      </c>
      <c r="S41" s="20" t="s">
        <v>95</v>
      </c>
      <c r="T41" s="33">
        <v>364927045739</v>
      </c>
      <c r="U41" s="20">
        <v>135230</v>
      </c>
      <c r="V41" s="20">
        <v>1622760</v>
      </c>
      <c r="W41" s="20">
        <v>162276</v>
      </c>
      <c r="X41" s="20" t="s">
        <v>109</v>
      </c>
      <c r="Y41" s="20" t="s">
        <v>64</v>
      </c>
      <c r="Z41" s="20" t="s">
        <v>67</v>
      </c>
      <c r="AA41" s="20" t="s">
        <v>182</v>
      </c>
      <c r="AB41" s="20">
        <v>15571526</v>
      </c>
      <c r="AC41" s="20">
        <v>14.3</v>
      </c>
      <c r="AD41" s="20">
        <v>27</v>
      </c>
      <c r="AE41" s="20">
        <v>25</v>
      </c>
      <c r="AF41" s="20">
        <v>24203</v>
      </c>
      <c r="AG41" s="20">
        <v>3.9</v>
      </c>
      <c r="AH41" s="20" t="s">
        <v>64</v>
      </c>
      <c r="AI41" s="20" t="s">
        <v>303</v>
      </c>
      <c r="AJ41" s="22" t="s">
        <v>83</v>
      </c>
    </row>
    <row r="42" spans="1:36" x14ac:dyDescent="0.25">
      <c r="A42" s="19">
        <v>41</v>
      </c>
      <c r="B42" s="20" t="s">
        <v>215</v>
      </c>
      <c r="C42" s="20" t="s">
        <v>129</v>
      </c>
      <c r="D42" s="20" t="s">
        <v>139</v>
      </c>
      <c r="E42" s="20" t="s">
        <v>304</v>
      </c>
      <c r="F42" s="20">
        <v>754</v>
      </c>
      <c r="G42" s="20" t="s">
        <v>246</v>
      </c>
      <c r="H42" s="20" t="s">
        <v>73</v>
      </c>
      <c r="I42" s="20" t="s">
        <v>305</v>
      </c>
      <c r="J42" s="20" t="s">
        <v>104</v>
      </c>
      <c r="K42" s="20" t="s">
        <v>306</v>
      </c>
      <c r="L42" s="20" t="s">
        <v>158</v>
      </c>
      <c r="M42" s="20">
        <v>49</v>
      </c>
      <c r="N42" s="20" t="s">
        <v>307</v>
      </c>
      <c r="O42" s="20" t="s">
        <v>62</v>
      </c>
      <c r="P42" s="20" t="s">
        <v>63</v>
      </c>
      <c r="Q42" s="20">
        <v>4.5</v>
      </c>
      <c r="R42" s="20" t="s">
        <v>67</v>
      </c>
      <c r="S42" s="20" t="s">
        <v>137</v>
      </c>
      <c r="T42" s="33">
        <v>358156110078</v>
      </c>
      <c r="U42" s="20">
        <v>21248</v>
      </c>
      <c r="V42" s="20">
        <v>254976</v>
      </c>
      <c r="W42" s="20">
        <v>25497</v>
      </c>
      <c r="X42" s="20" t="s">
        <v>96</v>
      </c>
      <c r="Y42" s="20" t="s">
        <v>67</v>
      </c>
      <c r="Z42" s="20" t="s">
        <v>67</v>
      </c>
      <c r="AA42" s="20" t="s">
        <v>68</v>
      </c>
      <c r="AB42" s="20">
        <v>3768403</v>
      </c>
      <c r="AC42" s="20">
        <v>14.2</v>
      </c>
      <c r="AD42" s="20">
        <v>24</v>
      </c>
      <c r="AE42" s="20">
        <v>24</v>
      </c>
      <c r="AF42" s="20">
        <v>20544</v>
      </c>
      <c r="AG42" s="20">
        <v>4.7</v>
      </c>
      <c r="AH42" s="20" t="s">
        <v>64</v>
      </c>
      <c r="AI42" s="20" t="s">
        <v>307</v>
      </c>
      <c r="AJ42" s="22" t="s">
        <v>83</v>
      </c>
    </row>
    <row r="43" spans="1:36" x14ac:dyDescent="0.25">
      <c r="A43" s="19">
        <v>42</v>
      </c>
      <c r="B43" s="20" t="s">
        <v>208</v>
      </c>
      <c r="C43" s="20" t="s">
        <v>99</v>
      </c>
      <c r="D43" s="20" t="s">
        <v>70</v>
      </c>
      <c r="E43" s="20" t="s">
        <v>71</v>
      </c>
      <c r="F43" s="20">
        <v>721</v>
      </c>
      <c r="G43" s="20" t="s">
        <v>101</v>
      </c>
      <c r="H43" s="20" t="s">
        <v>102</v>
      </c>
      <c r="I43" s="20" t="s">
        <v>103</v>
      </c>
      <c r="J43" s="20" t="s">
        <v>116</v>
      </c>
      <c r="K43" s="20" t="s">
        <v>308</v>
      </c>
      <c r="L43" s="20" t="s">
        <v>173</v>
      </c>
      <c r="M43" s="20">
        <v>30</v>
      </c>
      <c r="N43" s="20" t="s">
        <v>309</v>
      </c>
      <c r="O43" s="20" t="s">
        <v>108</v>
      </c>
      <c r="P43" s="20" t="s">
        <v>63</v>
      </c>
      <c r="Q43" s="20">
        <v>6.3</v>
      </c>
      <c r="R43" s="20" t="s">
        <v>64</v>
      </c>
      <c r="S43" s="20" t="s">
        <v>95</v>
      </c>
      <c r="T43" s="33">
        <v>145725684753</v>
      </c>
      <c r="U43" s="20">
        <v>110492</v>
      </c>
      <c r="V43" s="20">
        <v>1325904</v>
      </c>
      <c r="W43" s="20">
        <v>132590</v>
      </c>
      <c r="X43" s="20" t="s">
        <v>79</v>
      </c>
      <c r="Y43" s="20" t="s">
        <v>64</v>
      </c>
      <c r="Z43" s="20" t="s">
        <v>67</v>
      </c>
      <c r="AA43" s="20" t="s">
        <v>128</v>
      </c>
      <c r="AB43" s="20">
        <v>7824602</v>
      </c>
      <c r="AC43" s="20">
        <v>8</v>
      </c>
      <c r="AD43" s="20">
        <v>26</v>
      </c>
      <c r="AE43" s="20">
        <v>25</v>
      </c>
      <c r="AF43" s="20">
        <v>8579</v>
      </c>
      <c r="AG43" s="20">
        <v>2.8</v>
      </c>
      <c r="AH43" s="20" t="s">
        <v>67</v>
      </c>
      <c r="AI43" s="20" t="s">
        <v>309</v>
      </c>
      <c r="AJ43" s="22" t="s">
        <v>83</v>
      </c>
    </row>
    <row r="44" spans="1:36" x14ac:dyDescent="0.25">
      <c r="A44" s="13">
        <v>43</v>
      </c>
      <c r="B44" s="20" t="s">
        <v>189</v>
      </c>
      <c r="C44" s="20" t="s">
        <v>138</v>
      </c>
      <c r="D44" s="20" t="s">
        <v>70</v>
      </c>
      <c r="E44" s="20" t="s">
        <v>195</v>
      </c>
      <c r="F44" s="20">
        <v>363</v>
      </c>
      <c r="G44" s="20" t="s">
        <v>147</v>
      </c>
      <c r="H44" s="20" t="s">
        <v>289</v>
      </c>
      <c r="I44" s="20" t="s">
        <v>310</v>
      </c>
      <c r="J44" s="20" t="s">
        <v>91</v>
      </c>
      <c r="K44" s="20" t="s">
        <v>311</v>
      </c>
      <c r="L44" s="20" t="s">
        <v>106</v>
      </c>
      <c r="M44" s="20">
        <v>36</v>
      </c>
      <c r="N44" s="20" t="s">
        <v>312</v>
      </c>
      <c r="O44" s="20" t="s">
        <v>62</v>
      </c>
      <c r="P44" s="20" t="s">
        <v>63</v>
      </c>
      <c r="Q44" s="20">
        <v>7</v>
      </c>
      <c r="R44" s="20" t="s">
        <v>64</v>
      </c>
      <c r="S44" s="20" t="s">
        <v>95</v>
      </c>
      <c r="T44" s="33">
        <v>841844861994</v>
      </c>
      <c r="U44" s="20">
        <v>21511</v>
      </c>
      <c r="V44" s="20">
        <v>258132</v>
      </c>
      <c r="W44" s="20">
        <v>25813</v>
      </c>
      <c r="X44" s="20" t="s">
        <v>96</v>
      </c>
      <c r="Y44" s="20" t="s">
        <v>64</v>
      </c>
      <c r="Z44" s="20" t="s">
        <v>67</v>
      </c>
      <c r="AA44" s="20" t="s">
        <v>68</v>
      </c>
      <c r="AB44" s="20">
        <v>1973312</v>
      </c>
      <c r="AC44" s="20">
        <v>5.0999999999999996</v>
      </c>
      <c r="AD44" s="20">
        <v>25</v>
      </c>
      <c r="AE44" s="20">
        <v>20</v>
      </c>
      <c r="AF44" s="20">
        <v>24031</v>
      </c>
      <c r="AG44" s="20">
        <v>3.2</v>
      </c>
      <c r="AH44" s="20" t="s">
        <v>67</v>
      </c>
      <c r="AI44" s="20" t="s">
        <v>312</v>
      </c>
      <c r="AJ44" s="22" t="s">
        <v>83</v>
      </c>
    </row>
    <row r="45" spans="1:36" x14ac:dyDescent="0.25">
      <c r="A45" s="19">
        <v>44</v>
      </c>
      <c r="B45" s="20" t="s">
        <v>237</v>
      </c>
      <c r="C45" s="20" t="s">
        <v>167</v>
      </c>
      <c r="D45" s="20" t="s">
        <v>145</v>
      </c>
      <c r="E45" s="20" t="s">
        <v>313</v>
      </c>
      <c r="F45" s="20">
        <v>125</v>
      </c>
      <c r="G45" s="20" t="s">
        <v>314</v>
      </c>
      <c r="H45" s="20" t="s">
        <v>178</v>
      </c>
      <c r="I45" s="20" t="s">
        <v>315</v>
      </c>
      <c r="J45" s="20" t="s">
        <v>91</v>
      </c>
      <c r="K45" s="20" t="s">
        <v>316</v>
      </c>
      <c r="L45" s="20" t="s">
        <v>173</v>
      </c>
      <c r="M45" s="20">
        <v>29</v>
      </c>
      <c r="N45" s="20" t="s">
        <v>317</v>
      </c>
      <c r="O45" s="20" t="s">
        <v>108</v>
      </c>
      <c r="P45" s="20" t="s">
        <v>63</v>
      </c>
      <c r="Q45" s="20">
        <v>7.1</v>
      </c>
      <c r="R45" s="20" t="s">
        <v>67</v>
      </c>
      <c r="S45" s="20" t="s">
        <v>95</v>
      </c>
      <c r="T45" s="33">
        <v>814262468039</v>
      </c>
      <c r="U45" s="20">
        <v>123516</v>
      </c>
      <c r="V45" s="20">
        <v>1482192</v>
      </c>
      <c r="W45" s="20">
        <v>148219</v>
      </c>
      <c r="X45" s="20" t="s">
        <v>81</v>
      </c>
      <c r="Y45" s="20" t="s">
        <v>64</v>
      </c>
      <c r="Z45" s="20" t="s">
        <v>64</v>
      </c>
      <c r="AA45" s="20" t="s">
        <v>68</v>
      </c>
      <c r="AB45" s="20">
        <v>11922227</v>
      </c>
      <c r="AC45" s="20">
        <v>11.4</v>
      </c>
      <c r="AD45" s="20">
        <v>21</v>
      </c>
      <c r="AE45" s="20">
        <v>20</v>
      </c>
      <c r="AF45" s="20">
        <v>19614</v>
      </c>
      <c r="AG45" s="20">
        <v>2.8</v>
      </c>
      <c r="AH45" s="20" t="s">
        <v>67</v>
      </c>
      <c r="AI45" s="20" t="s">
        <v>317</v>
      </c>
      <c r="AJ45" s="22" t="s">
        <v>83</v>
      </c>
    </row>
    <row r="46" spans="1:36" x14ac:dyDescent="0.25">
      <c r="A46" s="19">
        <v>45</v>
      </c>
      <c r="B46" s="20" t="s">
        <v>237</v>
      </c>
      <c r="C46" s="20" t="s">
        <v>138</v>
      </c>
      <c r="D46" s="20" t="s">
        <v>111</v>
      </c>
      <c r="E46" s="20" t="s">
        <v>318</v>
      </c>
      <c r="F46" s="20">
        <v>860</v>
      </c>
      <c r="G46" s="20" t="s">
        <v>72</v>
      </c>
      <c r="H46" s="20" t="s">
        <v>170</v>
      </c>
      <c r="I46" s="20" t="s">
        <v>191</v>
      </c>
      <c r="J46" s="20" t="s">
        <v>75</v>
      </c>
      <c r="K46" s="20" t="s">
        <v>319</v>
      </c>
      <c r="L46" s="20" t="s">
        <v>158</v>
      </c>
      <c r="M46" s="20">
        <v>41</v>
      </c>
      <c r="N46" s="20" t="s">
        <v>320</v>
      </c>
      <c r="O46" s="20" t="s">
        <v>79</v>
      </c>
      <c r="P46" s="20" t="s">
        <v>63</v>
      </c>
      <c r="Q46" s="20">
        <v>3.3</v>
      </c>
      <c r="R46" s="20" t="s">
        <v>64</v>
      </c>
      <c r="S46" s="20" t="s">
        <v>95</v>
      </c>
      <c r="T46" s="33">
        <v>337814615356</v>
      </c>
      <c r="U46" s="20">
        <v>69057</v>
      </c>
      <c r="V46" s="20">
        <v>828684</v>
      </c>
      <c r="W46" s="20">
        <v>82868</v>
      </c>
      <c r="X46" s="20" t="s">
        <v>79</v>
      </c>
      <c r="Y46" s="20" t="s">
        <v>64</v>
      </c>
      <c r="Z46" s="20" t="s">
        <v>67</v>
      </c>
      <c r="AA46" s="20" t="s">
        <v>97</v>
      </c>
      <c r="AB46" s="20">
        <v>12272211</v>
      </c>
      <c r="AC46" s="20">
        <v>9.1999999999999993</v>
      </c>
      <c r="AD46" s="20">
        <v>30</v>
      </c>
      <c r="AE46" s="20">
        <v>28</v>
      </c>
      <c r="AF46" s="20">
        <v>3984</v>
      </c>
      <c r="AG46" s="20">
        <v>3.5</v>
      </c>
      <c r="AH46" s="20" t="s">
        <v>64</v>
      </c>
      <c r="AI46" s="20" t="s">
        <v>320</v>
      </c>
      <c r="AJ46" s="22" t="s">
        <v>83</v>
      </c>
    </row>
    <row r="47" spans="1:36" x14ac:dyDescent="0.25">
      <c r="A47" s="13">
        <v>46</v>
      </c>
      <c r="B47" s="20" t="s">
        <v>69</v>
      </c>
      <c r="C47" s="20" t="s">
        <v>99</v>
      </c>
      <c r="D47" s="20" t="s">
        <v>227</v>
      </c>
      <c r="E47" s="20" t="s">
        <v>321</v>
      </c>
      <c r="F47" s="20">
        <v>757</v>
      </c>
      <c r="G47" s="20" t="s">
        <v>314</v>
      </c>
      <c r="H47" s="20" t="s">
        <v>124</v>
      </c>
      <c r="I47" s="20" t="s">
        <v>322</v>
      </c>
      <c r="J47" s="20" t="s">
        <v>198</v>
      </c>
      <c r="K47" s="20" t="s">
        <v>323</v>
      </c>
      <c r="L47" s="20" t="s">
        <v>93</v>
      </c>
      <c r="M47" s="20">
        <v>29</v>
      </c>
      <c r="N47" s="20" t="s">
        <v>324</v>
      </c>
      <c r="O47" s="20" t="s">
        <v>108</v>
      </c>
      <c r="P47" s="20" t="s">
        <v>63</v>
      </c>
      <c r="Q47" s="20">
        <v>6.4</v>
      </c>
      <c r="R47" s="20" t="s">
        <v>64</v>
      </c>
      <c r="S47" s="20" t="s">
        <v>80</v>
      </c>
      <c r="T47" s="33">
        <v>941082663172</v>
      </c>
      <c r="U47" s="20">
        <v>142641</v>
      </c>
      <c r="V47" s="20">
        <v>1711692</v>
      </c>
      <c r="W47" s="20">
        <v>171169</v>
      </c>
      <c r="X47" s="20" t="s">
        <v>109</v>
      </c>
      <c r="Y47" s="20" t="s">
        <v>64</v>
      </c>
      <c r="Z47" s="20" t="s">
        <v>64</v>
      </c>
      <c r="AA47" s="20" t="s">
        <v>175</v>
      </c>
      <c r="AB47" s="20">
        <v>21813264</v>
      </c>
      <c r="AC47" s="20">
        <v>16.399999999999999</v>
      </c>
      <c r="AD47" s="20">
        <v>29</v>
      </c>
      <c r="AE47" s="20">
        <v>29</v>
      </c>
      <c r="AF47" s="20">
        <v>11085</v>
      </c>
      <c r="AG47" s="20">
        <v>4.5999999999999996</v>
      </c>
      <c r="AH47" s="20" t="s">
        <v>64</v>
      </c>
      <c r="AI47" s="20" t="s">
        <v>324</v>
      </c>
      <c r="AJ47" s="22" t="s">
        <v>83</v>
      </c>
    </row>
    <row r="48" spans="1:36" x14ac:dyDescent="0.25">
      <c r="A48" s="19">
        <v>47</v>
      </c>
      <c r="B48" s="20" t="s">
        <v>84</v>
      </c>
      <c r="C48" s="20" t="s">
        <v>138</v>
      </c>
      <c r="D48" s="20" t="s">
        <v>70</v>
      </c>
      <c r="E48" s="20" t="s">
        <v>195</v>
      </c>
      <c r="F48" s="20">
        <v>212</v>
      </c>
      <c r="G48" s="20" t="s">
        <v>233</v>
      </c>
      <c r="H48" s="20" t="s">
        <v>114</v>
      </c>
      <c r="I48" s="20" t="s">
        <v>325</v>
      </c>
      <c r="J48" s="20" t="s">
        <v>198</v>
      </c>
      <c r="K48" s="20" t="s">
        <v>326</v>
      </c>
      <c r="L48" s="20" t="s">
        <v>93</v>
      </c>
      <c r="M48" s="20">
        <v>47</v>
      </c>
      <c r="N48" s="20" t="s">
        <v>327</v>
      </c>
      <c r="O48" s="20" t="s">
        <v>108</v>
      </c>
      <c r="P48" s="20" t="s">
        <v>63</v>
      </c>
      <c r="Q48" s="20">
        <v>5.2</v>
      </c>
      <c r="R48" s="20" t="s">
        <v>67</v>
      </c>
      <c r="S48" s="20" t="s">
        <v>80</v>
      </c>
      <c r="T48" s="33">
        <v>388511190574</v>
      </c>
      <c r="U48" s="20">
        <v>76868</v>
      </c>
      <c r="V48" s="20">
        <v>922416</v>
      </c>
      <c r="W48" s="20">
        <v>92241</v>
      </c>
      <c r="X48" s="20" t="s">
        <v>109</v>
      </c>
      <c r="Y48" s="20" t="s">
        <v>67</v>
      </c>
      <c r="Z48" s="20" t="s">
        <v>64</v>
      </c>
      <c r="AA48" s="20" t="s">
        <v>97</v>
      </c>
      <c r="AB48" s="20">
        <v>9005048</v>
      </c>
      <c r="AC48" s="20">
        <v>16.2</v>
      </c>
      <c r="AD48" s="20">
        <v>28</v>
      </c>
      <c r="AE48" s="20">
        <v>24</v>
      </c>
      <c r="AF48" s="20">
        <v>5573</v>
      </c>
      <c r="AG48" s="20">
        <v>3.6</v>
      </c>
      <c r="AH48" s="20" t="s">
        <v>64</v>
      </c>
      <c r="AI48" s="20" t="s">
        <v>327</v>
      </c>
      <c r="AJ48" s="22" t="s">
        <v>83</v>
      </c>
    </row>
    <row r="49" spans="1:36" x14ac:dyDescent="0.25">
      <c r="A49" s="19">
        <v>48</v>
      </c>
      <c r="B49" s="20" t="s">
        <v>208</v>
      </c>
      <c r="C49" s="20" t="s">
        <v>54</v>
      </c>
      <c r="D49" s="20" t="s">
        <v>244</v>
      </c>
      <c r="E49" s="20" t="s">
        <v>328</v>
      </c>
      <c r="F49" s="20">
        <v>569</v>
      </c>
      <c r="G49" s="20" t="s">
        <v>233</v>
      </c>
      <c r="H49" s="20" t="s">
        <v>124</v>
      </c>
      <c r="I49" s="20" t="s">
        <v>329</v>
      </c>
      <c r="J49" s="20" t="s">
        <v>224</v>
      </c>
      <c r="K49" s="20" t="s">
        <v>330</v>
      </c>
      <c r="L49" s="20" t="s">
        <v>165</v>
      </c>
      <c r="M49" s="20">
        <v>35</v>
      </c>
      <c r="N49" s="20" t="s">
        <v>331</v>
      </c>
      <c r="O49" s="20" t="s">
        <v>79</v>
      </c>
      <c r="P49" s="20" t="s">
        <v>63</v>
      </c>
      <c r="Q49" s="20">
        <v>6.6</v>
      </c>
      <c r="R49" s="20" t="s">
        <v>67</v>
      </c>
      <c r="S49" s="20" t="s">
        <v>80</v>
      </c>
      <c r="T49" s="33">
        <v>189761667273</v>
      </c>
      <c r="U49" s="20">
        <v>61109</v>
      </c>
      <c r="V49" s="20">
        <v>733308</v>
      </c>
      <c r="W49" s="20">
        <v>73330</v>
      </c>
      <c r="X49" s="20" t="s">
        <v>109</v>
      </c>
      <c r="Y49" s="20" t="s">
        <v>64</v>
      </c>
      <c r="Z49" s="20" t="s">
        <v>64</v>
      </c>
      <c r="AA49" s="20" t="s">
        <v>182</v>
      </c>
      <c r="AB49" s="20">
        <v>8244710</v>
      </c>
      <c r="AC49" s="20">
        <v>13</v>
      </c>
      <c r="AD49" s="20">
        <v>25</v>
      </c>
      <c r="AE49" s="20">
        <v>22</v>
      </c>
      <c r="AF49" s="20">
        <v>21575</v>
      </c>
      <c r="AG49" s="20">
        <v>3.8</v>
      </c>
      <c r="AH49" s="20" t="s">
        <v>67</v>
      </c>
      <c r="AI49" s="20" t="s">
        <v>331</v>
      </c>
      <c r="AJ49" s="22" t="s">
        <v>83</v>
      </c>
    </row>
    <row r="50" spans="1:36" x14ac:dyDescent="0.25">
      <c r="A50" s="13">
        <v>49</v>
      </c>
      <c r="B50" s="20" t="s">
        <v>189</v>
      </c>
      <c r="C50" s="20" t="s">
        <v>120</v>
      </c>
      <c r="D50" s="20" t="s">
        <v>111</v>
      </c>
      <c r="E50" s="20" t="s">
        <v>332</v>
      </c>
      <c r="F50" s="20">
        <v>912</v>
      </c>
      <c r="G50" s="20" t="s">
        <v>196</v>
      </c>
      <c r="H50" s="20" t="s">
        <v>211</v>
      </c>
      <c r="I50" s="20" t="s">
        <v>333</v>
      </c>
      <c r="J50" s="20" t="s">
        <v>149</v>
      </c>
      <c r="K50" s="20" t="s">
        <v>334</v>
      </c>
      <c r="L50" s="20" t="s">
        <v>219</v>
      </c>
      <c r="M50" s="20">
        <v>35</v>
      </c>
      <c r="N50" s="20" t="s">
        <v>335</v>
      </c>
      <c r="O50" s="20" t="s">
        <v>62</v>
      </c>
      <c r="P50" s="20" t="s">
        <v>63</v>
      </c>
      <c r="Q50" s="20">
        <v>2.8</v>
      </c>
      <c r="R50" s="20" t="s">
        <v>67</v>
      </c>
      <c r="S50" s="20" t="s">
        <v>137</v>
      </c>
      <c r="T50" s="33">
        <v>601769944847</v>
      </c>
      <c r="U50" s="20">
        <v>21532</v>
      </c>
      <c r="V50" s="20">
        <v>258384</v>
      </c>
      <c r="W50" s="20">
        <v>25838</v>
      </c>
      <c r="X50" s="20" t="s">
        <v>79</v>
      </c>
      <c r="Y50" s="20" t="s">
        <v>64</v>
      </c>
      <c r="Z50" s="20" t="s">
        <v>67</v>
      </c>
      <c r="AA50" s="20" t="s">
        <v>153</v>
      </c>
      <c r="AB50" s="20">
        <v>2099430</v>
      </c>
      <c r="AC50" s="20">
        <v>7.3</v>
      </c>
      <c r="AD50" s="20">
        <v>22</v>
      </c>
      <c r="AE50" s="20">
        <v>17</v>
      </c>
      <c r="AF50" s="20">
        <v>17540</v>
      </c>
      <c r="AG50" s="20">
        <v>2.7</v>
      </c>
      <c r="AH50" s="20" t="s">
        <v>64</v>
      </c>
      <c r="AI50" s="20" t="s">
        <v>335</v>
      </c>
      <c r="AJ50" s="22" t="s">
        <v>83</v>
      </c>
    </row>
    <row r="51" spans="1:36" x14ac:dyDescent="0.25">
      <c r="A51" s="19">
        <v>50</v>
      </c>
      <c r="B51" s="20" t="s">
        <v>69</v>
      </c>
      <c r="C51" s="20" t="s">
        <v>154</v>
      </c>
      <c r="D51" s="20" t="s">
        <v>227</v>
      </c>
      <c r="E51" s="20" t="s">
        <v>336</v>
      </c>
      <c r="F51" s="20">
        <v>931</v>
      </c>
      <c r="G51" s="20" t="s">
        <v>72</v>
      </c>
      <c r="H51" s="20" t="s">
        <v>178</v>
      </c>
      <c r="I51" s="20" t="s">
        <v>337</v>
      </c>
      <c r="J51" s="20" t="s">
        <v>198</v>
      </c>
      <c r="K51" s="20" t="s">
        <v>338</v>
      </c>
      <c r="L51" s="20" t="s">
        <v>173</v>
      </c>
      <c r="M51" s="20">
        <v>39</v>
      </c>
      <c r="N51" s="20" t="s">
        <v>339</v>
      </c>
      <c r="O51" s="20" t="s">
        <v>79</v>
      </c>
      <c r="P51" s="20" t="s">
        <v>63</v>
      </c>
      <c r="Q51" s="20">
        <v>1.6</v>
      </c>
      <c r="R51" s="20" t="s">
        <v>64</v>
      </c>
      <c r="S51" s="20" t="s">
        <v>137</v>
      </c>
      <c r="T51" s="33">
        <v>567078914303</v>
      </c>
      <c r="U51" s="20">
        <v>43371</v>
      </c>
      <c r="V51" s="20">
        <v>520452</v>
      </c>
      <c r="W51" s="20">
        <v>52045</v>
      </c>
      <c r="X51" s="20" t="s">
        <v>96</v>
      </c>
      <c r="Y51" s="20" t="s">
        <v>67</v>
      </c>
      <c r="Z51" s="20" t="s">
        <v>67</v>
      </c>
      <c r="AA51" s="20" t="s">
        <v>97</v>
      </c>
      <c r="AB51" s="20">
        <v>5610048</v>
      </c>
      <c r="AC51" s="20">
        <v>6.6</v>
      </c>
      <c r="AD51" s="20">
        <v>30</v>
      </c>
      <c r="AE51" s="20">
        <v>27</v>
      </c>
      <c r="AF51" s="20">
        <v>9348</v>
      </c>
      <c r="AG51" s="20">
        <v>4.5999999999999996</v>
      </c>
      <c r="AH51" s="20" t="s">
        <v>67</v>
      </c>
      <c r="AI51" s="20" t="s">
        <v>339</v>
      </c>
      <c r="AJ51" s="22" t="s">
        <v>83</v>
      </c>
    </row>
    <row r="52" spans="1:36" x14ac:dyDescent="0.25">
      <c r="A52" s="19">
        <v>51</v>
      </c>
      <c r="B52" s="20" t="s">
        <v>189</v>
      </c>
      <c r="C52" s="20" t="s">
        <v>129</v>
      </c>
      <c r="D52" s="20" t="s">
        <v>227</v>
      </c>
      <c r="E52" s="20" t="s">
        <v>340</v>
      </c>
      <c r="F52" s="20">
        <v>687</v>
      </c>
      <c r="G52" s="20" t="s">
        <v>169</v>
      </c>
      <c r="H52" s="20" t="s">
        <v>170</v>
      </c>
      <c r="I52" s="20" t="s">
        <v>171</v>
      </c>
      <c r="J52" s="20" t="s">
        <v>149</v>
      </c>
      <c r="K52" s="20" t="s">
        <v>341</v>
      </c>
      <c r="L52" s="20" t="s">
        <v>173</v>
      </c>
      <c r="M52" s="20">
        <v>41</v>
      </c>
      <c r="N52" s="20" t="s">
        <v>342</v>
      </c>
      <c r="O52" s="20" t="s">
        <v>62</v>
      </c>
      <c r="P52" s="20" t="s">
        <v>63</v>
      </c>
      <c r="Q52" s="20">
        <v>1.6</v>
      </c>
      <c r="R52" s="20" t="s">
        <v>67</v>
      </c>
      <c r="S52" s="20" t="s">
        <v>80</v>
      </c>
      <c r="T52" s="33">
        <v>397127624567</v>
      </c>
      <c r="U52" s="20">
        <v>26513</v>
      </c>
      <c r="V52" s="20">
        <v>318156</v>
      </c>
      <c r="W52" s="20">
        <v>31815</v>
      </c>
      <c r="X52" s="20" t="s">
        <v>96</v>
      </c>
      <c r="Y52" s="20" t="s">
        <v>67</v>
      </c>
      <c r="Z52" s="20" t="s">
        <v>67</v>
      </c>
      <c r="AA52" s="20" t="s">
        <v>68</v>
      </c>
      <c r="AB52" s="20">
        <v>2167932</v>
      </c>
      <c r="AC52" s="20">
        <v>5.4</v>
      </c>
      <c r="AD52" s="20">
        <v>30</v>
      </c>
      <c r="AE52" s="20">
        <v>27</v>
      </c>
      <c r="AF52" s="20">
        <v>4280</v>
      </c>
      <c r="AG52" s="20">
        <v>2.9</v>
      </c>
      <c r="AH52" s="20" t="s">
        <v>64</v>
      </c>
      <c r="AI52" s="20" t="s">
        <v>342</v>
      </c>
      <c r="AJ52" s="22" t="s">
        <v>83</v>
      </c>
    </row>
    <row r="53" spans="1:36" x14ac:dyDescent="0.25">
      <c r="A53" s="13">
        <v>52</v>
      </c>
      <c r="B53" s="20" t="s">
        <v>69</v>
      </c>
      <c r="C53" s="20" t="s">
        <v>138</v>
      </c>
      <c r="D53" s="20" t="s">
        <v>145</v>
      </c>
      <c r="E53" s="20" t="s">
        <v>343</v>
      </c>
      <c r="F53" s="20">
        <v>529</v>
      </c>
      <c r="G53" s="20" t="s">
        <v>210</v>
      </c>
      <c r="H53" s="20" t="s">
        <v>250</v>
      </c>
      <c r="I53" s="20" t="s">
        <v>344</v>
      </c>
      <c r="J53" s="20" t="s">
        <v>192</v>
      </c>
      <c r="K53" s="20" t="s">
        <v>345</v>
      </c>
      <c r="L53" s="20" t="s">
        <v>93</v>
      </c>
      <c r="M53" s="20">
        <v>31</v>
      </c>
      <c r="N53" s="20" t="s">
        <v>346</v>
      </c>
      <c r="O53" s="20" t="s">
        <v>108</v>
      </c>
      <c r="P53" s="20" t="s">
        <v>63</v>
      </c>
      <c r="Q53" s="20">
        <v>4.2</v>
      </c>
      <c r="R53" s="20" t="s">
        <v>64</v>
      </c>
      <c r="S53" s="20" t="s">
        <v>80</v>
      </c>
      <c r="T53" s="33">
        <v>272466902454</v>
      </c>
      <c r="U53" s="20">
        <v>76522</v>
      </c>
      <c r="V53" s="20">
        <v>918264</v>
      </c>
      <c r="W53" s="20">
        <v>91826</v>
      </c>
      <c r="X53" s="20" t="s">
        <v>81</v>
      </c>
      <c r="Y53" s="20" t="s">
        <v>67</v>
      </c>
      <c r="Z53" s="20" t="s">
        <v>67</v>
      </c>
      <c r="AA53" s="20" t="s">
        <v>153</v>
      </c>
      <c r="AB53" s="20">
        <v>9050976</v>
      </c>
      <c r="AC53" s="20">
        <v>10.5</v>
      </c>
      <c r="AD53" s="20">
        <v>24</v>
      </c>
      <c r="AE53" s="20">
        <v>23</v>
      </c>
      <c r="AF53" s="20">
        <v>18788</v>
      </c>
      <c r="AG53" s="20">
        <v>2.8</v>
      </c>
      <c r="AH53" s="20" t="s">
        <v>67</v>
      </c>
      <c r="AI53" s="20" t="s">
        <v>346</v>
      </c>
      <c r="AJ53" s="22" t="s">
        <v>83</v>
      </c>
    </row>
    <row r="54" spans="1:36" x14ac:dyDescent="0.25">
      <c r="A54" s="19">
        <v>53</v>
      </c>
      <c r="B54" s="20" t="s">
        <v>69</v>
      </c>
      <c r="C54" s="20" t="s">
        <v>183</v>
      </c>
      <c r="D54" s="20" t="s">
        <v>139</v>
      </c>
      <c r="E54" s="20" t="s">
        <v>347</v>
      </c>
      <c r="F54" s="20">
        <v>639</v>
      </c>
      <c r="G54" s="20" t="s">
        <v>255</v>
      </c>
      <c r="H54" s="20" t="s">
        <v>124</v>
      </c>
      <c r="I54" s="20" t="s">
        <v>348</v>
      </c>
      <c r="J54" s="20" t="s">
        <v>116</v>
      </c>
      <c r="K54" s="20" t="s">
        <v>349</v>
      </c>
      <c r="L54" s="20" t="s">
        <v>165</v>
      </c>
      <c r="M54" s="20">
        <v>41</v>
      </c>
      <c r="N54" s="20" t="s">
        <v>350</v>
      </c>
      <c r="O54" s="20" t="s">
        <v>62</v>
      </c>
      <c r="P54" s="20" t="s">
        <v>63</v>
      </c>
      <c r="Q54" s="20">
        <v>7.2</v>
      </c>
      <c r="R54" s="20" t="s">
        <v>64</v>
      </c>
      <c r="S54" s="20" t="s">
        <v>137</v>
      </c>
      <c r="T54" s="33">
        <v>335988370017</v>
      </c>
      <c r="U54" s="20">
        <v>27572</v>
      </c>
      <c r="V54" s="20">
        <v>330864</v>
      </c>
      <c r="W54" s="20">
        <v>33086</v>
      </c>
      <c r="X54" s="20" t="s">
        <v>109</v>
      </c>
      <c r="Y54" s="20" t="s">
        <v>67</v>
      </c>
      <c r="Z54" s="20" t="s">
        <v>67</v>
      </c>
      <c r="AA54" s="20" t="s">
        <v>175</v>
      </c>
      <c r="AB54" s="20">
        <v>2051304</v>
      </c>
      <c r="AC54" s="20">
        <v>11.5</v>
      </c>
      <c r="AD54" s="20">
        <v>26</v>
      </c>
      <c r="AE54" s="20">
        <v>25</v>
      </c>
      <c r="AF54" s="20">
        <v>6233</v>
      </c>
      <c r="AG54" s="20">
        <v>3.5</v>
      </c>
      <c r="AH54" s="20" t="s">
        <v>64</v>
      </c>
      <c r="AI54" s="20" t="s">
        <v>350</v>
      </c>
      <c r="AJ54" s="22" t="s">
        <v>83</v>
      </c>
    </row>
    <row r="55" spans="1:36" x14ac:dyDescent="0.25">
      <c r="A55" s="19">
        <v>54</v>
      </c>
      <c r="B55" s="20" t="s">
        <v>189</v>
      </c>
      <c r="C55" s="20" t="s">
        <v>138</v>
      </c>
      <c r="D55" s="20" t="s">
        <v>86</v>
      </c>
      <c r="E55" s="20" t="s">
        <v>87</v>
      </c>
      <c r="F55" s="20">
        <v>506</v>
      </c>
      <c r="G55" s="20" t="s">
        <v>351</v>
      </c>
      <c r="H55" s="20" t="s">
        <v>170</v>
      </c>
      <c r="I55" s="20" t="s">
        <v>352</v>
      </c>
      <c r="J55" s="20" t="s">
        <v>198</v>
      </c>
      <c r="K55" s="20" t="s">
        <v>353</v>
      </c>
      <c r="L55" s="20" t="s">
        <v>158</v>
      </c>
      <c r="M55" s="20">
        <v>24</v>
      </c>
      <c r="N55" s="20" t="s">
        <v>354</v>
      </c>
      <c r="O55" s="20" t="s">
        <v>108</v>
      </c>
      <c r="P55" s="20" t="s">
        <v>63</v>
      </c>
      <c r="Q55" s="20">
        <v>4.3</v>
      </c>
      <c r="R55" s="20" t="s">
        <v>67</v>
      </c>
      <c r="S55" s="20" t="s">
        <v>95</v>
      </c>
      <c r="T55" s="33">
        <v>879126063625</v>
      </c>
      <c r="U55" s="20">
        <v>124747</v>
      </c>
      <c r="V55" s="20">
        <v>1496964</v>
      </c>
      <c r="W55" s="20">
        <v>149696</v>
      </c>
      <c r="X55" s="20" t="s">
        <v>96</v>
      </c>
      <c r="Y55" s="20" t="s">
        <v>64</v>
      </c>
      <c r="Z55" s="20" t="s">
        <v>67</v>
      </c>
      <c r="AA55" s="20" t="s">
        <v>68</v>
      </c>
      <c r="AB55" s="20">
        <v>21948481</v>
      </c>
      <c r="AC55" s="20">
        <v>5.9</v>
      </c>
      <c r="AD55" s="20">
        <v>29</v>
      </c>
      <c r="AE55" s="20">
        <v>26</v>
      </c>
      <c r="AF55" s="20">
        <v>24597</v>
      </c>
      <c r="AG55" s="20">
        <v>4.8</v>
      </c>
      <c r="AH55" s="20" t="s">
        <v>64</v>
      </c>
      <c r="AI55" s="20" t="s">
        <v>354</v>
      </c>
      <c r="AJ55" s="22" t="s">
        <v>83</v>
      </c>
    </row>
    <row r="56" spans="1:36" x14ac:dyDescent="0.25">
      <c r="A56" s="13">
        <v>55</v>
      </c>
      <c r="B56" s="20" t="s">
        <v>119</v>
      </c>
      <c r="C56" s="20" t="s">
        <v>167</v>
      </c>
      <c r="D56" s="20" t="s">
        <v>145</v>
      </c>
      <c r="E56" s="20" t="s">
        <v>343</v>
      </c>
      <c r="F56" s="20">
        <v>703</v>
      </c>
      <c r="G56" s="20" t="s">
        <v>88</v>
      </c>
      <c r="H56" s="20" t="s">
        <v>178</v>
      </c>
      <c r="I56" s="20" t="s">
        <v>355</v>
      </c>
      <c r="J56" s="20" t="s">
        <v>75</v>
      </c>
      <c r="K56" s="20" t="s">
        <v>356</v>
      </c>
      <c r="L56" s="20" t="s">
        <v>165</v>
      </c>
      <c r="M56" s="20">
        <v>49</v>
      </c>
      <c r="N56" s="20" t="s">
        <v>357</v>
      </c>
      <c r="O56" s="20" t="s">
        <v>108</v>
      </c>
      <c r="P56" s="20" t="s">
        <v>63</v>
      </c>
      <c r="Q56" s="20">
        <v>4.4000000000000004</v>
      </c>
      <c r="R56" s="20" t="s">
        <v>67</v>
      </c>
      <c r="S56" s="20" t="s">
        <v>80</v>
      </c>
      <c r="T56" s="33">
        <v>956129010748</v>
      </c>
      <c r="U56" s="20">
        <v>92037</v>
      </c>
      <c r="V56" s="20">
        <v>1104444</v>
      </c>
      <c r="W56" s="20">
        <v>110444</v>
      </c>
      <c r="X56" s="20" t="s">
        <v>81</v>
      </c>
      <c r="Y56" s="20" t="s">
        <v>64</v>
      </c>
      <c r="Z56" s="20" t="s">
        <v>64</v>
      </c>
      <c r="AA56" s="20" t="s">
        <v>175</v>
      </c>
      <c r="AB56" s="20">
        <v>9399919</v>
      </c>
      <c r="AC56" s="20">
        <v>19.3</v>
      </c>
      <c r="AD56" s="20">
        <v>30</v>
      </c>
      <c r="AE56" s="20">
        <v>29</v>
      </c>
      <c r="AF56" s="20">
        <v>9742</v>
      </c>
      <c r="AG56" s="20">
        <v>2.8</v>
      </c>
      <c r="AH56" s="20" t="s">
        <v>67</v>
      </c>
      <c r="AI56" s="20" t="s">
        <v>357</v>
      </c>
      <c r="AJ56" s="22" t="s">
        <v>83</v>
      </c>
    </row>
    <row r="57" spans="1:36" x14ac:dyDescent="0.25">
      <c r="A57" s="19">
        <v>56</v>
      </c>
      <c r="B57" s="20" t="s">
        <v>110</v>
      </c>
      <c r="C57" s="20" t="s">
        <v>160</v>
      </c>
      <c r="D57" s="20" t="s">
        <v>139</v>
      </c>
      <c r="E57" s="20" t="s">
        <v>358</v>
      </c>
      <c r="F57" s="20">
        <v>878</v>
      </c>
      <c r="G57" s="20" t="s">
        <v>177</v>
      </c>
      <c r="H57" s="20" t="s">
        <v>114</v>
      </c>
      <c r="I57" s="20" t="s">
        <v>359</v>
      </c>
      <c r="J57" s="20" t="s">
        <v>224</v>
      </c>
      <c r="K57" s="20" t="s">
        <v>360</v>
      </c>
      <c r="L57" s="20" t="s">
        <v>158</v>
      </c>
      <c r="M57" s="20">
        <v>46</v>
      </c>
      <c r="N57" s="20" t="s">
        <v>361</v>
      </c>
      <c r="O57" s="20" t="s">
        <v>108</v>
      </c>
      <c r="P57" s="20" t="s">
        <v>63</v>
      </c>
      <c r="Q57" s="20">
        <v>1.5</v>
      </c>
      <c r="R57" s="20" t="s">
        <v>67</v>
      </c>
      <c r="S57" s="20" t="s">
        <v>95</v>
      </c>
      <c r="T57" s="33">
        <v>806799110299</v>
      </c>
      <c r="U57" s="20">
        <v>112363</v>
      </c>
      <c r="V57" s="20">
        <v>1348356</v>
      </c>
      <c r="W57" s="20">
        <v>134835</v>
      </c>
      <c r="X57" s="20" t="s">
        <v>96</v>
      </c>
      <c r="Y57" s="20" t="s">
        <v>64</v>
      </c>
      <c r="Z57" s="20" t="s">
        <v>67</v>
      </c>
      <c r="AA57" s="20" t="s">
        <v>97</v>
      </c>
      <c r="AB57" s="20">
        <v>13064505</v>
      </c>
      <c r="AC57" s="20">
        <v>13.7</v>
      </c>
      <c r="AD57" s="20">
        <v>24</v>
      </c>
      <c r="AE57" s="20">
        <v>20</v>
      </c>
      <c r="AF57" s="20">
        <v>3840</v>
      </c>
      <c r="AG57" s="20">
        <v>3.4</v>
      </c>
      <c r="AH57" s="20" t="s">
        <v>64</v>
      </c>
      <c r="AI57" s="20" t="s">
        <v>361</v>
      </c>
      <c r="AJ57" s="22" t="s">
        <v>83</v>
      </c>
    </row>
    <row r="58" spans="1:36" x14ac:dyDescent="0.25">
      <c r="A58" s="19">
        <v>57</v>
      </c>
      <c r="B58" s="20" t="s">
        <v>98</v>
      </c>
      <c r="C58" s="20" t="s">
        <v>99</v>
      </c>
      <c r="D58" s="20" t="s">
        <v>121</v>
      </c>
      <c r="E58" s="20" t="s">
        <v>254</v>
      </c>
      <c r="F58" s="20">
        <v>158</v>
      </c>
      <c r="G58" s="20" t="s">
        <v>101</v>
      </c>
      <c r="H58" s="20" t="s">
        <v>289</v>
      </c>
      <c r="I58" s="20" t="s">
        <v>362</v>
      </c>
      <c r="J58" s="20" t="s">
        <v>75</v>
      </c>
      <c r="K58" s="20" t="s">
        <v>363</v>
      </c>
      <c r="L58" s="20" t="s">
        <v>106</v>
      </c>
      <c r="M58" s="20">
        <v>41</v>
      </c>
      <c r="N58" s="20" t="s">
        <v>364</v>
      </c>
      <c r="O58" s="20" t="s">
        <v>108</v>
      </c>
      <c r="P58" s="20" t="s">
        <v>63</v>
      </c>
      <c r="Q58" s="20">
        <v>1.2</v>
      </c>
      <c r="R58" s="20" t="s">
        <v>67</v>
      </c>
      <c r="S58" s="20" t="s">
        <v>137</v>
      </c>
      <c r="T58" s="33">
        <v>708082884546</v>
      </c>
      <c r="U58" s="20">
        <v>75376</v>
      </c>
      <c r="V58" s="20">
        <v>904512</v>
      </c>
      <c r="W58" s="20">
        <v>90451</v>
      </c>
      <c r="X58" s="20" t="s">
        <v>79</v>
      </c>
      <c r="Y58" s="20" t="s">
        <v>64</v>
      </c>
      <c r="Z58" s="20" t="s">
        <v>67</v>
      </c>
      <c r="AA58" s="20" t="s">
        <v>287</v>
      </c>
      <c r="AB58" s="20">
        <v>9057487</v>
      </c>
      <c r="AC58" s="20">
        <v>19.3</v>
      </c>
      <c r="AD58" s="20">
        <v>27</v>
      </c>
      <c r="AE58" s="20">
        <v>27</v>
      </c>
      <c r="AF58" s="20">
        <v>13253</v>
      </c>
      <c r="AG58" s="20">
        <v>5</v>
      </c>
      <c r="AH58" s="20" t="s">
        <v>64</v>
      </c>
      <c r="AI58" s="20" t="s">
        <v>364</v>
      </c>
      <c r="AJ58" s="22" t="s">
        <v>83</v>
      </c>
    </row>
    <row r="59" spans="1:36" x14ac:dyDescent="0.25">
      <c r="A59" s="13">
        <v>58</v>
      </c>
      <c r="B59" s="20" t="s">
        <v>189</v>
      </c>
      <c r="C59" s="20" t="s">
        <v>160</v>
      </c>
      <c r="D59" s="20" t="s">
        <v>55</v>
      </c>
      <c r="E59" s="20" t="s">
        <v>365</v>
      </c>
      <c r="F59" s="20">
        <v>824</v>
      </c>
      <c r="G59" s="20" t="s">
        <v>210</v>
      </c>
      <c r="H59" s="20" t="s">
        <v>162</v>
      </c>
      <c r="I59" s="20" t="s">
        <v>366</v>
      </c>
      <c r="J59" s="20" t="s">
        <v>149</v>
      </c>
      <c r="K59" s="20" t="s">
        <v>367</v>
      </c>
      <c r="L59" s="20" t="s">
        <v>77</v>
      </c>
      <c r="M59" s="20">
        <v>41</v>
      </c>
      <c r="N59" s="20" t="s">
        <v>368</v>
      </c>
      <c r="O59" s="20" t="s">
        <v>79</v>
      </c>
      <c r="P59" s="20" t="s">
        <v>63</v>
      </c>
      <c r="Q59" s="20">
        <v>6.1</v>
      </c>
      <c r="R59" s="20" t="s">
        <v>67</v>
      </c>
      <c r="S59" s="20" t="s">
        <v>137</v>
      </c>
      <c r="T59" s="33">
        <v>548340540254</v>
      </c>
      <c r="U59" s="20">
        <v>62175</v>
      </c>
      <c r="V59" s="20">
        <v>746100</v>
      </c>
      <c r="W59" s="20">
        <v>74610</v>
      </c>
      <c r="X59" s="20" t="s">
        <v>81</v>
      </c>
      <c r="Y59" s="20" t="s">
        <v>67</v>
      </c>
      <c r="Z59" s="20" t="s">
        <v>64</v>
      </c>
      <c r="AA59" s="20" t="s">
        <v>175</v>
      </c>
      <c r="AB59" s="20">
        <v>4435608</v>
      </c>
      <c r="AC59" s="20">
        <v>14.5</v>
      </c>
      <c r="AD59" s="20">
        <v>24</v>
      </c>
      <c r="AE59" s="20">
        <v>22</v>
      </c>
      <c r="AF59" s="20">
        <v>23514</v>
      </c>
      <c r="AG59" s="20">
        <v>4.9000000000000004</v>
      </c>
      <c r="AH59" s="20" t="s">
        <v>64</v>
      </c>
      <c r="AI59" s="20" t="s">
        <v>368</v>
      </c>
      <c r="AJ59" s="22" t="s">
        <v>83</v>
      </c>
    </row>
    <row r="60" spans="1:36" x14ac:dyDescent="0.25">
      <c r="A60" s="19">
        <v>59</v>
      </c>
      <c r="B60" s="20" t="s">
        <v>237</v>
      </c>
      <c r="C60" s="20" t="s">
        <v>167</v>
      </c>
      <c r="D60" s="20" t="s">
        <v>139</v>
      </c>
      <c r="E60" s="20" t="s">
        <v>358</v>
      </c>
      <c r="F60" s="20">
        <v>458</v>
      </c>
      <c r="G60" s="20" t="s">
        <v>255</v>
      </c>
      <c r="H60" s="20" t="s">
        <v>211</v>
      </c>
      <c r="I60" s="20" t="s">
        <v>369</v>
      </c>
      <c r="J60" s="20" t="s">
        <v>217</v>
      </c>
      <c r="K60" s="20" t="s">
        <v>370</v>
      </c>
      <c r="L60" s="20" t="s">
        <v>151</v>
      </c>
      <c r="M60" s="20">
        <v>41</v>
      </c>
      <c r="N60" s="20" t="s">
        <v>371</v>
      </c>
      <c r="O60" s="20" t="s">
        <v>79</v>
      </c>
      <c r="P60" s="20" t="s">
        <v>63</v>
      </c>
      <c r="Q60" s="20">
        <v>6.9</v>
      </c>
      <c r="R60" s="20" t="s">
        <v>67</v>
      </c>
      <c r="S60" s="20" t="s">
        <v>95</v>
      </c>
      <c r="T60" s="33">
        <v>464177415102</v>
      </c>
      <c r="U60" s="20">
        <v>48375</v>
      </c>
      <c r="V60" s="20">
        <v>580500</v>
      </c>
      <c r="W60" s="20">
        <v>58050</v>
      </c>
      <c r="X60" s="20" t="s">
        <v>81</v>
      </c>
      <c r="Y60" s="20" t="s">
        <v>67</v>
      </c>
      <c r="Z60" s="20" t="s">
        <v>67</v>
      </c>
      <c r="AA60" s="20" t="s">
        <v>68</v>
      </c>
      <c r="AB60" s="20">
        <v>5007379</v>
      </c>
      <c r="AC60" s="20">
        <v>6.1</v>
      </c>
      <c r="AD60" s="20">
        <v>23</v>
      </c>
      <c r="AE60" s="20">
        <v>21</v>
      </c>
      <c r="AF60" s="20">
        <v>17934</v>
      </c>
      <c r="AG60" s="20">
        <v>3</v>
      </c>
      <c r="AH60" s="20" t="s">
        <v>64</v>
      </c>
      <c r="AI60" s="20" t="s">
        <v>371</v>
      </c>
      <c r="AJ60" s="22" t="s">
        <v>83</v>
      </c>
    </row>
    <row r="61" spans="1:36" x14ac:dyDescent="0.25">
      <c r="A61" s="19">
        <v>60</v>
      </c>
      <c r="B61" s="20" t="s">
        <v>84</v>
      </c>
      <c r="C61" s="20" t="s">
        <v>167</v>
      </c>
      <c r="D61" s="20" t="s">
        <v>70</v>
      </c>
      <c r="E61" s="20" t="s">
        <v>372</v>
      </c>
      <c r="F61" s="20">
        <v>619</v>
      </c>
      <c r="G61" s="20" t="s">
        <v>123</v>
      </c>
      <c r="H61" s="20" t="s">
        <v>73</v>
      </c>
      <c r="I61" s="20" t="s">
        <v>141</v>
      </c>
      <c r="J61" s="20" t="s">
        <v>149</v>
      </c>
      <c r="K61" s="20" t="s">
        <v>373</v>
      </c>
      <c r="L61" s="20" t="s">
        <v>61</v>
      </c>
      <c r="M61" s="20">
        <v>43</v>
      </c>
      <c r="N61" s="20" t="s">
        <v>374</v>
      </c>
      <c r="O61" s="20" t="s">
        <v>108</v>
      </c>
      <c r="P61" s="20" t="s">
        <v>63</v>
      </c>
      <c r="Q61" s="20">
        <v>4.0999999999999996</v>
      </c>
      <c r="R61" s="20" t="s">
        <v>64</v>
      </c>
      <c r="S61" s="20" t="s">
        <v>95</v>
      </c>
      <c r="T61" s="33">
        <v>269121724065</v>
      </c>
      <c r="U61" s="20">
        <v>91266</v>
      </c>
      <c r="V61" s="20">
        <v>1095192</v>
      </c>
      <c r="W61" s="20">
        <v>109519</v>
      </c>
      <c r="X61" s="20" t="s">
        <v>109</v>
      </c>
      <c r="Y61" s="20" t="s">
        <v>64</v>
      </c>
      <c r="Z61" s="20" t="s">
        <v>67</v>
      </c>
      <c r="AA61" s="20" t="s">
        <v>68</v>
      </c>
      <c r="AB61" s="20">
        <v>9975650</v>
      </c>
      <c r="AC61" s="20">
        <v>14.5</v>
      </c>
      <c r="AD61" s="20">
        <v>23</v>
      </c>
      <c r="AE61" s="20">
        <v>20</v>
      </c>
      <c r="AF61" s="20">
        <v>22007</v>
      </c>
      <c r="AG61" s="20">
        <v>3.2</v>
      </c>
      <c r="AH61" s="20" t="s">
        <v>67</v>
      </c>
      <c r="AI61" s="20" t="s">
        <v>374</v>
      </c>
      <c r="AJ61" s="22" t="s">
        <v>83</v>
      </c>
    </row>
    <row r="62" spans="1:36" x14ac:dyDescent="0.25">
      <c r="A62" s="13">
        <v>61</v>
      </c>
      <c r="B62" s="20" t="s">
        <v>110</v>
      </c>
      <c r="C62" s="20" t="s">
        <v>138</v>
      </c>
      <c r="D62" s="20" t="s">
        <v>145</v>
      </c>
      <c r="E62" s="20" t="s">
        <v>146</v>
      </c>
      <c r="F62" s="20">
        <v>928</v>
      </c>
      <c r="G62" s="20" t="s">
        <v>147</v>
      </c>
      <c r="H62" s="20" t="s">
        <v>102</v>
      </c>
      <c r="I62" s="20" t="s">
        <v>148</v>
      </c>
      <c r="J62" s="20" t="s">
        <v>91</v>
      </c>
      <c r="K62" s="20" t="s">
        <v>375</v>
      </c>
      <c r="L62" s="20" t="s">
        <v>173</v>
      </c>
      <c r="M62" s="20">
        <v>36</v>
      </c>
      <c r="N62" s="20" t="s">
        <v>376</v>
      </c>
      <c r="O62" s="20" t="s">
        <v>79</v>
      </c>
      <c r="P62" s="20" t="s">
        <v>63</v>
      </c>
      <c r="Q62" s="20">
        <v>2.7</v>
      </c>
      <c r="R62" s="20" t="s">
        <v>67</v>
      </c>
      <c r="S62" s="20" t="s">
        <v>95</v>
      </c>
      <c r="T62" s="33">
        <v>561826923220</v>
      </c>
      <c r="U62" s="20">
        <v>50620</v>
      </c>
      <c r="V62" s="20">
        <v>607440</v>
      </c>
      <c r="W62" s="20">
        <v>60744</v>
      </c>
      <c r="X62" s="20" t="s">
        <v>109</v>
      </c>
      <c r="Y62" s="20" t="s">
        <v>64</v>
      </c>
      <c r="Z62" s="20" t="s">
        <v>67</v>
      </c>
      <c r="AA62" s="20" t="s">
        <v>68</v>
      </c>
      <c r="AB62" s="20">
        <v>6931977</v>
      </c>
      <c r="AC62" s="20">
        <v>17.899999999999999</v>
      </c>
      <c r="AD62" s="20">
        <v>28</v>
      </c>
      <c r="AE62" s="20">
        <v>28</v>
      </c>
      <c r="AF62" s="20">
        <v>18905</v>
      </c>
      <c r="AG62" s="20">
        <v>4.5999999999999996</v>
      </c>
      <c r="AH62" s="20" t="s">
        <v>67</v>
      </c>
      <c r="AI62" s="20" t="s">
        <v>376</v>
      </c>
      <c r="AJ62" s="22" t="s">
        <v>83</v>
      </c>
    </row>
    <row r="63" spans="1:36" x14ac:dyDescent="0.25">
      <c r="A63" s="19">
        <v>62</v>
      </c>
      <c r="B63" s="20" t="s">
        <v>69</v>
      </c>
      <c r="C63" s="20" t="s">
        <v>160</v>
      </c>
      <c r="D63" s="20" t="s">
        <v>70</v>
      </c>
      <c r="E63" s="20" t="s">
        <v>377</v>
      </c>
      <c r="F63" s="20">
        <v>625</v>
      </c>
      <c r="G63" s="20" t="s">
        <v>72</v>
      </c>
      <c r="H63" s="20" t="s">
        <v>170</v>
      </c>
      <c r="I63" s="20" t="s">
        <v>191</v>
      </c>
      <c r="J63" s="20" t="s">
        <v>75</v>
      </c>
      <c r="K63" s="20" t="s">
        <v>378</v>
      </c>
      <c r="L63" s="20" t="s">
        <v>219</v>
      </c>
      <c r="M63" s="20">
        <v>48</v>
      </c>
      <c r="N63" s="20" t="s">
        <v>379</v>
      </c>
      <c r="O63" s="20" t="s">
        <v>79</v>
      </c>
      <c r="P63" s="20" t="s">
        <v>63</v>
      </c>
      <c r="Q63" s="20">
        <v>2.8</v>
      </c>
      <c r="R63" s="20" t="s">
        <v>64</v>
      </c>
      <c r="S63" s="20" t="s">
        <v>137</v>
      </c>
      <c r="T63" s="33">
        <v>534020433500</v>
      </c>
      <c r="U63" s="20">
        <v>72899</v>
      </c>
      <c r="V63" s="20">
        <v>874788</v>
      </c>
      <c r="W63" s="20">
        <v>87478</v>
      </c>
      <c r="X63" s="20" t="s">
        <v>96</v>
      </c>
      <c r="Y63" s="20" t="s">
        <v>64</v>
      </c>
      <c r="Z63" s="20" t="s">
        <v>67</v>
      </c>
      <c r="AA63" s="20" t="s">
        <v>97</v>
      </c>
      <c r="AB63" s="20">
        <v>7653631</v>
      </c>
      <c r="AC63" s="20">
        <v>3.5</v>
      </c>
      <c r="AD63" s="20">
        <v>21</v>
      </c>
      <c r="AE63" s="20">
        <v>16</v>
      </c>
      <c r="AF63" s="20">
        <v>23297</v>
      </c>
      <c r="AG63" s="20">
        <v>3.3</v>
      </c>
      <c r="AH63" s="20" t="s">
        <v>64</v>
      </c>
      <c r="AI63" s="20" t="s">
        <v>379</v>
      </c>
      <c r="AJ63" s="22" t="s">
        <v>83</v>
      </c>
    </row>
    <row r="64" spans="1:36" x14ac:dyDescent="0.25">
      <c r="A64" s="19">
        <v>63</v>
      </c>
      <c r="B64" s="20" t="s">
        <v>84</v>
      </c>
      <c r="C64" s="20" t="s">
        <v>54</v>
      </c>
      <c r="D64" s="20" t="s">
        <v>70</v>
      </c>
      <c r="E64" s="20" t="s">
        <v>377</v>
      </c>
      <c r="F64" s="20">
        <v>812</v>
      </c>
      <c r="G64" s="20" t="s">
        <v>72</v>
      </c>
      <c r="H64" s="20" t="s">
        <v>73</v>
      </c>
      <c r="I64" s="20" t="s">
        <v>74</v>
      </c>
      <c r="J64" s="20" t="s">
        <v>224</v>
      </c>
      <c r="K64" s="20" t="s">
        <v>380</v>
      </c>
      <c r="L64" s="20" t="s">
        <v>158</v>
      </c>
      <c r="M64" s="20">
        <v>41</v>
      </c>
      <c r="N64" s="20" t="s">
        <v>381</v>
      </c>
      <c r="O64" s="20" t="s">
        <v>62</v>
      </c>
      <c r="P64" s="20" t="s">
        <v>63</v>
      </c>
      <c r="Q64" s="20">
        <v>7.8</v>
      </c>
      <c r="R64" s="20" t="s">
        <v>64</v>
      </c>
      <c r="S64" s="20" t="s">
        <v>137</v>
      </c>
      <c r="T64" s="33">
        <v>701937603321</v>
      </c>
      <c r="U64" s="20">
        <v>26915</v>
      </c>
      <c r="V64" s="20">
        <v>322980</v>
      </c>
      <c r="W64" s="20">
        <v>32298</v>
      </c>
      <c r="X64" s="20" t="s">
        <v>79</v>
      </c>
      <c r="Y64" s="20" t="s">
        <v>64</v>
      </c>
      <c r="Z64" s="20" t="s">
        <v>67</v>
      </c>
      <c r="AA64" s="20" t="s">
        <v>82</v>
      </c>
      <c r="AB64" s="20">
        <v>2587558</v>
      </c>
      <c r="AC64" s="20">
        <v>3.8</v>
      </c>
      <c r="AD64" s="20">
        <v>26</v>
      </c>
      <c r="AE64" s="20">
        <v>21</v>
      </c>
      <c r="AF64" s="20">
        <v>22408</v>
      </c>
      <c r="AG64" s="20">
        <v>3.6</v>
      </c>
      <c r="AH64" s="20" t="s">
        <v>64</v>
      </c>
      <c r="AI64" s="20" t="s">
        <v>381</v>
      </c>
      <c r="AJ64" s="22" t="s">
        <v>83</v>
      </c>
    </row>
    <row r="65" spans="1:36" x14ac:dyDescent="0.25">
      <c r="A65" s="13">
        <v>64</v>
      </c>
      <c r="B65" s="20" t="s">
        <v>215</v>
      </c>
      <c r="C65" s="20" t="s">
        <v>120</v>
      </c>
      <c r="D65" s="20" t="s">
        <v>244</v>
      </c>
      <c r="E65" s="20" t="s">
        <v>283</v>
      </c>
      <c r="F65" s="20">
        <v>747</v>
      </c>
      <c r="G65" s="20" t="s">
        <v>132</v>
      </c>
      <c r="H65" s="20" t="s">
        <v>382</v>
      </c>
      <c r="I65" s="20" t="s">
        <v>383</v>
      </c>
      <c r="J65" s="20" t="s">
        <v>116</v>
      </c>
      <c r="K65" s="20" t="s">
        <v>384</v>
      </c>
      <c r="L65" s="20" t="s">
        <v>151</v>
      </c>
      <c r="M65" s="20">
        <v>31</v>
      </c>
      <c r="N65" s="20" t="s">
        <v>385</v>
      </c>
      <c r="O65" s="20" t="s">
        <v>62</v>
      </c>
      <c r="P65" s="20" t="s">
        <v>63</v>
      </c>
      <c r="Q65" s="20">
        <v>3</v>
      </c>
      <c r="R65" s="20" t="s">
        <v>67</v>
      </c>
      <c r="S65" s="20" t="s">
        <v>80</v>
      </c>
      <c r="T65" s="33">
        <v>557717515381</v>
      </c>
      <c r="U65" s="20">
        <v>18068</v>
      </c>
      <c r="V65" s="20">
        <v>216816</v>
      </c>
      <c r="W65" s="20">
        <v>21681</v>
      </c>
      <c r="X65" s="20" t="s">
        <v>81</v>
      </c>
      <c r="Y65" s="20" t="s">
        <v>67</v>
      </c>
      <c r="Z65" s="20" t="s">
        <v>64</v>
      </c>
      <c r="AA65" s="20" t="s">
        <v>68</v>
      </c>
      <c r="AB65" s="20">
        <v>1930646</v>
      </c>
      <c r="AC65" s="20">
        <v>11</v>
      </c>
      <c r="AD65" s="20">
        <v>30</v>
      </c>
      <c r="AE65" s="20">
        <v>27</v>
      </c>
      <c r="AF65" s="20">
        <v>14232</v>
      </c>
      <c r="AG65" s="20">
        <v>3.1</v>
      </c>
      <c r="AH65" s="20" t="s">
        <v>64</v>
      </c>
      <c r="AI65" s="20" t="s">
        <v>385</v>
      </c>
      <c r="AJ65" s="22" t="s">
        <v>83</v>
      </c>
    </row>
    <row r="66" spans="1:36" x14ac:dyDescent="0.25">
      <c r="A66" s="19">
        <v>65</v>
      </c>
      <c r="B66" s="20" t="s">
        <v>237</v>
      </c>
      <c r="C66" s="20" t="s">
        <v>167</v>
      </c>
      <c r="D66" s="20" t="s">
        <v>86</v>
      </c>
      <c r="E66" s="20" t="s">
        <v>386</v>
      </c>
      <c r="F66" s="20">
        <v>850</v>
      </c>
      <c r="G66" s="20" t="s">
        <v>196</v>
      </c>
      <c r="H66" s="20" t="s">
        <v>382</v>
      </c>
      <c r="I66" s="20" t="s">
        <v>387</v>
      </c>
      <c r="J66" s="20" t="s">
        <v>91</v>
      </c>
      <c r="K66" s="20" t="s">
        <v>388</v>
      </c>
      <c r="L66" s="20" t="s">
        <v>151</v>
      </c>
      <c r="M66" s="20">
        <v>23</v>
      </c>
      <c r="N66" s="20" t="s">
        <v>389</v>
      </c>
      <c r="O66" s="20" t="s">
        <v>108</v>
      </c>
      <c r="P66" s="20" t="s">
        <v>63</v>
      </c>
      <c r="Q66" s="20">
        <v>3.9</v>
      </c>
      <c r="R66" s="20" t="s">
        <v>67</v>
      </c>
      <c r="S66" s="20" t="s">
        <v>95</v>
      </c>
      <c r="T66" s="33">
        <v>854965668757</v>
      </c>
      <c r="U66" s="20">
        <v>130899</v>
      </c>
      <c r="V66" s="20">
        <v>1570788</v>
      </c>
      <c r="W66" s="20">
        <v>157078</v>
      </c>
      <c r="X66" s="20" t="s">
        <v>79</v>
      </c>
      <c r="Y66" s="20" t="s">
        <v>64</v>
      </c>
      <c r="Z66" s="20" t="s">
        <v>64</v>
      </c>
      <c r="AA66" s="20" t="s">
        <v>97</v>
      </c>
      <c r="AB66" s="20">
        <v>19101489</v>
      </c>
      <c r="AC66" s="20">
        <v>19</v>
      </c>
      <c r="AD66" s="20">
        <v>20</v>
      </c>
      <c r="AE66" s="20">
        <v>18</v>
      </c>
      <c r="AF66" s="20">
        <v>8605</v>
      </c>
      <c r="AG66" s="20">
        <v>2.6</v>
      </c>
      <c r="AH66" s="20" t="s">
        <v>64</v>
      </c>
      <c r="AI66" s="20" t="s">
        <v>389</v>
      </c>
      <c r="AJ66" s="22" t="s">
        <v>83</v>
      </c>
    </row>
    <row r="67" spans="1:36" x14ac:dyDescent="0.25">
      <c r="A67" s="19">
        <v>66</v>
      </c>
      <c r="B67" s="20" t="s">
        <v>53</v>
      </c>
      <c r="C67" s="20" t="s">
        <v>129</v>
      </c>
      <c r="D67" s="20" t="s">
        <v>70</v>
      </c>
      <c r="E67" s="20" t="s">
        <v>390</v>
      </c>
      <c r="F67" s="20">
        <v>507</v>
      </c>
      <c r="G67" s="20" t="s">
        <v>123</v>
      </c>
      <c r="H67" s="20" t="s">
        <v>162</v>
      </c>
      <c r="I67" s="20" t="s">
        <v>391</v>
      </c>
      <c r="J67" s="20" t="s">
        <v>104</v>
      </c>
      <c r="K67" s="20" t="s">
        <v>392</v>
      </c>
      <c r="L67" s="20" t="s">
        <v>61</v>
      </c>
      <c r="M67" s="20">
        <v>46</v>
      </c>
      <c r="N67" s="20" t="s">
        <v>393</v>
      </c>
      <c r="O67" s="20" t="s">
        <v>79</v>
      </c>
      <c r="P67" s="20" t="s">
        <v>63</v>
      </c>
      <c r="Q67" s="20">
        <v>5.7</v>
      </c>
      <c r="R67" s="20" t="s">
        <v>67</v>
      </c>
      <c r="S67" s="20" t="s">
        <v>80</v>
      </c>
      <c r="T67" s="33">
        <v>820978113703</v>
      </c>
      <c r="U67" s="20">
        <v>61753</v>
      </c>
      <c r="V67" s="20">
        <v>741036</v>
      </c>
      <c r="W67" s="20">
        <v>74103</v>
      </c>
      <c r="X67" s="20" t="s">
        <v>96</v>
      </c>
      <c r="Y67" s="20" t="s">
        <v>64</v>
      </c>
      <c r="Z67" s="20" t="s">
        <v>67</v>
      </c>
      <c r="AA67" s="20" t="s">
        <v>153</v>
      </c>
      <c r="AB67" s="20">
        <v>10296595</v>
      </c>
      <c r="AC67" s="20">
        <v>15.6</v>
      </c>
      <c r="AD67" s="20">
        <v>26</v>
      </c>
      <c r="AE67" s="20">
        <v>24</v>
      </c>
      <c r="AF67" s="20">
        <v>8121</v>
      </c>
      <c r="AG67" s="20">
        <v>3.7</v>
      </c>
      <c r="AH67" s="20" t="s">
        <v>67</v>
      </c>
      <c r="AI67" s="20" t="s">
        <v>393</v>
      </c>
      <c r="AJ67" s="22" t="s">
        <v>83</v>
      </c>
    </row>
    <row r="68" spans="1:36" x14ac:dyDescent="0.25">
      <c r="A68" s="13">
        <v>67</v>
      </c>
      <c r="B68" s="20" t="s">
        <v>237</v>
      </c>
      <c r="C68" s="20" t="s">
        <v>138</v>
      </c>
      <c r="D68" s="20" t="s">
        <v>70</v>
      </c>
      <c r="E68" s="20" t="s">
        <v>372</v>
      </c>
      <c r="F68" s="20">
        <v>844</v>
      </c>
      <c r="G68" s="20" t="s">
        <v>246</v>
      </c>
      <c r="H68" s="20" t="s">
        <v>89</v>
      </c>
      <c r="I68" s="20" t="s">
        <v>284</v>
      </c>
      <c r="J68" s="20" t="s">
        <v>217</v>
      </c>
      <c r="K68" s="20" t="s">
        <v>394</v>
      </c>
      <c r="L68" s="20" t="s">
        <v>173</v>
      </c>
      <c r="M68" s="20">
        <v>48</v>
      </c>
      <c r="N68" s="20" t="s">
        <v>395</v>
      </c>
      <c r="O68" s="20" t="s">
        <v>108</v>
      </c>
      <c r="P68" s="20" t="s">
        <v>63</v>
      </c>
      <c r="Q68" s="20">
        <v>5.8</v>
      </c>
      <c r="R68" s="20" t="s">
        <v>67</v>
      </c>
      <c r="S68" s="20" t="s">
        <v>137</v>
      </c>
      <c r="T68" s="33">
        <v>186340000596</v>
      </c>
      <c r="U68" s="20">
        <v>112981</v>
      </c>
      <c r="V68" s="20">
        <v>1355772</v>
      </c>
      <c r="W68" s="20">
        <v>135577</v>
      </c>
      <c r="X68" s="20" t="s">
        <v>96</v>
      </c>
      <c r="Y68" s="20" t="s">
        <v>67</v>
      </c>
      <c r="Z68" s="20" t="s">
        <v>67</v>
      </c>
      <c r="AA68" s="20" t="s">
        <v>153</v>
      </c>
      <c r="AB68" s="20">
        <v>9038183</v>
      </c>
      <c r="AC68" s="20">
        <v>10.5</v>
      </c>
      <c r="AD68" s="20">
        <v>27</v>
      </c>
      <c r="AE68" s="20">
        <v>27</v>
      </c>
      <c r="AF68" s="20">
        <v>13552</v>
      </c>
      <c r="AG68" s="20">
        <v>4</v>
      </c>
      <c r="AH68" s="20" t="s">
        <v>67</v>
      </c>
      <c r="AI68" s="20" t="s">
        <v>395</v>
      </c>
      <c r="AJ68" s="22" t="s">
        <v>83</v>
      </c>
    </row>
    <row r="69" spans="1:36" x14ac:dyDescent="0.25">
      <c r="A69" s="19">
        <v>68</v>
      </c>
      <c r="B69" s="20" t="s">
        <v>98</v>
      </c>
      <c r="C69" s="20" t="s">
        <v>54</v>
      </c>
      <c r="D69" s="20" t="s">
        <v>227</v>
      </c>
      <c r="E69" s="20" t="s">
        <v>228</v>
      </c>
      <c r="F69" s="20">
        <v>472</v>
      </c>
      <c r="G69" s="20" t="s">
        <v>132</v>
      </c>
      <c r="H69" s="20" t="s">
        <v>73</v>
      </c>
      <c r="I69" s="20" t="s">
        <v>396</v>
      </c>
      <c r="J69" s="20" t="s">
        <v>192</v>
      </c>
      <c r="K69" s="20" t="s">
        <v>397</v>
      </c>
      <c r="L69" s="20" t="s">
        <v>61</v>
      </c>
      <c r="M69" s="20">
        <v>26</v>
      </c>
      <c r="N69" s="20" t="s">
        <v>398</v>
      </c>
      <c r="O69" s="20" t="s">
        <v>108</v>
      </c>
      <c r="P69" s="20" t="s">
        <v>63</v>
      </c>
      <c r="Q69" s="20">
        <v>1</v>
      </c>
      <c r="R69" s="20" t="s">
        <v>67</v>
      </c>
      <c r="S69" s="20" t="s">
        <v>80</v>
      </c>
      <c r="T69" s="33">
        <v>173556597858</v>
      </c>
      <c r="U69" s="20">
        <v>100932</v>
      </c>
      <c r="V69" s="20">
        <v>1211184</v>
      </c>
      <c r="W69" s="20">
        <v>121118</v>
      </c>
      <c r="X69" s="20" t="s">
        <v>96</v>
      </c>
      <c r="Y69" s="20" t="s">
        <v>67</v>
      </c>
      <c r="Z69" s="20" t="s">
        <v>67</v>
      </c>
      <c r="AA69" s="20" t="s">
        <v>68</v>
      </c>
      <c r="AB69" s="20">
        <v>13384731</v>
      </c>
      <c r="AC69" s="20">
        <v>14.5</v>
      </c>
      <c r="AD69" s="20">
        <v>25</v>
      </c>
      <c r="AE69" s="20">
        <v>23</v>
      </c>
      <c r="AF69" s="20">
        <v>16547</v>
      </c>
      <c r="AG69" s="20">
        <v>4.4000000000000004</v>
      </c>
      <c r="AH69" s="20" t="s">
        <v>64</v>
      </c>
      <c r="AI69" s="20" t="s">
        <v>398</v>
      </c>
      <c r="AJ69" s="22" t="s">
        <v>83</v>
      </c>
    </row>
    <row r="70" spans="1:36" x14ac:dyDescent="0.25">
      <c r="A70" s="19">
        <v>69</v>
      </c>
      <c r="B70" s="20" t="s">
        <v>189</v>
      </c>
      <c r="C70" s="20" t="s">
        <v>129</v>
      </c>
      <c r="D70" s="20" t="s">
        <v>111</v>
      </c>
      <c r="E70" s="20" t="s">
        <v>288</v>
      </c>
      <c r="F70" s="20">
        <v>765</v>
      </c>
      <c r="G70" s="20" t="s">
        <v>113</v>
      </c>
      <c r="H70" s="20" t="s">
        <v>102</v>
      </c>
      <c r="I70" s="20" t="s">
        <v>399</v>
      </c>
      <c r="J70" s="20" t="s">
        <v>75</v>
      </c>
      <c r="K70" s="20" t="s">
        <v>400</v>
      </c>
      <c r="L70" s="20" t="s">
        <v>61</v>
      </c>
      <c r="M70" s="20">
        <v>45</v>
      </c>
      <c r="N70" s="20" t="s">
        <v>401</v>
      </c>
      <c r="O70" s="20" t="s">
        <v>79</v>
      </c>
      <c r="P70" s="20" t="s">
        <v>63</v>
      </c>
      <c r="Q70" s="20">
        <v>5.8</v>
      </c>
      <c r="R70" s="20" t="s">
        <v>67</v>
      </c>
      <c r="S70" s="20" t="s">
        <v>95</v>
      </c>
      <c r="T70" s="33">
        <v>388268588472</v>
      </c>
      <c r="U70" s="20">
        <v>57058</v>
      </c>
      <c r="V70" s="20">
        <v>684696</v>
      </c>
      <c r="W70" s="20">
        <v>68469</v>
      </c>
      <c r="X70" s="20" t="s">
        <v>79</v>
      </c>
      <c r="Y70" s="20" t="s">
        <v>64</v>
      </c>
      <c r="Z70" s="20" t="s">
        <v>67</v>
      </c>
      <c r="AA70" s="20" t="s">
        <v>287</v>
      </c>
      <c r="AB70" s="20">
        <v>4794093</v>
      </c>
      <c r="AC70" s="20">
        <v>5.3</v>
      </c>
      <c r="AD70" s="20">
        <v>21</v>
      </c>
      <c r="AE70" s="20">
        <v>18</v>
      </c>
      <c r="AF70" s="20">
        <v>7657</v>
      </c>
      <c r="AG70" s="20">
        <v>4.7</v>
      </c>
      <c r="AH70" s="20" t="s">
        <v>67</v>
      </c>
      <c r="AI70" s="20" t="s">
        <v>401</v>
      </c>
      <c r="AJ70" s="22" t="s">
        <v>83</v>
      </c>
    </row>
    <row r="71" spans="1:36" x14ac:dyDescent="0.25">
      <c r="A71" s="13">
        <v>70</v>
      </c>
      <c r="B71" s="20" t="s">
        <v>69</v>
      </c>
      <c r="C71" s="20" t="s">
        <v>129</v>
      </c>
      <c r="D71" s="20" t="s">
        <v>86</v>
      </c>
      <c r="E71" s="20" t="s">
        <v>87</v>
      </c>
      <c r="F71" s="20">
        <v>663</v>
      </c>
      <c r="G71" s="20" t="s">
        <v>123</v>
      </c>
      <c r="H71" s="20" t="s">
        <v>289</v>
      </c>
      <c r="I71" s="20" t="s">
        <v>402</v>
      </c>
      <c r="J71" s="20" t="s">
        <v>104</v>
      </c>
      <c r="K71" s="20" t="s">
        <v>403</v>
      </c>
      <c r="L71" s="20" t="s">
        <v>151</v>
      </c>
      <c r="M71" s="20">
        <v>44</v>
      </c>
      <c r="N71" s="20" t="s">
        <v>404</v>
      </c>
      <c r="O71" s="20" t="s">
        <v>79</v>
      </c>
      <c r="P71" s="20" t="s">
        <v>63</v>
      </c>
      <c r="Q71" s="20">
        <v>5.9</v>
      </c>
      <c r="R71" s="20" t="s">
        <v>64</v>
      </c>
      <c r="S71" s="20" t="s">
        <v>80</v>
      </c>
      <c r="T71" s="33">
        <v>323274444183</v>
      </c>
      <c r="U71" s="20">
        <v>49101</v>
      </c>
      <c r="V71" s="20">
        <v>589212</v>
      </c>
      <c r="W71" s="20">
        <v>58921</v>
      </c>
      <c r="X71" s="20" t="s">
        <v>109</v>
      </c>
      <c r="Y71" s="20" t="s">
        <v>67</v>
      </c>
      <c r="Z71" s="20" t="s">
        <v>64</v>
      </c>
      <c r="AA71" s="20" t="s">
        <v>175</v>
      </c>
      <c r="AB71" s="20">
        <v>6210420</v>
      </c>
      <c r="AC71" s="20">
        <v>9.3000000000000007</v>
      </c>
      <c r="AD71" s="20">
        <v>28</v>
      </c>
      <c r="AE71" s="20">
        <v>27</v>
      </c>
      <c r="AF71" s="20">
        <v>22052</v>
      </c>
      <c r="AG71" s="20">
        <v>4.7</v>
      </c>
      <c r="AH71" s="20" t="s">
        <v>64</v>
      </c>
      <c r="AI71" s="20" t="s">
        <v>404</v>
      </c>
      <c r="AJ71" s="22" t="s">
        <v>83</v>
      </c>
    </row>
    <row r="72" spans="1:36" x14ac:dyDescent="0.25">
      <c r="A72" s="19">
        <v>71</v>
      </c>
      <c r="B72" s="20" t="s">
        <v>98</v>
      </c>
      <c r="C72" s="20" t="s">
        <v>154</v>
      </c>
      <c r="D72" s="20" t="s">
        <v>121</v>
      </c>
      <c r="E72" s="20" t="s">
        <v>122</v>
      </c>
      <c r="F72" s="20">
        <v>520</v>
      </c>
      <c r="G72" s="20" t="s">
        <v>246</v>
      </c>
      <c r="H72" s="20" t="s">
        <v>382</v>
      </c>
      <c r="I72" s="20" t="s">
        <v>405</v>
      </c>
      <c r="J72" s="20" t="s">
        <v>75</v>
      </c>
      <c r="K72" s="20" t="s">
        <v>406</v>
      </c>
      <c r="L72" s="20" t="s">
        <v>151</v>
      </c>
      <c r="M72" s="20">
        <v>32</v>
      </c>
      <c r="N72" s="20" t="s">
        <v>407</v>
      </c>
      <c r="O72" s="20" t="s">
        <v>79</v>
      </c>
      <c r="P72" s="20" t="s">
        <v>63</v>
      </c>
      <c r="Q72" s="20">
        <v>7</v>
      </c>
      <c r="R72" s="20" t="s">
        <v>67</v>
      </c>
      <c r="S72" s="20" t="s">
        <v>95</v>
      </c>
      <c r="T72" s="33">
        <v>480179166384</v>
      </c>
      <c r="U72" s="20">
        <v>48410</v>
      </c>
      <c r="V72" s="20">
        <v>580920</v>
      </c>
      <c r="W72" s="20">
        <v>58092</v>
      </c>
      <c r="X72" s="20" t="s">
        <v>109</v>
      </c>
      <c r="Y72" s="20" t="s">
        <v>64</v>
      </c>
      <c r="Z72" s="20" t="s">
        <v>67</v>
      </c>
      <c r="AA72" s="20" t="s">
        <v>68</v>
      </c>
      <c r="AB72" s="20">
        <v>7734315</v>
      </c>
      <c r="AC72" s="20">
        <v>11.8</v>
      </c>
      <c r="AD72" s="20">
        <v>24</v>
      </c>
      <c r="AE72" s="20">
        <v>23</v>
      </c>
      <c r="AF72" s="20">
        <v>7307</v>
      </c>
      <c r="AG72" s="20">
        <v>3.3</v>
      </c>
      <c r="AH72" s="20" t="s">
        <v>64</v>
      </c>
      <c r="AI72" s="20" t="s">
        <v>407</v>
      </c>
      <c r="AJ72" s="22" t="s">
        <v>83</v>
      </c>
    </row>
    <row r="73" spans="1:36" x14ac:dyDescent="0.25">
      <c r="A73" s="19">
        <v>72</v>
      </c>
      <c r="B73" s="20" t="s">
        <v>237</v>
      </c>
      <c r="C73" s="20" t="s">
        <v>138</v>
      </c>
      <c r="D73" s="20" t="s">
        <v>70</v>
      </c>
      <c r="E73" s="20" t="s">
        <v>372</v>
      </c>
      <c r="F73" s="20">
        <v>356</v>
      </c>
      <c r="G73" s="20" t="s">
        <v>155</v>
      </c>
      <c r="H73" s="20" t="s">
        <v>211</v>
      </c>
      <c r="I73" s="20" t="s">
        <v>408</v>
      </c>
      <c r="J73" s="20" t="s">
        <v>149</v>
      </c>
      <c r="K73" s="20" t="s">
        <v>409</v>
      </c>
      <c r="L73" s="20" t="s">
        <v>143</v>
      </c>
      <c r="M73" s="20">
        <v>26</v>
      </c>
      <c r="N73" s="20" t="s">
        <v>410</v>
      </c>
      <c r="O73" s="20" t="s">
        <v>108</v>
      </c>
      <c r="P73" s="20" t="s">
        <v>63</v>
      </c>
      <c r="Q73" s="20">
        <v>4.5</v>
      </c>
      <c r="R73" s="20" t="s">
        <v>64</v>
      </c>
      <c r="S73" s="20" t="s">
        <v>95</v>
      </c>
      <c r="T73" s="33">
        <v>287436613779</v>
      </c>
      <c r="U73" s="20">
        <v>147569</v>
      </c>
      <c r="V73" s="20">
        <v>1770828</v>
      </c>
      <c r="W73" s="20">
        <v>177082</v>
      </c>
      <c r="X73" s="20" t="s">
        <v>109</v>
      </c>
      <c r="Y73" s="20" t="s">
        <v>64</v>
      </c>
      <c r="Z73" s="20" t="s">
        <v>67</v>
      </c>
      <c r="AA73" s="20" t="s">
        <v>68</v>
      </c>
      <c r="AB73" s="20">
        <v>23467654</v>
      </c>
      <c r="AC73" s="20">
        <v>3.5</v>
      </c>
      <c r="AD73" s="20">
        <v>20</v>
      </c>
      <c r="AE73" s="20">
        <v>15</v>
      </c>
      <c r="AF73" s="20">
        <v>20899</v>
      </c>
      <c r="AG73" s="20">
        <v>3.2</v>
      </c>
      <c r="AH73" s="20" t="s">
        <v>64</v>
      </c>
      <c r="AI73" s="20" t="s">
        <v>410</v>
      </c>
      <c r="AJ73" s="22" t="s">
        <v>83</v>
      </c>
    </row>
    <row r="74" spans="1:36" x14ac:dyDescent="0.25">
      <c r="A74" s="13">
        <v>73</v>
      </c>
      <c r="B74" s="20" t="s">
        <v>208</v>
      </c>
      <c r="C74" s="20" t="s">
        <v>154</v>
      </c>
      <c r="D74" s="20" t="s">
        <v>139</v>
      </c>
      <c r="E74" s="20" t="s">
        <v>411</v>
      </c>
      <c r="F74" s="20">
        <v>609</v>
      </c>
      <c r="G74" s="20" t="s">
        <v>123</v>
      </c>
      <c r="H74" s="20" t="s">
        <v>289</v>
      </c>
      <c r="I74" s="20" t="s">
        <v>402</v>
      </c>
      <c r="J74" s="20" t="s">
        <v>104</v>
      </c>
      <c r="K74" s="20" t="s">
        <v>412</v>
      </c>
      <c r="L74" s="20" t="s">
        <v>158</v>
      </c>
      <c r="M74" s="20">
        <v>29</v>
      </c>
      <c r="N74" s="20" t="s">
        <v>413</v>
      </c>
      <c r="O74" s="20" t="s">
        <v>79</v>
      </c>
      <c r="P74" s="20" t="s">
        <v>63</v>
      </c>
      <c r="Q74" s="20">
        <v>3.3</v>
      </c>
      <c r="R74" s="20" t="s">
        <v>67</v>
      </c>
      <c r="S74" s="20" t="s">
        <v>80</v>
      </c>
      <c r="T74" s="33">
        <v>167382082209</v>
      </c>
      <c r="U74" s="20">
        <v>50359</v>
      </c>
      <c r="V74" s="20">
        <v>604308</v>
      </c>
      <c r="W74" s="20">
        <v>60430</v>
      </c>
      <c r="X74" s="20" t="s">
        <v>79</v>
      </c>
      <c r="Y74" s="20" t="s">
        <v>67</v>
      </c>
      <c r="Z74" s="20" t="s">
        <v>67</v>
      </c>
      <c r="AA74" s="20" t="s">
        <v>287</v>
      </c>
      <c r="AB74" s="20">
        <v>4254467</v>
      </c>
      <c r="AC74" s="20">
        <v>13.3</v>
      </c>
      <c r="AD74" s="20">
        <v>25</v>
      </c>
      <c r="AE74" s="20">
        <v>20</v>
      </c>
      <c r="AF74" s="20">
        <v>12463</v>
      </c>
      <c r="AG74" s="20">
        <v>4.3</v>
      </c>
      <c r="AH74" s="20" t="s">
        <v>67</v>
      </c>
      <c r="AI74" s="20" t="s">
        <v>413</v>
      </c>
      <c r="AJ74" s="22" t="s">
        <v>83</v>
      </c>
    </row>
    <row r="75" spans="1:36" x14ac:dyDescent="0.25">
      <c r="A75" s="19">
        <v>74</v>
      </c>
      <c r="B75" s="20" t="s">
        <v>119</v>
      </c>
      <c r="C75" s="20" t="s">
        <v>160</v>
      </c>
      <c r="D75" s="20" t="s">
        <v>86</v>
      </c>
      <c r="E75" s="20" t="s">
        <v>414</v>
      </c>
      <c r="F75" s="20">
        <v>675</v>
      </c>
      <c r="G75" s="20" t="s">
        <v>196</v>
      </c>
      <c r="H75" s="20" t="s">
        <v>250</v>
      </c>
      <c r="I75" s="20" t="s">
        <v>415</v>
      </c>
      <c r="J75" s="20" t="s">
        <v>116</v>
      </c>
      <c r="K75" s="20" t="s">
        <v>416</v>
      </c>
      <c r="L75" s="20" t="s">
        <v>158</v>
      </c>
      <c r="M75" s="20">
        <v>25</v>
      </c>
      <c r="N75" s="20" t="s">
        <v>417</v>
      </c>
      <c r="O75" s="20" t="s">
        <v>79</v>
      </c>
      <c r="P75" s="20" t="s">
        <v>63</v>
      </c>
      <c r="Q75" s="20">
        <v>4.9000000000000004</v>
      </c>
      <c r="R75" s="20" t="s">
        <v>64</v>
      </c>
      <c r="S75" s="20" t="s">
        <v>80</v>
      </c>
      <c r="T75" s="33">
        <v>151955410454</v>
      </c>
      <c r="U75" s="20">
        <v>59019</v>
      </c>
      <c r="V75" s="20">
        <v>708228</v>
      </c>
      <c r="W75" s="20">
        <v>70822</v>
      </c>
      <c r="X75" s="20" t="s">
        <v>79</v>
      </c>
      <c r="Y75" s="20" t="s">
        <v>67</v>
      </c>
      <c r="Z75" s="20" t="s">
        <v>64</v>
      </c>
      <c r="AA75" s="20" t="s">
        <v>128</v>
      </c>
      <c r="AB75" s="20">
        <v>9302417</v>
      </c>
      <c r="AC75" s="20">
        <v>18.899999999999999</v>
      </c>
      <c r="AD75" s="20">
        <v>25</v>
      </c>
      <c r="AE75" s="20">
        <v>24</v>
      </c>
      <c r="AF75" s="20">
        <v>7221</v>
      </c>
      <c r="AG75" s="20">
        <v>3.7</v>
      </c>
      <c r="AH75" s="20" t="s">
        <v>67</v>
      </c>
      <c r="AI75" s="20" t="s">
        <v>417</v>
      </c>
      <c r="AJ75" s="22" t="s">
        <v>83</v>
      </c>
    </row>
    <row r="76" spans="1:36" x14ac:dyDescent="0.25">
      <c r="A76" s="19">
        <v>75</v>
      </c>
      <c r="B76" s="20" t="s">
        <v>215</v>
      </c>
      <c r="C76" s="20" t="s">
        <v>183</v>
      </c>
      <c r="D76" s="20" t="s">
        <v>121</v>
      </c>
      <c r="E76" s="20" t="s">
        <v>254</v>
      </c>
      <c r="F76" s="20">
        <v>192</v>
      </c>
      <c r="G76" s="20" t="s">
        <v>88</v>
      </c>
      <c r="H76" s="20" t="s">
        <v>178</v>
      </c>
      <c r="I76" s="20" t="s">
        <v>355</v>
      </c>
      <c r="J76" s="20" t="s">
        <v>224</v>
      </c>
      <c r="K76" s="20" t="s">
        <v>418</v>
      </c>
      <c r="L76" s="20" t="s">
        <v>219</v>
      </c>
      <c r="M76" s="20">
        <v>28</v>
      </c>
      <c r="N76" s="20" t="s">
        <v>419</v>
      </c>
      <c r="O76" s="20" t="s">
        <v>79</v>
      </c>
      <c r="P76" s="20" t="s">
        <v>63</v>
      </c>
      <c r="Q76" s="20">
        <v>1.3</v>
      </c>
      <c r="R76" s="20" t="s">
        <v>64</v>
      </c>
      <c r="S76" s="20" t="s">
        <v>80</v>
      </c>
      <c r="T76" s="33">
        <v>642374295556</v>
      </c>
      <c r="U76" s="20">
        <v>79158</v>
      </c>
      <c r="V76" s="20">
        <v>949896</v>
      </c>
      <c r="W76" s="20">
        <v>94989</v>
      </c>
      <c r="X76" s="20" t="s">
        <v>79</v>
      </c>
      <c r="Y76" s="20" t="s">
        <v>67</v>
      </c>
      <c r="Z76" s="20" t="s">
        <v>64</v>
      </c>
      <c r="AA76" s="20" t="s">
        <v>97</v>
      </c>
      <c r="AB76" s="20">
        <v>8842845</v>
      </c>
      <c r="AC76" s="20">
        <v>18</v>
      </c>
      <c r="AD76" s="20">
        <v>25</v>
      </c>
      <c r="AE76" s="20">
        <v>22</v>
      </c>
      <c r="AF76" s="20">
        <v>13991</v>
      </c>
      <c r="AG76" s="20">
        <v>2.6</v>
      </c>
      <c r="AH76" s="20" t="s">
        <v>64</v>
      </c>
      <c r="AI76" s="20" t="s">
        <v>419</v>
      </c>
      <c r="AJ76" s="22" t="s">
        <v>83</v>
      </c>
    </row>
    <row r="77" spans="1:36" x14ac:dyDescent="0.25">
      <c r="A77" s="13">
        <v>76</v>
      </c>
      <c r="B77" s="20" t="s">
        <v>208</v>
      </c>
      <c r="C77" s="20" t="s">
        <v>138</v>
      </c>
      <c r="D77" s="20" t="s">
        <v>145</v>
      </c>
      <c r="E77" s="20" t="s">
        <v>420</v>
      </c>
      <c r="F77" s="20">
        <v>666</v>
      </c>
      <c r="G77" s="20" t="s">
        <v>255</v>
      </c>
      <c r="H77" s="20" t="s">
        <v>89</v>
      </c>
      <c r="I77" s="20" t="s">
        <v>421</v>
      </c>
      <c r="J77" s="20" t="s">
        <v>217</v>
      </c>
      <c r="K77" s="20" t="s">
        <v>422</v>
      </c>
      <c r="L77" s="20" t="s">
        <v>77</v>
      </c>
      <c r="M77" s="20">
        <v>36</v>
      </c>
      <c r="N77" s="20" t="s">
        <v>423</v>
      </c>
      <c r="O77" s="20" t="s">
        <v>79</v>
      </c>
      <c r="P77" s="20" t="s">
        <v>63</v>
      </c>
      <c r="Q77" s="20">
        <v>1.7</v>
      </c>
      <c r="R77" s="20" t="s">
        <v>64</v>
      </c>
      <c r="S77" s="20" t="s">
        <v>80</v>
      </c>
      <c r="T77" s="33">
        <v>207267163908</v>
      </c>
      <c r="U77" s="20">
        <v>65814</v>
      </c>
      <c r="V77" s="20">
        <v>789768</v>
      </c>
      <c r="W77" s="20">
        <v>78976</v>
      </c>
      <c r="X77" s="20" t="s">
        <v>96</v>
      </c>
      <c r="Y77" s="20" t="s">
        <v>67</v>
      </c>
      <c r="Z77" s="20" t="s">
        <v>67</v>
      </c>
      <c r="AA77" s="20" t="s">
        <v>128</v>
      </c>
      <c r="AB77" s="20">
        <v>5520935</v>
      </c>
      <c r="AC77" s="20">
        <v>11.7</v>
      </c>
      <c r="AD77" s="20">
        <v>28</v>
      </c>
      <c r="AE77" s="20">
        <v>28</v>
      </c>
      <c r="AF77" s="20">
        <v>3484</v>
      </c>
      <c r="AG77" s="20">
        <v>2.6</v>
      </c>
      <c r="AH77" s="20" t="s">
        <v>67</v>
      </c>
      <c r="AI77" s="20" t="s">
        <v>423</v>
      </c>
      <c r="AJ77" s="22" t="s">
        <v>83</v>
      </c>
    </row>
    <row r="78" spans="1:36" x14ac:dyDescent="0.25">
      <c r="A78" s="19">
        <v>77</v>
      </c>
      <c r="B78" s="20" t="s">
        <v>215</v>
      </c>
      <c r="C78" s="20" t="s">
        <v>138</v>
      </c>
      <c r="D78" s="20" t="s">
        <v>121</v>
      </c>
      <c r="E78" s="20" t="s">
        <v>424</v>
      </c>
      <c r="F78" s="20">
        <v>720</v>
      </c>
      <c r="G78" s="20" t="s">
        <v>132</v>
      </c>
      <c r="H78" s="20" t="s">
        <v>114</v>
      </c>
      <c r="I78" s="20" t="s">
        <v>425</v>
      </c>
      <c r="J78" s="20" t="s">
        <v>91</v>
      </c>
      <c r="K78" s="20" t="s">
        <v>426</v>
      </c>
      <c r="L78" s="20" t="s">
        <v>173</v>
      </c>
      <c r="M78" s="20">
        <v>32</v>
      </c>
      <c r="N78" s="20" t="s">
        <v>427</v>
      </c>
      <c r="O78" s="20" t="s">
        <v>79</v>
      </c>
      <c r="P78" s="20" t="s">
        <v>63</v>
      </c>
      <c r="Q78" s="20">
        <v>6</v>
      </c>
      <c r="R78" s="20" t="s">
        <v>67</v>
      </c>
      <c r="S78" s="20" t="s">
        <v>95</v>
      </c>
      <c r="T78" s="33">
        <v>655495494160</v>
      </c>
      <c r="U78" s="20">
        <v>73404</v>
      </c>
      <c r="V78" s="20">
        <v>880848</v>
      </c>
      <c r="W78" s="20">
        <v>88084</v>
      </c>
      <c r="X78" s="20" t="s">
        <v>79</v>
      </c>
      <c r="Y78" s="20" t="s">
        <v>67</v>
      </c>
      <c r="Z78" s="20" t="s">
        <v>67</v>
      </c>
      <c r="AA78" s="20" t="s">
        <v>68</v>
      </c>
      <c r="AB78" s="20">
        <v>7648912</v>
      </c>
      <c r="AC78" s="20">
        <v>14.5</v>
      </c>
      <c r="AD78" s="20">
        <v>26</v>
      </c>
      <c r="AE78" s="20">
        <v>22</v>
      </c>
      <c r="AF78" s="20">
        <v>12081</v>
      </c>
      <c r="AG78" s="20">
        <v>4.5</v>
      </c>
      <c r="AH78" s="20" t="s">
        <v>64</v>
      </c>
      <c r="AI78" s="20" t="s">
        <v>427</v>
      </c>
      <c r="AJ78" s="22" t="s">
        <v>83</v>
      </c>
    </row>
    <row r="79" spans="1:36" x14ac:dyDescent="0.25">
      <c r="A79" s="19">
        <v>78</v>
      </c>
      <c r="B79" s="20" t="s">
        <v>208</v>
      </c>
      <c r="C79" s="20" t="s">
        <v>99</v>
      </c>
      <c r="D79" s="20" t="s">
        <v>70</v>
      </c>
      <c r="E79" s="20" t="s">
        <v>428</v>
      </c>
      <c r="F79" s="20">
        <v>691</v>
      </c>
      <c r="G79" s="20" t="s">
        <v>169</v>
      </c>
      <c r="H79" s="20" t="s">
        <v>73</v>
      </c>
      <c r="I79" s="20" t="s">
        <v>429</v>
      </c>
      <c r="J79" s="20" t="s">
        <v>198</v>
      </c>
      <c r="K79" s="20" t="s">
        <v>430</v>
      </c>
      <c r="L79" s="20" t="s">
        <v>173</v>
      </c>
      <c r="M79" s="20">
        <v>37</v>
      </c>
      <c r="N79" s="20" t="s">
        <v>431</v>
      </c>
      <c r="O79" s="20" t="s">
        <v>108</v>
      </c>
      <c r="P79" s="20" t="s">
        <v>63</v>
      </c>
      <c r="Q79" s="20">
        <v>5.9</v>
      </c>
      <c r="R79" s="20" t="s">
        <v>67</v>
      </c>
      <c r="S79" s="20" t="s">
        <v>80</v>
      </c>
      <c r="T79" s="33">
        <v>850853317874</v>
      </c>
      <c r="U79" s="20">
        <v>101745</v>
      </c>
      <c r="V79" s="20">
        <v>1220940</v>
      </c>
      <c r="W79" s="20">
        <v>122094</v>
      </c>
      <c r="X79" s="20" t="s">
        <v>81</v>
      </c>
      <c r="Y79" s="20" t="s">
        <v>64</v>
      </c>
      <c r="Z79" s="20" t="s">
        <v>64</v>
      </c>
      <c r="AA79" s="20" t="s">
        <v>68</v>
      </c>
      <c r="AB79" s="20">
        <v>11489516</v>
      </c>
      <c r="AC79" s="20">
        <v>10.1</v>
      </c>
      <c r="AD79" s="20">
        <v>26</v>
      </c>
      <c r="AE79" s="20">
        <v>21</v>
      </c>
      <c r="AF79" s="20">
        <v>8681</v>
      </c>
      <c r="AG79" s="20">
        <v>3.5</v>
      </c>
      <c r="AH79" s="20" t="s">
        <v>67</v>
      </c>
      <c r="AI79" s="20" t="s">
        <v>431</v>
      </c>
      <c r="AJ79" s="22" t="s">
        <v>83</v>
      </c>
    </row>
    <row r="80" spans="1:36" x14ac:dyDescent="0.25">
      <c r="A80" s="13">
        <v>79</v>
      </c>
      <c r="B80" s="20" t="s">
        <v>53</v>
      </c>
      <c r="C80" s="20" t="s">
        <v>160</v>
      </c>
      <c r="D80" s="20" t="s">
        <v>244</v>
      </c>
      <c r="E80" s="20" t="s">
        <v>432</v>
      </c>
      <c r="F80" s="20">
        <v>674</v>
      </c>
      <c r="G80" s="20" t="s">
        <v>185</v>
      </c>
      <c r="H80" s="20" t="s">
        <v>211</v>
      </c>
      <c r="I80" s="20" t="s">
        <v>433</v>
      </c>
      <c r="J80" s="20" t="s">
        <v>224</v>
      </c>
      <c r="K80" s="20" t="s">
        <v>434</v>
      </c>
      <c r="L80" s="20" t="s">
        <v>77</v>
      </c>
      <c r="M80" s="20">
        <v>34</v>
      </c>
      <c r="N80" s="20" t="s">
        <v>435</v>
      </c>
      <c r="O80" s="20" t="s">
        <v>62</v>
      </c>
      <c r="P80" s="20" t="s">
        <v>63</v>
      </c>
      <c r="Q80" s="20">
        <v>4.3</v>
      </c>
      <c r="R80" s="20" t="s">
        <v>67</v>
      </c>
      <c r="S80" s="20" t="s">
        <v>95</v>
      </c>
      <c r="T80" s="33">
        <v>698470737486</v>
      </c>
      <c r="U80" s="20">
        <v>20804</v>
      </c>
      <c r="V80" s="20">
        <v>249648</v>
      </c>
      <c r="W80" s="20">
        <v>24964</v>
      </c>
      <c r="X80" s="20" t="s">
        <v>96</v>
      </c>
      <c r="Y80" s="20" t="s">
        <v>67</v>
      </c>
      <c r="Z80" s="20" t="s">
        <v>64</v>
      </c>
      <c r="AA80" s="20" t="s">
        <v>82</v>
      </c>
      <c r="AB80" s="20">
        <v>1944773</v>
      </c>
      <c r="AC80" s="20">
        <v>8.1</v>
      </c>
      <c r="AD80" s="20">
        <v>24</v>
      </c>
      <c r="AE80" s="20">
        <v>22</v>
      </c>
      <c r="AF80" s="20">
        <v>8792</v>
      </c>
      <c r="AG80" s="20">
        <v>4.2</v>
      </c>
      <c r="AH80" s="20" t="s">
        <v>67</v>
      </c>
      <c r="AI80" s="20" t="s">
        <v>435</v>
      </c>
      <c r="AJ80" s="22" t="s">
        <v>83</v>
      </c>
    </row>
    <row r="81" spans="1:36" x14ac:dyDescent="0.25">
      <c r="A81" s="19">
        <v>80</v>
      </c>
      <c r="B81" s="20" t="s">
        <v>237</v>
      </c>
      <c r="C81" s="20" t="s">
        <v>99</v>
      </c>
      <c r="D81" s="20" t="s">
        <v>86</v>
      </c>
      <c r="E81" s="20" t="s">
        <v>414</v>
      </c>
      <c r="F81" s="20">
        <v>914</v>
      </c>
      <c r="G81" s="20" t="s">
        <v>113</v>
      </c>
      <c r="H81" s="20" t="s">
        <v>289</v>
      </c>
      <c r="I81" s="20" t="s">
        <v>436</v>
      </c>
      <c r="J81" s="20" t="s">
        <v>75</v>
      </c>
      <c r="K81" s="20" t="s">
        <v>437</v>
      </c>
      <c r="L81" s="20" t="s">
        <v>173</v>
      </c>
      <c r="M81" s="20">
        <v>43</v>
      </c>
      <c r="N81" s="20" t="s">
        <v>438</v>
      </c>
      <c r="O81" s="20" t="s">
        <v>79</v>
      </c>
      <c r="P81" s="20" t="s">
        <v>63</v>
      </c>
      <c r="Q81" s="20">
        <v>1.8</v>
      </c>
      <c r="R81" s="20" t="s">
        <v>67</v>
      </c>
      <c r="S81" s="20" t="s">
        <v>137</v>
      </c>
      <c r="T81" s="33">
        <v>950208571145</v>
      </c>
      <c r="U81" s="20">
        <v>49599</v>
      </c>
      <c r="V81" s="20">
        <v>595188</v>
      </c>
      <c r="W81" s="20">
        <v>59518</v>
      </c>
      <c r="X81" s="20" t="s">
        <v>96</v>
      </c>
      <c r="Y81" s="20" t="s">
        <v>64</v>
      </c>
      <c r="Z81" s="20" t="s">
        <v>67</v>
      </c>
      <c r="AA81" s="20" t="s">
        <v>97</v>
      </c>
      <c r="AB81" s="20">
        <v>5037454</v>
      </c>
      <c r="AC81" s="20">
        <v>10.5</v>
      </c>
      <c r="AD81" s="20">
        <v>24</v>
      </c>
      <c r="AE81" s="20">
        <v>19</v>
      </c>
      <c r="AF81" s="20">
        <v>17698</v>
      </c>
      <c r="AG81" s="20">
        <v>3</v>
      </c>
      <c r="AH81" s="20" t="s">
        <v>67</v>
      </c>
      <c r="AI81" s="20" t="s">
        <v>438</v>
      </c>
      <c r="AJ81" s="22" t="s">
        <v>83</v>
      </c>
    </row>
    <row r="82" spans="1:36" x14ac:dyDescent="0.25">
      <c r="A82" s="19">
        <v>81</v>
      </c>
      <c r="B82" s="20" t="s">
        <v>189</v>
      </c>
      <c r="C82" s="20" t="s">
        <v>183</v>
      </c>
      <c r="D82" s="20" t="s">
        <v>130</v>
      </c>
      <c r="E82" s="20" t="s">
        <v>439</v>
      </c>
      <c r="F82" s="20">
        <v>730</v>
      </c>
      <c r="G82" s="20" t="s">
        <v>260</v>
      </c>
      <c r="H82" s="20" t="s">
        <v>102</v>
      </c>
      <c r="I82" s="20" t="s">
        <v>440</v>
      </c>
      <c r="J82" s="20" t="s">
        <v>116</v>
      </c>
      <c r="K82" s="20" t="s">
        <v>441</v>
      </c>
      <c r="L82" s="20" t="s">
        <v>61</v>
      </c>
      <c r="M82" s="20">
        <v>43</v>
      </c>
      <c r="N82" s="20" t="s">
        <v>442</v>
      </c>
      <c r="O82" s="20" t="s">
        <v>62</v>
      </c>
      <c r="P82" s="20" t="s">
        <v>63</v>
      </c>
      <c r="Q82" s="20">
        <v>1.9</v>
      </c>
      <c r="R82" s="20" t="s">
        <v>64</v>
      </c>
      <c r="S82" s="20" t="s">
        <v>80</v>
      </c>
      <c r="T82" s="33">
        <v>551401913033</v>
      </c>
      <c r="U82" s="20">
        <v>20411</v>
      </c>
      <c r="V82" s="20">
        <v>244932</v>
      </c>
      <c r="W82" s="20">
        <v>24493</v>
      </c>
      <c r="X82" s="20" t="s">
        <v>79</v>
      </c>
      <c r="Y82" s="20" t="s">
        <v>64</v>
      </c>
      <c r="Z82" s="20" t="s">
        <v>64</v>
      </c>
      <c r="AA82" s="20" t="s">
        <v>68</v>
      </c>
      <c r="AB82" s="20">
        <v>3587075</v>
      </c>
      <c r="AC82" s="20">
        <v>19.600000000000001</v>
      </c>
      <c r="AD82" s="20">
        <v>22</v>
      </c>
      <c r="AE82" s="20">
        <v>19</v>
      </c>
      <c r="AF82" s="20">
        <v>23393</v>
      </c>
      <c r="AG82" s="20">
        <v>4.8</v>
      </c>
      <c r="AH82" s="20" t="s">
        <v>67</v>
      </c>
      <c r="AI82" s="20" t="s">
        <v>442</v>
      </c>
      <c r="AJ82" s="22" t="s">
        <v>83</v>
      </c>
    </row>
    <row r="83" spans="1:36" x14ac:dyDescent="0.25">
      <c r="A83" s="13">
        <v>82</v>
      </c>
      <c r="B83" s="20" t="s">
        <v>215</v>
      </c>
      <c r="C83" s="20" t="s">
        <v>85</v>
      </c>
      <c r="D83" s="20" t="s">
        <v>70</v>
      </c>
      <c r="E83" s="20" t="s">
        <v>443</v>
      </c>
      <c r="F83" s="20">
        <v>392</v>
      </c>
      <c r="G83" s="20" t="s">
        <v>351</v>
      </c>
      <c r="H83" s="20" t="s">
        <v>89</v>
      </c>
      <c r="I83" s="20" t="s">
        <v>444</v>
      </c>
      <c r="J83" s="20" t="s">
        <v>134</v>
      </c>
      <c r="K83" s="20" t="s">
        <v>445</v>
      </c>
      <c r="L83" s="20" t="s">
        <v>219</v>
      </c>
      <c r="M83" s="20">
        <v>39</v>
      </c>
      <c r="N83" s="20" t="s">
        <v>446</v>
      </c>
      <c r="O83" s="20" t="s">
        <v>62</v>
      </c>
      <c r="P83" s="20" t="s">
        <v>63</v>
      </c>
      <c r="Q83" s="20">
        <v>7.4</v>
      </c>
      <c r="R83" s="20" t="s">
        <v>67</v>
      </c>
      <c r="S83" s="20" t="s">
        <v>80</v>
      </c>
      <c r="T83" s="33">
        <v>537383162273</v>
      </c>
      <c r="U83" s="20">
        <v>27909</v>
      </c>
      <c r="V83" s="20">
        <v>334908</v>
      </c>
      <c r="W83" s="20">
        <v>33490</v>
      </c>
      <c r="X83" s="20" t="s">
        <v>79</v>
      </c>
      <c r="Y83" s="20" t="s">
        <v>64</v>
      </c>
      <c r="Z83" s="20" t="s">
        <v>67</v>
      </c>
      <c r="AA83" s="20" t="s">
        <v>68</v>
      </c>
      <c r="AB83" s="20">
        <v>1705576</v>
      </c>
      <c r="AC83" s="20">
        <v>12.7</v>
      </c>
      <c r="AD83" s="20">
        <v>21</v>
      </c>
      <c r="AE83" s="20">
        <v>19</v>
      </c>
      <c r="AF83" s="20">
        <v>11324</v>
      </c>
      <c r="AG83" s="20">
        <v>3.6</v>
      </c>
      <c r="AH83" s="20" t="s">
        <v>67</v>
      </c>
      <c r="AI83" s="20" t="s">
        <v>446</v>
      </c>
      <c r="AJ83" s="22" t="s">
        <v>83</v>
      </c>
    </row>
    <row r="84" spans="1:36" x14ac:dyDescent="0.25">
      <c r="A84" s="19">
        <v>83</v>
      </c>
      <c r="B84" s="20" t="s">
        <v>84</v>
      </c>
      <c r="C84" s="20" t="s">
        <v>138</v>
      </c>
      <c r="D84" s="20" t="s">
        <v>121</v>
      </c>
      <c r="E84" s="20" t="s">
        <v>259</v>
      </c>
      <c r="F84" s="20">
        <v>297</v>
      </c>
      <c r="G84" s="20" t="s">
        <v>196</v>
      </c>
      <c r="H84" s="20" t="s">
        <v>250</v>
      </c>
      <c r="I84" s="20" t="s">
        <v>415</v>
      </c>
      <c r="J84" s="20" t="s">
        <v>192</v>
      </c>
      <c r="K84" s="20" t="s">
        <v>447</v>
      </c>
      <c r="L84" s="20" t="s">
        <v>158</v>
      </c>
      <c r="M84" s="20">
        <v>42</v>
      </c>
      <c r="N84" s="20" t="s">
        <v>448</v>
      </c>
      <c r="O84" s="20" t="s">
        <v>108</v>
      </c>
      <c r="P84" s="20" t="s">
        <v>63</v>
      </c>
      <c r="Q84" s="20">
        <v>5</v>
      </c>
      <c r="R84" s="20" t="s">
        <v>64</v>
      </c>
      <c r="S84" s="20" t="s">
        <v>80</v>
      </c>
      <c r="T84" s="33">
        <v>472530937217</v>
      </c>
      <c r="U84" s="20">
        <v>108669</v>
      </c>
      <c r="V84" s="20">
        <v>1304028</v>
      </c>
      <c r="W84" s="20">
        <v>130402</v>
      </c>
      <c r="X84" s="20" t="s">
        <v>109</v>
      </c>
      <c r="Y84" s="20" t="s">
        <v>64</v>
      </c>
      <c r="Z84" s="20" t="s">
        <v>67</v>
      </c>
      <c r="AA84" s="20" t="s">
        <v>153</v>
      </c>
      <c r="AB84" s="20">
        <v>13239544</v>
      </c>
      <c r="AC84" s="20">
        <v>4.5</v>
      </c>
      <c r="AD84" s="20">
        <v>30</v>
      </c>
      <c r="AE84" s="20">
        <v>30</v>
      </c>
      <c r="AF84" s="20">
        <v>8054</v>
      </c>
      <c r="AG84" s="20">
        <v>5</v>
      </c>
      <c r="AH84" s="20" t="s">
        <v>67</v>
      </c>
      <c r="AI84" s="20" t="s">
        <v>448</v>
      </c>
      <c r="AJ84" s="22" t="s">
        <v>83</v>
      </c>
    </row>
    <row r="85" spans="1:36" x14ac:dyDescent="0.25">
      <c r="A85" s="19">
        <v>84</v>
      </c>
      <c r="B85" s="20" t="s">
        <v>237</v>
      </c>
      <c r="C85" s="20" t="s">
        <v>85</v>
      </c>
      <c r="D85" s="20" t="s">
        <v>55</v>
      </c>
      <c r="E85" s="20" t="s">
        <v>449</v>
      </c>
      <c r="F85" s="20">
        <v>492</v>
      </c>
      <c r="G85" s="20" t="s">
        <v>169</v>
      </c>
      <c r="H85" s="20" t="s">
        <v>162</v>
      </c>
      <c r="I85" s="20" t="s">
        <v>450</v>
      </c>
      <c r="J85" s="20" t="s">
        <v>104</v>
      </c>
      <c r="K85" s="20" t="s">
        <v>451</v>
      </c>
      <c r="L85" s="20" t="s">
        <v>93</v>
      </c>
      <c r="M85" s="20">
        <v>31</v>
      </c>
      <c r="N85" s="20" t="s">
        <v>452</v>
      </c>
      <c r="O85" s="20" t="s">
        <v>108</v>
      </c>
      <c r="P85" s="20" t="s">
        <v>63</v>
      </c>
      <c r="Q85" s="20">
        <v>1.3</v>
      </c>
      <c r="R85" s="20" t="s">
        <v>64</v>
      </c>
      <c r="S85" s="20" t="s">
        <v>137</v>
      </c>
      <c r="T85" s="33">
        <v>497944539920</v>
      </c>
      <c r="U85" s="20">
        <v>100972</v>
      </c>
      <c r="V85" s="20">
        <v>1211664</v>
      </c>
      <c r="W85" s="20">
        <v>121166</v>
      </c>
      <c r="X85" s="20" t="s">
        <v>81</v>
      </c>
      <c r="Y85" s="20" t="s">
        <v>64</v>
      </c>
      <c r="Z85" s="20" t="s">
        <v>67</v>
      </c>
      <c r="AA85" s="20" t="s">
        <v>182</v>
      </c>
      <c r="AB85" s="20">
        <v>7993551</v>
      </c>
      <c r="AC85" s="20">
        <v>14.7</v>
      </c>
      <c r="AD85" s="20">
        <v>24</v>
      </c>
      <c r="AE85" s="20">
        <v>19</v>
      </c>
      <c r="AF85" s="20">
        <v>5847</v>
      </c>
      <c r="AG85" s="20">
        <v>4.0999999999999996</v>
      </c>
      <c r="AH85" s="20" t="s">
        <v>67</v>
      </c>
      <c r="AI85" s="20" t="s">
        <v>452</v>
      </c>
      <c r="AJ85" s="22" t="s">
        <v>83</v>
      </c>
    </row>
    <row r="86" spans="1:36" x14ac:dyDescent="0.25">
      <c r="A86" s="13">
        <v>85</v>
      </c>
      <c r="B86" s="20" t="s">
        <v>237</v>
      </c>
      <c r="C86" s="20" t="s">
        <v>120</v>
      </c>
      <c r="D86" s="20" t="s">
        <v>145</v>
      </c>
      <c r="E86" s="20" t="s">
        <v>453</v>
      </c>
      <c r="F86" s="20">
        <v>236</v>
      </c>
      <c r="G86" s="20" t="s">
        <v>147</v>
      </c>
      <c r="H86" s="20" t="s">
        <v>114</v>
      </c>
      <c r="I86" s="20" t="s">
        <v>454</v>
      </c>
      <c r="J86" s="20" t="s">
        <v>224</v>
      </c>
      <c r="K86" s="20" t="s">
        <v>455</v>
      </c>
      <c r="L86" s="20" t="s">
        <v>173</v>
      </c>
      <c r="M86" s="20">
        <v>33</v>
      </c>
      <c r="N86" s="20" t="s">
        <v>456</v>
      </c>
      <c r="O86" s="20" t="s">
        <v>108</v>
      </c>
      <c r="P86" s="20" t="s">
        <v>63</v>
      </c>
      <c r="Q86" s="20">
        <v>3.2</v>
      </c>
      <c r="R86" s="20" t="s">
        <v>67</v>
      </c>
      <c r="S86" s="20" t="s">
        <v>95</v>
      </c>
      <c r="T86" s="33">
        <v>833588982571</v>
      </c>
      <c r="U86" s="20">
        <v>98627</v>
      </c>
      <c r="V86" s="20">
        <v>1183524</v>
      </c>
      <c r="W86" s="20">
        <v>118352</v>
      </c>
      <c r="X86" s="20" t="s">
        <v>109</v>
      </c>
      <c r="Y86" s="20" t="s">
        <v>64</v>
      </c>
      <c r="Z86" s="20" t="s">
        <v>67</v>
      </c>
      <c r="AA86" s="20" t="s">
        <v>175</v>
      </c>
      <c r="AB86" s="20">
        <v>6841984</v>
      </c>
      <c r="AC86" s="20">
        <v>12.6</v>
      </c>
      <c r="AD86" s="20">
        <v>20</v>
      </c>
      <c r="AE86" s="20">
        <v>16</v>
      </c>
      <c r="AF86" s="20">
        <v>18563</v>
      </c>
      <c r="AG86" s="20">
        <v>3</v>
      </c>
      <c r="AH86" s="20" t="s">
        <v>64</v>
      </c>
      <c r="AI86" s="20" t="s">
        <v>456</v>
      </c>
      <c r="AJ86" s="22" t="s">
        <v>83</v>
      </c>
    </row>
    <row r="87" spans="1:36" x14ac:dyDescent="0.25">
      <c r="A87" s="19">
        <v>86</v>
      </c>
      <c r="B87" s="20" t="s">
        <v>84</v>
      </c>
      <c r="C87" s="20" t="s">
        <v>129</v>
      </c>
      <c r="D87" s="20" t="s">
        <v>244</v>
      </c>
      <c r="E87" s="20" t="s">
        <v>457</v>
      </c>
      <c r="F87" s="20">
        <v>219</v>
      </c>
      <c r="G87" s="20" t="s">
        <v>155</v>
      </c>
      <c r="H87" s="20" t="s">
        <v>73</v>
      </c>
      <c r="I87" s="20" t="s">
        <v>458</v>
      </c>
      <c r="J87" s="20" t="s">
        <v>134</v>
      </c>
      <c r="K87" s="20" t="s">
        <v>459</v>
      </c>
      <c r="L87" s="20" t="s">
        <v>158</v>
      </c>
      <c r="M87" s="20">
        <v>24</v>
      </c>
      <c r="N87" s="20" t="s">
        <v>460</v>
      </c>
      <c r="O87" s="20" t="s">
        <v>79</v>
      </c>
      <c r="P87" s="20" t="s">
        <v>63</v>
      </c>
      <c r="Q87" s="20">
        <v>2.1</v>
      </c>
      <c r="R87" s="20" t="s">
        <v>64</v>
      </c>
      <c r="S87" s="20" t="s">
        <v>137</v>
      </c>
      <c r="T87" s="33">
        <v>663207412387</v>
      </c>
      <c r="U87" s="20">
        <v>67225</v>
      </c>
      <c r="V87" s="20">
        <v>806700</v>
      </c>
      <c r="W87" s="20">
        <v>80670</v>
      </c>
      <c r="X87" s="20" t="s">
        <v>79</v>
      </c>
      <c r="Y87" s="20" t="s">
        <v>64</v>
      </c>
      <c r="Z87" s="20" t="s">
        <v>67</v>
      </c>
      <c r="AA87" s="20" t="s">
        <v>182</v>
      </c>
      <c r="AB87" s="20">
        <v>9868200</v>
      </c>
      <c r="AC87" s="20">
        <v>9.6999999999999993</v>
      </c>
      <c r="AD87" s="20">
        <v>20</v>
      </c>
      <c r="AE87" s="20">
        <v>15</v>
      </c>
      <c r="AF87" s="20">
        <v>9140</v>
      </c>
      <c r="AG87" s="20">
        <v>3.9</v>
      </c>
      <c r="AH87" s="20" t="s">
        <v>64</v>
      </c>
      <c r="AI87" s="20" t="s">
        <v>460</v>
      </c>
      <c r="AJ87" s="22" t="s">
        <v>83</v>
      </c>
    </row>
    <row r="88" spans="1:36" x14ac:dyDescent="0.25">
      <c r="A88" s="19">
        <v>87</v>
      </c>
      <c r="B88" s="20" t="s">
        <v>119</v>
      </c>
      <c r="C88" s="20" t="s">
        <v>129</v>
      </c>
      <c r="D88" s="20" t="s">
        <v>227</v>
      </c>
      <c r="E88" s="20" t="s">
        <v>461</v>
      </c>
      <c r="F88" s="20">
        <v>161</v>
      </c>
      <c r="G88" s="20" t="s">
        <v>177</v>
      </c>
      <c r="H88" s="20" t="s">
        <v>162</v>
      </c>
      <c r="I88" s="20" t="s">
        <v>238</v>
      </c>
      <c r="J88" s="20" t="s">
        <v>198</v>
      </c>
      <c r="K88" s="20" t="s">
        <v>462</v>
      </c>
      <c r="L88" s="20" t="s">
        <v>143</v>
      </c>
      <c r="M88" s="20">
        <v>35</v>
      </c>
      <c r="N88" s="20" t="s">
        <v>463</v>
      </c>
      <c r="O88" s="20" t="s">
        <v>62</v>
      </c>
      <c r="P88" s="20" t="s">
        <v>63</v>
      </c>
      <c r="Q88" s="20">
        <v>5.8</v>
      </c>
      <c r="R88" s="20" t="s">
        <v>67</v>
      </c>
      <c r="S88" s="20" t="s">
        <v>137</v>
      </c>
      <c r="T88" s="33">
        <v>591269009200</v>
      </c>
      <c r="U88" s="20">
        <v>29247</v>
      </c>
      <c r="V88" s="20">
        <v>350964</v>
      </c>
      <c r="W88" s="20">
        <v>35096</v>
      </c>
      <c r="X88" s="20" t="s">
        <v>79</v>
      </c>
      <c r="Y88" s="20" t="s">
        <v>67</v>
      </c>
      <c r="Z88" s="20" t="s">
        <v>64</v>
      </c>
      <c r="AA88" s="20" t="s">
        <v>128</v>
      </c>
      <c r="AB88" s="20">
        <v>4048489</v>
      </c>
      <c r="AC88" s="20">
        <v>8.9</v>
      </c>
      <c r="AD88" s="20">
        <v>22</v>
      </c>
      <c r="AE88" s="20">
        <v>18</v>
      </c>
      <c r="AF88" s="20">
        <v>14879</v>
      </c>
      <c r="AG88" s="20">
        <v>3.8</v>
      </c>
      <c r="AH88" s="20" t="s">
        <v>64</v>
      </c>
      <c r="AI88" s="20" t="s">
        <v>463</v>
      </c>
      <c r="AJ88" s="22" t="s">
        <v>83</v>
      </c>
    </row>
    <row r="89" spans="1:36" x14ac:dyDescent="0.25">
      <c r="A89" s="13">
        <v>88</v>
      </c>
      <c r="B89" s="20" t="s">
        <v>53</v>
      </c>
      <c r="C89" s="20" t="s">
        <v>54</v>
      </c>
      <c r="D89" s="20" t="s">
        <v>70</v>
      </c>
      <c r="E89" s="20" t="s">
        <v>377</v>
      </c>
      <c r="F89" s="20">
        <v>789</v>
      </c>
      <c r="G89" s="20" t="s">
        <v>123</v>
      </c>
      <c r="H89" s="20" t="s">
        <v>170</v>
      </c>
      <c r="I89" s="20" t="s">
        <v>464</v>
      </c>
      <c r="J89" s="20" t="s">
        <v>149</v>
      </c>
      <c r="K89" s="20" t="s">
        <v>465</v>
      </c>
      <c r="L89" s="20" t="s">
        <v>165</v>
      </c>
      <c r="M89" s="20">
        <v>48</v>
      </c>
      <c r="N89" s="20" t="s">
        <v>466</v>
      </c>
      <c r="O89" s="20" t="s">
        <v>62</v>
      </c>
      <c r="P89" s="20" t="s">
        <v>63</v>
      </c>
      <c r="Q89" s="20">
        <v>5.3</v>
      </c>
      <c r="R89" s="20" t="s">
        <v>67</v>
      </c>
      <c r="S89" s="20" t="s">
        <v>137</v>
      </c>
      <c r="T89" s="33">
        <v>401313951964</v>
      </c>
      <c r="U89" s="20">
        <v>18088</v>
      </c>
      <c r="V89" s="20">
        <v>217056</v>
      </c>
      <c r="W89" s="20">
        <v>21705</v>
      </c>
      <c r="X89" s="20" t="s">
        <v>81</v>
      </c>
      <c r="Y89" s="20" t="s">
        <v>64</v>
      </c>
      <c r="Z89" s="20" t="s">
        <v>67</v>
      </c>
      <c r="AA89" s="20" t="s">
        <v>68</v>
      </c>
      <c r="AB89" s="20">
        <v>1607660</v>
      </c>
      <c r="AC89" s="20">
        <v>4.0999999999999996</v>
      </c>
      <c r="AD89" s="20">
        <v>29</v>
      </c>
      <c r="AE89" s="20">
        <v>29</v>
      </c>
      <c r="AF89" s="20">
        <v>16628</v>
      </c>
      <c r="AG89" s="20">
        <v>4</v>
      </c>
      <c r="AH89" s="20" t="s">
        <v>64</v>
      </c>
      <c r="AI89" s="20" t="s">
        <v>466</v>
      </c>
      <c r="AJ89" s="22" t="s">
        <v>83</v>
      </c>
    </row>
    <row r="90" spans="1:36" x14ac:dyDescent="0.25">
      <c r="A90" s="19">
        <v>89</v>
      </c>
      <c r="B90" s="20" t="s">
        <v>110</v>
      </c>
      <c r="C90" s="20" t="s">
        <v>54</v>
      </c>
      <c r="D90" s="20" t="s">
        <v>111</v>
      </c>
      <c r="E90" s="20" t="s">
        <v>112</v>
      </c>
      <c r="F90" s="20">
        <v>339</v>
      </c>
      <c r="G90" s="20" t="s">
        <v>123</v>
      </c>
      <c r="H90" s="20" t="s">
        <v>102</v>
      </c>
      <c r="I90" s="20" t="s">
        <v>467</v>
      </c>
      <c r="J90" s="20" t="s">
        <v>198</v>
      </c>
      <c r="K90" s="20" t="s">
        <v>468</v>
      </c>
      <c r="L90" s="20" t="s">
        <v>151</v>
      </c>
      <c r="M90" s="20">
        <v>38</v>
      </c>
      <c r="N90" s="20" t="s">
        <v>469</v>
      </c>
      <c r="O90" s="20" t="s">
        <v>62</v>
      </c>
      <c r="P90" s="20" t="s">
        <v>63</v>
      </c>
      <c r="Q90" s="20">
        <v>4.5999999999999996</v>
      </c>
      <c r="R90" s="20" t="s">
        <v>67</v>
      </c>
      <c r="S90" s="20" t="s">
        <v>95</v>
      </c>
      <c r="T90" s="33">
        <v>948676594151</v>
      </c>
      <c r="U90" s="20">
        <v>26018</v>
      </c>
      <c r="V90" s="20">
        <v>312216</v>
      </c>
      <c r="W90" s="20">
        <v>31221</v>
      </c>
      <c r="X90" s="20" t="s">
        <v>96</v>
      </c>
      <c r="Y90" s="20" t="s">
        <v>64</v>
      </c>
      <c r="Z90" s="20" t="s">
        <v>67</v>
      </c>
      <c r="AA90" s="20" t="s">
        <v>128</v>
      </c>
      <c r="AB90" s="20">
        <v>4638579</v>
      </c>
      <c r="AC90" s="20">
        <v>11.9</v>
      </c>
      <c r="AD90" s="20">
        <v>26</v>
      </c>
      <c r="AE90" s="20">
        <v>24</v>
      </c>
      <c r="AF90" s="20">
        <v>11016</v>
      </c>
      <c r="AG90" s="20">
        <v>2.7</v>
      </c>
      <c r="AH90" s="20" t="s">
        <v>64</v>
      </c>
      <c r="AI90" s="20" t="s">
        <v>469</v>
      </c>
      <c r="AJ90" s="22" t="s">
        <v>83</v>
      </c>
    </row>
    <row r="91" spans="1:36" x14ac:dyDescent="0.25">
      <c r="A91" s="19">
        <v>90</v>
      </c>
      <c r="B91" s="20" t="s">
        <v>119</v>
      </c>
      <c r="C91" s="20" t="s">
        <v>138</v>
      </c>
      <c r="D91" s="20" t="s">
        <v>121</v>
      </c>
      <c r="E91" s="20" t="s">
        <v>254</v>
      </c>
      <c r="F91" s="20">
        <v>452</v>
      </c>
      <c r="G91" s="20" t="s">
        <v>88</v>
      </c>
      <c r="H91" s="20" t="s">
        <v>178</v>
      </c>
      <c r="I91" s="20" t="s">
        <v>355</v>
      </c>
      <c r="J91" s="20" t="s">
        <v>91</v>
      </c>
      <c r="K91" s="20" t="s">
        <v>356</v>
      </c>
      <c r="L91" s="20" t="s">
        <v>165</v>
      </c>
      <c r="M91" s="20">
        <v>35</v>
      </c>
      <c r="N91" s="20" t="s">
        <v>470</v>
      </c>
      <c r="O91" s="20" t="s">
        <v>79</v>
      </c>
      <c r="P91" s="20" t="s">
        <v>63</v>
      </c>
      <c r="Q91" s="20">
        <v>6.2</v>
      </c>
      <c r="R91" s="20" t="s">
        <v>67</v>
      </c>
      <c r="S91" s="20" t="s">
        <v>80</v>
      </c>
      <c r="T91" s="33">
        <v>691650712027</v>
      </c>
      <c r="U91" s="20">
        <v>71032</v>
      </c>
      <c r="V91" s="20">
        <v>852384</v>
      </c>
      <c r="W91" s="20">
        <v>85238</v>
      </c>
      <c r="X91" s="20" t="s">
        <v>109</v>
      </c>
      <c r="Y91" s="20" t="s">
        <v>64</v>
      </c>
      <c r="Z91" s="20" t="s">
        <v>67</v>
      </c>
      <c r="AA91" s="20" t="s">
        <v>128</v>
      </c>
      <c r="AB91" s="20">
        <v>11130227</v>
      </c>
      <c r="AC91" s="20">
        <v>18.600000000000001</v>
      </c>
      <c r="AD91" s="20">
        <v>28</v>
      </c>
      <c r="AE91" s="20">
        <v>25</v>
      </c>
      <c r="AF91" s="20">
        <v>15648</v>
      </c>
      <c r="AG91" s="20">
        <v>3.9</v>
      </c>
      <c r="AH91" s="20" t="s">
        <v>64</v>
      </c>
      <c r="AI91" s="20" t="s">
        <v>470</v>
      </c>
      <c r="AJ91" s="22" t="s">
        <v>83</v>
      </c>
    </row>
    <row r="92" spans="1:36" x14ac:dyDescent="0.25">
      <c r="A92" s="13">
        <v>91</v>
      </c>
      <c r="B92" s="20" t="s">
        <v>119</v>
      </c>
      <c r="C92" s="20" t="s">
        <v>85</v>
      </c>
      <c r="D92" s="20" t="s">
        <v>70</v>
      </c>
      <c r="E92" s="20" t="s">
        <v>71</v>
      </c>
      <c r="F92" s="20">
        <v>438</v>
      </c>
      <c r="G92" s="20" t="s">
        <v>177</v>
      </c>
      <c r="H92" s="20" t="s">
        <v>162</v>
      </c>
      <c r="I92" s="20" t="s">
        <v>238</v>
      </c>
      <c r="J92" s="20" t="s">
        <v>91</v>
      </c>
      <c r="K92" s="20" t="s">
        <v>462</v>
      </c>
      <c r="L92" s="20" t="s">
        <v>106</v>
      </c>
      <c r="M92" s="20">
        <v>39</v>
      </c>
      <c r="N92" s="20" t="s">
        <v>471</v>
      </c>
      <c r="O92" s="20" t="s">
        <v>62</v>
      </c>
      <c r="P92" s="20" t="s">
        <v>63</v>
      </c>
      <c r="Q92" s="20">
        <v>5.7</v>
      </c>
      <c r="R92" s="20" t="s">
        <v>67</v>
      </c>
      <c r="S92" s="20" t="s">
        <v>137</v>
      </c>
      <c r="T92" s="33">
        <v>764318362436</v>
      </c>
      <c r="U92" s="20">
        <v>24878</v>
      </c>
      <c r="V92" s="20">
        <v>298536</v>
      </c>
      <c r="W92" s="20">
        <v>29853</v>
      </c>
      <c r="X92" s="20" t="s">
        <v>81</v>
      </c>
      <c r="Y92" s="20" t="s">
        <v>64</v>
      </c>
      <c r="Z92" s="20" t="s">
        <v>64</v>
      </c>
      <c r="AA92" s="20" t="s">
        <v>82</v>
      </c>
      <c r="AB92" s="20">
        <v>2923844</v>
      </c>
      <c r="AC92" s="20">
        <v>17.8</v>
      </c>
      <c r="AD92" s="20">
        <v>25</v>
      </c>
      <c r="AE92" s="20">
        <v>23</v>
      </c>
      <c r="AF92" s="20">
        <v>2502</v>
      </c>
      <c r="AG92" s="20">
        <v>3</v>
      </c>
      <c r="AH92" s="20" t="s">
        <v>64</v>
      </c>
      <c r="AI92" s="20" t="s">
        <v>471</v>
      </c>
      <c r="AJ92" s="22" t="s">
        <v>83</v>
      </c>
    </row>
    <row r="93" spans="1:36" x14ac:dyDescent="0.25">
      <c r="A93" s="19">
        <v>92</v>
      </c>
      <c r="B93" s="20" t="s">
        <v>69</v>
      </c>
      <c r="C93" s="20" t="s">
        <v>99</v>
      </c>
      <c r="D93" s="20" t="s">
        <v>145</v>
      </c>
      <c r="E93" s="20" t="s">
        <v>472</v>
      </c>
      <c r="F93" s="20">
        <v>820</v>
      </c>
      <c r="G93" s="20" t="s">
        <v>155</v>
      </c>
      <c r="H93" s="20" t="s">
        <v>170</v>
      </c>
      <c r="I93" s="20" t="s">
        <v>473</v>
      </c>
      <c r="J93" s="20" t="s">
        <v>116</v>
      </c>
      <c r="K93" s="20" t="s">
        <v>474</v>
      </c>
      <c r="L93" s="20" t="s">
        <v>77</v>
      </c>
      <c r="M93" s="20">
        <v>32</v>
      </c>
      <c r="N93" s="20" t="s">
        <v>475</v>
      </c>
      <c r="O93" s="20" t="s">
        <v>79</v>
      </c>
      <c r="P93" s="20" t="s">
        <v>63</v>
      </c>
      <c r="Q93" s="20">
        <v>4.7</v>
      </c>
      <c r="R93" s="20" t="s">
        <v>67</v>
      </c>
      <c r="S93" s="20" t="s">
        <v>95</v>
      </c>
      <c r="T93" s="33">
        <v>493628260892</v>
      </c>
      <c r="U93" s="20">
        <v>60212</v>
      </c>
      <c r="V93" s="20">
        <v>722544</v>
      </c>
      <c r="W93" s="20">
        <v>72254</v>
      </c>
      <c r="X93" s="20" t="s">
        <v>96</v>
      </c>
      <c r="Y93" s="20" t="s">
        <v>67</v>
      </c>
      <c r="Z93" s="20" t="s">
        <v>67</v>
      </c>
      <c r="AA93" s="20" t="s">
        <v>287</v>
      </c>
      <c r="AB93" s="20">
        <v>4325207</v>
      </c>
      <c r="AC93" s="20">
        <v>19.7</v>
      </c>
      <c r="AD93" s="20">
        <v>27</v>
      </c>
      <c r="AE93" s="20">
        <v>25</v>
      </c>
      <c r="AF93" s="20">
        <v>8656</v>
      </c>
      <c r="AG93" s="20">
        <v>3.4</v>
      </c>
      <c r="AH93" s="20" t="s">
        <v>67</v>
      </c>
      <c r="AI93" s="20" t="s">
        <v>475</v>
      </c>
      <c r="AJ93" s="22" t="s">
        <v>83</v>
      </c>
    </row>
    <row r="94" spans="1:36" x14ac:dyDescent="0.25">
      <c r="A94" s="19">
        <v>93</v>
      </c>
      <c r="B94" s="20" t="s">
        <v>53</v>
      </c>
      <c r="C94" s="20" t="s">
        <v>120</v>
      </c>
      <c r="D94" s="20" t="s">
        <v>145</v>
      </c>
      <c r="E94" s="20" t="s">
        <v>476</v>
      </c>
      <c r="F94" s="20">
        <v>116</v>
      </c>
      <c r="G94" s="20" t="s">
        <v>113</v>
      </c>
      <c r="H94" s="20" t="s">
        <v>178</v>
      </c>
      <c r="I94" s="20" t="s">
        <v>477</v>
      </c>
      <c r="J94" s="20" t="s">
        <v>134</v>
      </c>
      <c r="K94" s="20" t="s">
        <v>478</v>
      </c>
      <c r="L94" s="20" t="s">
        <v>173</v>
      </c>
      <c r="M94" s="20">
        <v>45</v>
      </c>
      <c r="N94" s="20" t="s">
        <v>479</v>
      </c>
      <c r="O94" s="20" t="s">
        <v>79</v>
      </c>
      <c r="P94" s="20" t="s">
        <v>63</v>
      </c>
      <c r="Q94" s="20">
        <v>3.2</v>
      </c>
      <c r="R94" s="20" t="s">
        <v>64</v>
      </c>
      <c r="S94" s="20" t="s">
        <v>80</v>
      </c>
      <c r="T94" s="33">
        <v>350524863789</v>
      </c>
      <c r="U94" s="20">
        <v>64893</v>
      </c>
      <c r="V94" s="20">
        <v>778716</v>
      </c>
      <c r="W94" s="20">
        <v>77871</v>
      </c>
      <c r="X94" s="20" t="s">
        <v>109</v>
      </c>
      <c r="Y94" s="20" t="s">
        <v>67</v>
      </c>
      <c r="Z94" s="20" t="s">
        <v>67</v>
      </c>
      <c r="AA94" s="20" t="s">
        <v>182</v>
      </c>
      <c r="AB94" s="20">
        <v>9837991</v>
      </c>
      <c r="AC94" s="20">
        <v>11.3</v>
      </c>
      <c r="AD94" s="20">
        <v>30</v>
      </c>
      <c r="AE94" s="20">
        <v>25</v>
      </c>
      <c r="AF94" s="20">
        <v>18075</v>
      </c>
      <c r="AG94" s="20">
        <v>3.7</v>
      </c>
      <c r="AH94" s="20" t="s">
        <v>67</v>
      </c>
      <c r="AI94" s="20" t="s">
        <v>479</v>
      </c>
      <c r="AJ94" s="22" t="s">
        <v>83</v>
      </c>
    </row>
    <row r="95" spans="1:36" x14ac:dyDescent="0.25">
      <c r="A95" s="13">
        <v>94</v>
      </c>
      <c r="B95" s="20" t="s">
        <v>84</v>
      </c>
      <c r="C95" s="20" t="s">
        <v>160</v>
      </c>
      <c r="D95" s="20" t="s">
        <v>244</v>
      </c>
      <c r="E95" s="20" t="s">
        <v>457</v>
      </c>
      <c r="F95" s="20">
        <v>288</v>
      </c>
      <c r="G95" s="20" t="s">
        <v>123</v>
      </c>
      <c r="H95" s="20" t="s">
        <v>211</v>
      </c>
      <c r="I95" s="20" t="s">
        <v>480</v>
      </c>
      <c r="J95" s="20" t="s">
        <v>198</v>
      </c>
      <c r="K95" s="20" t="s">
        <v>481</v>
      </c>
      <c r="L95" s="20" t="s">
        <v>77</v>
      </c>
      <c r="M95" s="20">
        <v>23</v>
      </c>
      <c r="N95" s="20" t="s">
        <v>482</v>
      </c>
      <c r="O95" s="20" t="s">
        <v>108</v>
      </c>
      <c r="P95" s="20" t="s">
        <v>63</v>
      </c>
      <c r="Q95" s="20">
        <v>7</v>
      </c>
      <c r="R95" s="20" t="s">
        <v>64</v>
      </c>
      <c r="S95" s="20" t="s">
        <v>80</v>
      </c>
      <c r="T95" s="33">
        <v>252095066478</v>
      </c>
      <c r="U95" s="20">
        <v>100334</v>
      </c>
      <c r="V95" s="20">
        <v>1204008</v>
      </c>
      <c r="W95" s="20">
        <v>120400</v>
      </c>
      <c r="X95" s="20" t="s">
        <v>81</v>
      </c>
      <c r="Y95" s="20" t="s">
        <v>64</v>
      </c>
      <c r="Z95" s="20" t="s">
        <v>64</v>
      </c>
      <c r="AA95" s="20" t="s">
        <v>82</v>
      </c>
      <c r="AB95" s="20">
        <v>12109104</v>
      </c>
      <c r="AC95" s="20">
        <v>9.3000000000000007</v>
      </c>
      <c r="AD95" s="20">
        <v>29</v>
      </c>
      <c r="AE95" s="20">
        <v>24</v>
      </c>
      <c r="AF95" s="20">
        <v>23848</v>
      </c>
      <c r="AG95" s="20">
        <v>4.8</v>
      </c>
      <c r="AH95" s="20" t="s">
        <v>67</v>
      </c>
      <c r="AI95" s="20" t="s">
        <v>482</v>
      </c>
      <c r="AJ95" s="22" t="s">
        <v>83</v>
      </c>
    </row>
    <row r="96" spans="1:36" x14ac:dyDescent="0.25">
      <c r="A96" s="19">
        <v>95</v>
      </c>
      <c r="B96" s="20" t="s">
        <v>215</v>
      </c>
      <c r="C96" s="20" t="s">
        <v>54</v>
      </c>
      <c r="D96" s="20" t="s">
        <v>55</v>
      </c>
      <c r="E96" s="20" t="s">
        <v>483</v>
      </c>
      <c r="F96" s="20">
        <v>664</v>
      </c>
      <c r="G96" s="20" t="s">
        <v>246</v>
      </c>
      <c r="H96" s="20" t="s">
        <v>124</v>
      </c>
      <c r="I96" s="20" t="s">
        <v>484</v>
      </c>
      <c r="J96" s="20" t="s">
        <v>198</v>
      </c>
      <c r="K96" s="20" t="s">
        <v>485</v>
      </c>
      <c r="L96" s="20" t="s">
        <v>77</v>
      </c>
      <c r="M96" s="20">
        <v>45</v>
      </c>
      <c r="N96" s="20" t="s">
        <v>486</v>
      </c>
      <c r="O96" s="20" t="s">
        <v>108</v>
      </c>
      <c r="P96" s="20" t="s">
        <v>63</v>
      </c>
      <c r="Q96" s="20">
        <v>4.8</v>
      </c>
      <c r="R96" s="20" t="s">
        <v>67</v>
      </c>
      <c r="S96" s="20" t="s">
        <v>80</v>
      </c>
      <c r="T96" s="33">
        <v>995510198977</v>
      </c>
      <c r="U96" s="20">
        <v>126436</v>
      </c>
      <c r="V96" s="20">
        <v>1517232</v>
      </c>
      <c r="W96" s="20">
        <v>151723</v>
      </c>
      <c r="X96" s="20" t="s">
        <v>109</v>
      </c>
      <c r="Y96" s="20" t="s">
        <v>64</v>
      </c>
      <c r="Z96" s="20" t="s">
        <v>64</v>
      </c>
      <c r="AA96" s="20" t="s">
        <v>128</v>
      </c>
      <c r="AB96" s="20">
        <v>11242216</v>
      </c>
      <c r="AC96" s="20">
        <v>13.5</v>
      </c>
      <c r="AD96" s="20">
        <v>24</v>
      </c>
      <c r="AE96" s="20">
        <v>22</v>
      </c>
      <c r="AF96" s="20">
        <v>10759</v>
      </c>
      <c r="AG96" s="20">
        <v>4.5</v>
      </c>
      <c r="AH96" s="20" t="s">
        <v>64</v>
      </c>
      <c r="AI96" s="20" t="s">
        <v>486</v>
      </c>
      <c r="AJ96" s="22" t="s">
        <v>83</v>
      </c>
    </row>
    <row r="97" spans="1:36" x14ac:dyDescent="0.25">
      <c r="A97" s="19">
        <v>96</v>
      </c>
      <c r="B97" s="20" t="s">
        <v>237</v>
      </c>
      <c r="C97" s="20" t="s">
        <v>154</v>
      </c>
      <c r="D97" s="20" t="s">
        <v>121</v>
      </c>
      <c r="E97" s="20" t="s">
        <v>487</v>
      </c>
      <c r="F97" s="20">
        <v>349</v>
      </c>
      <c r="G97" s="20" t="s">
        <v>169</v>
      </c>
      <c r="H97" s="20" t="s">
        <v>289</v>
      </c>
      <c r="I97" s="20" t="s">
        <v>488</v>
      </c>
      <c r="J97" s="20" t="s">
        <v>75</v>
      </c>
      <c r="K97" s="20" t="s">
        <v>489</v>
      </c>
      <c r="L97" s="20" t="s">
        <v>61</v>
      </c>
      <c r="M97" s="20">
        <v>24</v>
      </c>
      <c r="N97" s="20" t="s">
        <v>490</v>
      </c>
      <c r="O97" s="20" t="s">
        <v>79</v>
      </c>
      <c r="P97" s="20" t="s">
        <v>63</v>
      </c>
      <c r="Q97" s="20">
        <v>3.3</v>
      </c>
      <c r="R97" s="20" t="s">
        <v>67</v>
      </c>
      <c r="S97" s="20" t="s">
        <v>95</v>
      </c>
      <c r="T97" s="33">
        <v>162173968482</v>
      </c>
      <c r="U97" s="20">
        <v>40619</v>
      </c>
      <c r="V97" s="20">
        <v>487428</v>
      </c>
      <c r="W97" s="20">
        <v>48742</v>
      </c>
      <c r="X97" s="20" t="s">
        <v>109</v>
      </c>
      <c r="Y97" s="20" t="s">
        <v>64</v>
      </c>
      <c r="Z97" s="20" t="s">
        <v>67</v>
      </c>
      <c r="AA97" s="20" t="s">
        <v>153</v>
      </c>
      <c r="AB97" s="20">
        <v>5580598</v>
      </c>
      <c r="AC97" s="20">
        <v>8.6</v>
      </c>
      <c r="AD97" s="20">
        <v>21</v>
      </c>
      <c r="AE97" s="20">
        <v>17</v>
      </c>
      <c r="AF97" s="20">
        <v>3394</v>
      </c>
      <c r="AG97" s="20">
        <v>3.1</v>
      </c>
      <c r="AH97" s="20" t="s">
        <v>67</v>
      </c>
      <c r="AI97" s="20" t="s">
        <v>490</v>
      </c>
      <c r="AJ97" s="22" t="s">
        <v>83</v>
      </c>
    </row>
    <row r="98" spans="1:36" x14ac:dyDescent="0.25">
      <c r="A98" s="13">
        <v>97</v>
      </c>
      <c r="B98" s="20" t="s">
        <v>98</v>
      </c>
      <c r="C98" s="20" t="s">
        <v>54</v>
      </c>
      <c r="D98" s="20" t="s">
        <v>227</v>
      </c>
      <c r="E98" s="20" t="s">
        <v>340</v>
      </c>
      <c r="F98" s="20">
        <v>656</v>
      </c>
      <c r="G98" s="20" t="s">
        <v>260</v>
      </c>
      <c r="H98" s="20" t="s">
        <v>211</v>
      </c>
      <c r="I98" s="20" t="s">
        <v>301</v>
      </c>
      <c r="J98" s="20" t="s">
        <v>198</v>
      </c>
      <c r="K98" s="20" t="s">
        <v>491</v>
      </c>
      <c r="L98" s="20" t="s">
        <v>151</v>
      </c>
      <c r="M98" s="20">
        <v>49</v>
      </c>
      <c r="N98" s="20" t="s">
        <v>492</v>
      </c>
      <c r="O98" s="20" t="s">
        <v>62</v>
      </c>
      <c r="P98" s="20" t="s">
        <v>63</v>
      </c>
      <c r="Q98" s="20">
        <v>4.3</v>
      </c>
      <c r="R98" s="20" t="s">
        <v>64</v>
      </c>
      <c r="S98" s="20" t="s">
        <v>95</v>
      </c>
      <c r="T98" s="33">
        <v>925253018877</v>
      </c>
      <c r="U98" s="20">
        <v>28446</v>
      </c>
      <c r="V98" s="20">
        <v>341352</v>
      </c>
      <c r="W98" s="20">
        <v>34135</v>
      </c>
      <c r="X98" s="20" t="s">
        <v>79</v>
      </c>
      <c r="Y98" s="20" t="s">
        <v>64</v>
      </c>
      <c r="Z98" s="20" t="s">
        <v>67</v>
      </c>
      <c r="AA98" s="20" t="s">
        <v>128</v>
      </c>
      <c r="AB98" s="20">
        <v>3631842</v>
      </c>
      <c r="AC98" s="20">
        <v>12.6</v>
      </c>
      <c r="AD98" s="20">
        <v>26</v>
      </c>
      <c r="AE98" s="20">
        <v>21</v>
      </c>
      <c r="AF98" s="20">
        <v>19713</v>
      </c>
      <c r="AG98" s="20">
        <v>3.3</v>
      </c>
      <c r="AH98" s="20" t="s">
        <v>64</v>
      </c>
      <c r="AI98" s="20" t="s">
        <v>492</v>
      </c>
      <c r="AJ98" s="22" t="s">
        <v>83</v>
      </c>
    </row>
    <row r="99" spans="1:36" x14ac:dyDescent="0.25">
      <c r="A99" s="19">
        <v>98</v>
      </c>
      <c r="B99" s="20" t="s">
        <v>69</v>
      </c>
      <c r="C99" s="20" t="s">
        <v>138</v>
      </c>
      <c r="D99" s="20" t="s">
        <v>86</v>
      </c>
      <c r="E99" s="20" t="s">
        <v>493</v>
      </c>
      <c r="F99" s="20">
        <v>200</v>
      </c>
      <c r="G99" s="20" t="s">
        <v>246</v>
      </c>
      <c r="H99" s="20" t="s">
        <v>102</v>
      </c>
      <c r="I99" s="20" t="s">
        <v>494</v>
      </c>
      <c r="J99" s="20" t="s">
        <v>75</v>
      </c>
      <c r="K99" s="20" t="s">
        <v>495</v>
      </c>
      <c r="L99" s="20" t="s">
        <v>93</v>
      </c>
      <c r="M99" s="20">
        <v>41</v>
      </c>
      <c r="N99" s="20" t="s">
        <v>496</v>
      </c>
      <c r="O99" s="20" t="s">
        <v>79</v>
      </c>
      <c r="P99" s="20" t="s">
        <v>63</v>
      </c>
      <c r="Q99" s="20">
        <v>1.2</v>
      </c>
      <c r="R99" s="20" t="s">
        <v>67</v>
      </c>
      <c r="S99" s="20" t="s">
        <v>80</v>
      </c>
      <c r="T99" s="33">
        <v>399076280763</v>
      </c>
      <c r="U99" s="20">
        <v>69527</v>
      </c>
      <c r="V99" s="20">
        <v>834324</v>
      </c>
      <c r="W99" s="20">
        <v>83432</v>
      </c>
      <c r="X99" s="20" t="s">
        <v>79</v>
      </c>
      <c r="Y99" s="20" t="s">
        <v>64</v>
      </c>
      <c r="Z99" s="20" t="s">
        <v>67</v>
      </c>
      <c r="AA99" s="20" t="s">
        <v>153</v>
      </c>
      <c r="AB99" s="20">
        <v>7774631</v>
      </c>
      <c r="AC99" s="20">
        <v>14.6</v>
      </c>
      <c r="AD99" s="20">
        <v>30</v>
      </c>
      <c r="AE99" s="20">
        <v>27</v>
      </c>
      <c r="AF99" s="20">
        <v>4808</v>
      </c>
      <c r="AG99" s="20">
        <v>4.4000000000000004</v>
      </c>
      <c r="AH99" s="20" t="s">
        <v>67</v>
      </c>
      <c r="AI99" s="20" t="s">
        <v>496</v>
      </c>
      <c r="AJ99" s="22" t="s">
        <v>83</v>
      </c>
    </row>
    <row r="100" spans="1:36" x14ac:dyDescent="0.25">
      <c r="A100" s="19">
        <v>99</v>
      </c>
      <c r="B100" s="20" t="s">
        <v>110</v>
      </c>
      <c r="C100" s="20" t="s">
        <v>167</v>
      </c>
      <c r="D100" s="20" t="s">
        <v>227</v>
      </c>
      <c r="E100" s="20" t="s">
        <v>340</v>
      </c>
      <c r="F100" s="20">
        <v>257</v>
      </c>
      <c r="G100" s="20" t="s">
        <v>88</v>
      </c>
      <c r="H100" s="20" t="s">
        <v>73</v>
      </c>
      <c r="I100" s="20" t="s">
        <v>497</v>
      </c>
      <c r="J100" s="20" t="s">
        <v>192</v>
      </c>
      <c r="K100" s="20" t="s">
        <v>498</v>
      </c>
      <c r="L100" s="20" t="s">
        <v>165</v>
      </c>
      <c r="M100" s="20">
        <v>32</v>
      </c>
      <c r="N100" s="20" t="s">
        <v>499</v>
      </c>
      <c r="O100" s="20" t="s">
        <v>62</v>
      </c>
      <c r="P100" s="20" t="s">
        <v>63</v>
      </c>
      <c r="Q100" s="20">
        <v>3.8</v>
      </c>
      <c r="R100" s="20" t="s">
        <v>64</v>
      </c>
      <c r="S100" s="20" t="s">
        <v>80</v>
      </c>
      <c r="T100" s="33">
        <v>439057432441</v>
      </c>
      <c r="U100" s="20">
        <v>22286</v>
      </c>
      <c r="V100" s="20">
        <v>267432</v>
      </c>
      <c r="W100" s="20">
        <v>26743</v>
      </c>
      <c r="X100" s="20" t="s">
        <v>96</v>
      </c>
      <c r="Y100" s="20" t="s">
        <v>67</v>
      </c>
      <c r="Z100" s="20" t="s">
        <v>64</v>
      </c>
      <c r="AA100" s="20" t="s">
        <v>128</v>
      </c>
      <c r="AB100" s="20">
        <v>1570620</v>
      </c>
      <c r="AC100" s="20">
        <v>10.3</v>
      </c>
      <c r="AD100" s="20">
        <v>28</v>
      </c>
      <c r="AE100" s="20">
        <v>24</v>
      </c>
      <c r="AF100" s="20">
        <v>18791</v>
      </c>
      <c r="AG100" s="20">
        <v>3.5</v>
      </c>
      <c r="AH100" s="20" t="s">
        <v>64</v>
      </c>
      <c r="AI100" s="20" t="s">
        <v>499</v>
      </c>
      <c r="AJ100" s="22" t="s">
        <v>83</v>
      </c>
    </row>
    <row r="101" spans="1:36" x14ac:dyDescent="0.25">
      <c r="A101" s="13">
        <v>100</v>
      </c>
      <c r="B101" s="20" t="s">
        <v>69</v>
      </c>
      <c r="C101" s="20" t="s">
        <v>129</v>
      </c>
      <c r="D101" s="20" t="s">
        <v>244</v>
      </c>
      <c r="E101" s="20" t="s">
        <v>500</v>
      </c>
      <c r="F101" s="20">
        <v>711</v>
      </c>
      <c r="G101" s="20" t="s">
        <v>314</v>
      </c>
      <c r="H101" s="20" t="s">
        <v>250</v>
      </c>
      <c r="I101" s="20" t="s">
        <v>501</v>
      </c>
      <c r="J101" s="20" t="s">
        <v>217</v>
      </c>
      <c r="K101" s="20" t="s">
        <v>502</v>
      </c>
      <c r="L101" s="20" t="s">
        <v>61</v>
      </c>
      <c r="M101" s="20">
        <v>31</v>
      </c>
      <c r="N101" s="20" t="s">
        <v>503</v>
      </c>
      <c r="O101" s="20" t="s">
        <v>79</v>
      </c>
      <c r="P101" s="20" t="s">
        <v>63</v>
      </c>
      <c r="Q101" s="20">
        <v>3.2</v>
      </c>
      <c r="R101" s="20" t="s">
        <v>64</v>
      </c>
      <c r="S101" s="20" t="s">
        <v>95</v>
      </c>
      <c r="T101" s="33">
        <v>718050673162</v>
      </c>
      <c r="U101" s="20">
        <v>55908</v>
      </c>
      <c r="V101" s="20">
        <v>670896</v>
      </c>
      <c r="W101" s="20">
        <v>67089</v>
      </c>
      <c r="X101" s="20" t="s">
        <v>109</v>
      </c>
      <c r="Y101" s="20" t="s">
        <v>67</v>
      </c>
      <c r="Z101" s="20" t="s">
        <v>64</v>
      </c>
      <c r="AA101" s="20" t="s">
        <v>128</v>
      </c>
      <c r="AB101" s="20">
        <v>5158646</v>
      </c>
      <c r="AC101" s="20">
        <v>7.6</v>
      </c>
      <c r="AD101" s="20">
        <v>22</v>
      </c>
      <c r="AE101" s="20">
        <v>22</v>
      </c>
      <c r="AF101" s="20">
        <v>7479</v>
      </c>
      <c r="AG101" s="20">
        <v>3.6</v>
      </c>
      <c r="AH101" s="20" t="s">
        <v>67</v>
      </c>
      <c r="AI101" s="20" t="s">
        <v>503</v>
      </c>
      <c r="AJ101" s="22" t="s">
        <v>83</v>
      </c>
    </row>
    <row r="102" spans="1:36" x14ac:dyDescent="0.25">
      <c r="A102" s="24">
        <v>101</v>
      </c>
      <c r="B102" s="25" t="s">
        <v>98</v>
      </c>
      <c r="C102" s="25" t="s">
        <v>99</v>
      </c>
      <c r="D102" s="25" t="s">
        <v>227</v>
      </c>
      <c r="E102" s="25" t="s">
        <v>336</v>
      </c>
      <c r="F102" s="25">
        <v>357</v>
      </c>
      <c r="G102" s="25" t="s">
        <v>169</v>
      </c>
      <c r="H102" s="25" t="s">
        <v>73</v>
      </c>
      <c r="I102" s="25" t="s">
        <v>429</v>
      </c>
      <c r="J102" s="25" t="s">
        <v>224</v>
      </c>
      <c r="K102" s="25" t="s">
        <v>504</v>
      </c>
      <c r="L102" s="25" t="s">
        <v>173</v>
      </c>
      <c r="M102" s="25">
        <v>41</v>
      </c>
      <c r="N102" s="25" t="s">
        <v>505</v>
      </c>
      <c r="O102" s="25" t="s">
        <v>79</v>
      </c>
      <c r="P102" s="25" t="s">
        <v>63</v>
      </c>
      <c r="Q102" s="25">
        <v>5.7</v>
      </c>
      <c r="R102" s="25" t="s">
        <v>64</v>
      </c>
      <c r="S102" s="25" t="s">
        <v>80</v>
      </c>
      <c r="T102" s="34">
        <v>105603463447</v>
      </c>
      <c r="U102" s="25">
        <v>65932</v>
      </c>
      <c r="V102" s="25">
        <v>791184</v>
      </c>
      <c r="W102" s="25">
        <v>79118</v>
      </c>
      <c r="X102" s="25" t="s">
        <v>96</v>
      </c>
      <c r="Y102" s="25" t="s">
        <v>67</v>
      </c>
      <c r="Z102" s="25" t="s">
        <v>67</v>
      </c>
      <c r="AA102" s="25" t="s">
        <v>287</v>
      </c>
      <c r="AB102" s="25">
        <v>6604299</v>
      </c>
      <c r="AC102" s="25">
        <v>16.899999999999999</v>
      </c>
      <c r="AD102" s="25">
        <v>30</v>
      </c>
      <c r="AE102" s="25">
        <v>26</v>
      </c>
      <c r="AF102" s="25">
        <v>6460</v>
      </c>
      <c r="AG102" s="25">
        <v>3.3</v>
      </c>
      <c r="AH102" s="25" t="s">
        <v>64</v>
      </c>
      <c r="AI102" s="25" t="s">
        <v>505</v>
      </c>
      <c r="AJ102" s="26" t="s">
        <v>83</v>
      </c>
    </row>
  </sheetData>
  <sheetProtection formatCells="0" formatColumns="0" formatRows="0" insertColumns="0" deleteColumns="0" deleteRows="0"/>
  <conditionalFormatting sqref="AC1:AC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AG1:A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199F-6E8D-4B5A-9E55-500FDBB8FD84}">
  <sheetPr>
    <tabColor rgb="FF7030A0"/>
  </sheetPr>
  <dimension ref="A1:AA101"/>
  <sheetViews>
    <sheetView workbookViewId="0">
      <pane xSplit="1" topLeftCell="Q1" activePane="topRight" state="frozen"/>
      <selection pane="topRight" activeCell="V8" sqref="V8"/>
    </sheetView>
  </sheetViews>
  <sheetFormatPr defaultRowHeight="15" x14ac:dyDescent="0.25"/>
  <cols>
    <col min="1" max="1" width="18.85546875" style="12" bestFit="1" customWidth="1"/>
    <col min="2" max="2" width="12.5703125" style="12" bestFit="1" customWidth="1"/>
    <col min="3" max="3" width="11.7109375" style="12" bestFit="1" customWidth="1"/>
    <col min="4" max="4" width="22.28515625" style="12" bestFit="1" customWidth="1"/>
    <col min="5" max="5" width="13.42578125" style="12" customWidth="1"/>
    <col min="6" max="6" width="19" style="12" customWidth="1"/>
    <col min="7" max="7" width="11" style="12" customWidth="1"/>
    <col min="8" max="8" width="11.85546875" style="12" customWidth="1"/>
    <col min="9" max="9" width="8.5703125" style="12" customWidth="1"/>
    <col min="10" max="10" width="13.85546875" style="12" customWidth="1"/>
    <col min="11" max="11" width="16.7109375" style="12" customWidth="1"/>
    <col min="12" max="12" width="10.5703125" style="12" customWidth="1"/>
    <col min="13" max="13" width="11.140625" style="12" customWidth="1"/>
    <col min="14" max="14" width="17.28515625" style="12" customWidth="1"/>
    <col min="15" max="15" width="25" style="12" customWidth="1"/>
    <col min="16" max="16" width="25.7109375" style="12" customWidth="1"/>
    <col min="17" max="17" width="28.140625" style="12" customWidth="1"/>
    <col min="18" max="18" width="20" style="12" customWidth="1"/>
    <col min="19" max="19" width="13.85546875" style="12" customWidth="1"/>
    <col min="20" max="20" width="20.7109375" style="12" customWidth="1"/>
    <col min="21" max="21" width="12.7109375" style="12" bestFit="1" customWidth="1"/>
    <col min="22" max="22" width="20.140625" style="12" customWidth="1"/>
    <col min="23" max="25" width="13.28515625" style="12" customWidth="1"/>
    <col min="26" max="26" width="27.140625" style="12" customWidth="1"/>
    <col min="27" max="27" width="17.28515625" style="12" customWidth="1"/>
    <col min="28" max="16384" width="9.140625" style="12"/>
  </cols>
  <sheetData>
    <row r="1" spans="1:27" s="42" customFormat="1" x14ac:dyDescent="0.25">
      <c r="A1" s="43" t="s">
        <v>507</v>
      </c>
      <c r="B1" s="43" t="s">
        <v>508</v>
      </c>
      <c r="C1" s="43" t="s">
        <v>521</v>
      </c>
      <c r="D1" s="43" t="s">
        <v>509</v>
      </c>
      <c r="E1" s="43" t="s">
        <v>514</v>
      </c>
      <c r="F1" s="43" t="s">
        <v>522</v>
      </c>
      <c r="G1" s="43" t="s">
        <v>510</v>
      </c>
      <c r="H1" s="43" t="s">
        <v>511</v>
      </c>
      <c r="I1" s="43" t="s">
        <v>512</v>
      </c>
      <c r="J1" s="43" t="s">
        <v>513</v>
      </c>
      <c r="K1" s="43" t="s">
        <v>515</v>
      </c>
      <c r="L1" s="43" t="s">
        <v>516</v>
      </c>
      <c r="M1" s="43" t="s">
        <v>523</v>
      </c>
      <c r="N1" s="43" t="s">
        <v>524</v>
      </c>
      <c r="O1" s="43" t="s">
        <v>517</v>
      </c>
      <c r="P1" s="43" t="s">
        <v>518</v>
      </c>
      <c r="Q1" s="43" t="s">
        <v>525</v>
      </c>
      <c r="R1" s="43" t="s">
        <v>519</v>
      </c>
      <c r="S1" s="43" t="s">
        <v>520</v>
      </c>
      <c r="T1" s="43" t="s">
        <v>526</v>
      </c>
      <c r="U1" s="43" t="s">
        <v>527</v>
      </c>
      <c r="V1" s="43" t="s">
        <v>528</v>
      </c>
      <c r="W1" s="43" t="s">
        <v>529</v>
      </c>
      <c r="X1" s="43" t="s">
        <v>530</v>
      </c>
      <c r="Y1" s="43" t="s">
        <v>531</v>
      </c>
      <c r="Z1" s="43" t="s">
        <v>532</v>
      </c>
      <c r="AA1" s="43" t="s">
        <v>533</v>
      </c>
    </row>
    <row r="2" spans="1:27" x14ac:dyDescent="0.25">
      <c r="A2" s="39" t="s">
        <v>534</v>
      </c>
      <c r="B2" s="39" t="s">
        <v>534</v>
      </c>
      <c r="C2" s="39" t="s">
        <v>535</v>
      </c>
      <c r="D2" s="39" t="s">
        <v>536</v>
      </c>
      <c r="E2" s="39" t="s">
        <v>537</v>
      </c>
      <c r="F2" s="39" t="s">
        <v>538</v>
      </c>
      <c r="G2" s="39">
        <v>2017</v>
      </c>
      <c r="H2" s="39">
        <v>228291</v>
      </c>
      <c r="I2" s="39">
        <v>125</v>
      </c>
      <c r="J2" s="39">
        <v>124</v>
      </c>
      <c r="K2" s="39" t="s">
        <v>539</v>
      </c>
      <c r="L2" s="39" t="s">
        <v>540</v>
      </c>
      <c r="M2" s="39">
        <v>50</v>
      </c>
      <c r="N2" s="39">
        <v>2017</v>
      </c>
      <c r="O2" s="39">
        <v>42345</v>
      </c>
      <c r="P2" s="39">
        <v>322436</v>
      </c>
      <c r="Q2" s="39">
        <v>61</v>
      </c>
      <c r="R2" s="39">
        <v>813.41575008008522</v>
      </c>
      <c r="S2" s="39">
        <v>24.470584404384059</v>
      </c>
      <c r="T2" s="39">
        <v>3.0083735656673478</v>
      </c>
      <c r="U2" s="39">
        <v>40.11571213833453</v>
      </c>
      <c r="V2" s="39">
        <v>10.923460922422009</v>
      </c>
      <c r="W2" s="39">
        <v>113800</v>
      </c>
      <c r="X2" s="39">
        <v>126104</v>
      </c>
      <c r="Y2" s="39">
        <v>139879</v>
      </c>
      <c r="Z2" s="39">
        <v>35958</v>
      </c>
      <c r="AA2" s="39" t="s">
        <v>541</v>
      </c>
    </row>
    <row r="3" spans="1:27" x14ac:dyDescent="0.25">
      <c r="A3" s="39" t="s">
        <v>534</v>
      </c>
      <c r="B3" s="39" t="s">
        <v>534</v>
      </c>
      <c r="C3" s="39" t="s">
        <v>542</v>
      </c>
      <c r="D3" s="39" t="s">
        <v>543</v>
      </c>
      <c r="E3" s="39" t="s">
        <v>537</v>
      </c>
      <c r="F3" s="39" t="s">
        <v>544</v>
      </c>
      <c r="G3" s="39">
        <v>2022</v>
      </c>
      <c r="H3" s="39">
        <v>70559</v>
      </c>
      <c r="I3" s="39">
        <v>180</v>
      </c>
      <c r="J3" s="39">
        <v>149</v>
      </c>
      <c r="K3" s="39" t="s">
        <v>545</v>
      </c>
      <c r="L3" s="39" t="s">
        <v>540</v>
      </c>
      <c r="M3" s="39">
        <v>56</v>
      </c>
      <c r="N3" s="39">
        <v>2022</v>
      </c>
      <c r="O3" s="39">
        <v>49552</v>
      </c>
      <c r="P3" s="39">
        <v>855022</v>
      </c>
      <c r="Q3" s="39">
        <v>400</v>
      </c>
      <c r="R3" s="39">
        <v>4627.3394703886634</v>
      </c>
      <c r="S3" s="39">
        <v>1314.6527734730171</v>
      </c>
      <c r="T3" s="39">
        <v>28.410553880599469</v>
      </c>
      <c r="U3" s="39">
        <v>328.66319336825433</v>
      </c>
      <c r="V3" s="39">
        <v>0.2205771893700533</v>
      </c>
      <c r="W3" s="39">
        <v>50473</v>
      </c>
      <c r="X3" s="39">
        <v>54457</v>
      </c>
      <c r="Y3" s="39">
        <v>54577</v>
      </c>
      <c r="Z3" s="39">
        <v>22583</v>
      </c>
      <c r="AA3" s="39" t="s">
        <v>546</v>
      </c>
    </row>
    <row r="4" spans="1:27" x14ac:dyDescent="0.25">
      <c r="A4" s="39" t="s">
        <v>547</v>
      </c>
      <c r="B4" s="39" t="s">
        <v>548</v>
      </c>
      <c r="C4" s="39" t="s">
        <v>549</v>
      </c>
      <c r="D4" s="39" t="s">
        <v>550</v>
      </c>
      <c r="E4" s="39" t="s">
        <v>551</v>
      </c>
      <c r="F4" s="39" t="s">
        <v>538</v>
      </c>
      <c r="G4" s="39">
        <v>2016</v>
      </c>
      <c r="H4" s="39">
        <v>201959</v>
      </c>
      <c r="I4" s="39">
        <v>100</v>
      </c>
      <c r="J4" s="39">
        <v>146</v>
      </c>
      <c r="K4" s="39" t="s">
        <v>539</v>
      </c>
      <c r="L4" s="39" t="s">
        <v>552</v>
      </c>
      <c r="M4" s="39">
        <v>39</v>
      </c>
      <c r="N4" s="39">
        <v>2016</v>
      </c>
      <c r="O4" s="39">
        <v>24244</v>
      </c>
      <c r="P4" s="39">
        <v>1313665</v>
      </c>
      <c r="Q4" s="39">
        <v>218</v>
      </c>
      <c r="R4" s="39">
        <v>4259.0414911141952</v>
      </c>
      <c r="S4" s="39">
        <v>993.63912467092166</v>
      </c>
      <c r="T4" s="39">
        <v>23.330111405206779</v>
      </c>
      <c r="U4" s="39">
        <v>455.79776361051461</v>
      </c>
      <c r="V4" s="39">
        <v>10.832128665369179</v>
      </c>
      <c r="W4" s="39">
        <v>181902</v>
      </c>
      <c r="X4" s="39">
        <v>202705</v>
      </c>
      <c r="Y4" s="39">
        <v>224662</v>
      </c>
      <c r="Z4" s="39">
        <v>35988</v>
      </c>
      <c r="AA4" s="39" t="s">
        <v>546</v>
      </c>
    </row>
    <row r="5" spans="1:27" x14ac:dyDescent="0.25">
      <c r="A5" s="39" t="s">
        <v>553</v>
      </c>
      <c r="B5" s="39" t="s">
        <v>553</v>
      </c>
      <c r="C5" s="39" t="s">
        <v>535</v>
      </c>
      <c r="D5" s="39" t="s">
        <v>554</v>
      </c>
      <c r="E5" s="39" t="s">
        <v>555</v>
      </c>
      <c r="F5" s="39" t="s">
        <v>81</v>
      </c>
      <c r="G5" s="39">
        <v>2018</v>
      </c>
      <c r="H5" s="39">
        <v>348775</v>
      </c>
      <c r="I5" s="39">
        <v>650</v>
      </c>
      <c r="J5" s="39">
        <v>164</v>
      </c>
      <c r="K5" s="39" t="s">
        <v>545</v>
      </c>
      <c r="L5" s="39" t="s">
        <v>540</v>
      </c>
      <c r="M5" s="39">
        <v>67</v>
      </c>
      <c r="N5" s="39">
        <v>2018</v>
      </c>
      <c r="O5" s="39">
        <v>35216</v>
      </c>
      <c r="P5" s="39">
        <v>96111</v>
      </c>
      <c r="Q5" s="39">
        <v>74</v>
      </c>
      <c r="R5" s="39">
        <v>691.17095754134596</v>
      </c>
      <c r="S5" s="39">
        <v>47.704100789529477</v>
      </c>
      <c r="T5" s="39">
        <v>6.9019249534476872</v>
      </c>
      <c r="U5" s="39">
        <v>64.46500106693172</v>
      </c>
      <c r="V5" s="39">
        <v>12.426659980273071</v>
      </c>
      <c r="W5" s="39">
        <v>157206</v>
      </c>
      <c r="X5" s="39">
        <v>187748</v>
      </c>
      <c r="Y5" s="39">
        <v>211079</v>
      </c>
      <c r="Z5" s="39">
        <v>65400</v>
      </c>
      <c r="AA5" s="39" t="s">
        <v>63</v>
      </c>
    </row>
    <row r="6" spans="1:27" x14ac:dyDescent="0.25">
      <c r="A6" s="39" t="s">
        <v>553</v>
      </c>
      <c r="B6" s="39" t="s">
        <v>553</v>
      </c>
      <c r="C6" s="39" t="s">
        <v>549</v>
      </c>
      <c r="D6" s="39" t="s">
        <v>556</v>
      </c>
      <c r="E6" s="39" t="s">
        <v>557</v>
      </c>
      <c r="F6" s="39" t="s">
        <v>81</v>
      </c>
      <c r="G6" s="39">
        <v>2011</v>
      </c>
      <c r="H6" s="39">
        <v>312490</v>
      </c>
      <c r="I6" s="39">
        <v>180</v>
      </c>
      <c r="J6" s="39">
        <v>128</v>
      </c>
      <c r="K6" s="39" t="s">
        <v>545</v>
      </c>
      <c r="L6" s="39" t="s">
        <v>540</v>
      </c>
      <c r="M6" s="39">
        <v>58</v>
      </c>
      <c r="N6" s="39">
        <v>2011</v>
      </c>
      <c r="O6" s="39">
        <v>29651</v>
      </c>
      <c r="P6" s="39">
        <v>422683</v>
      </c>
      <c r="Q6" s="39">
        <v>367</v>
      </c>
      <c r="R6" s="39">
        <v>3245.0605067427141</v>
      </c>
      <c r="S6" s="39">
        <v>887.51012529890272</v>
      </c>
      <c r="T6" s="39">
        <v>27.349570938809901</v>
      </c>
      <c r="U6" s="39">
        <v>241.8283720160498</v>
      </c>
      <c r="V6" s="39">
        <v>-8.4899921220998973</v>
      </c>
      <c r="W6" s="39">
        <v>151871</v>
      </c>
      <c r="X6" s="39">
        <v>171204</v>
      </c>
      <c r="Y6" s="39">
        <v>156669</v>
      </c>
      <c r="Z6" s="39">
        <v>55449</v>
      </c>
      <c r="AA6" s="39" t="s">
        <v>546</v>
      </c>
    </row>
    <row r="7" spans="1:27" x14ac:dyDescent="0.25">
      <c r="A7" s="39" t="s">
        <v>558</v>
      </c>
      <c r="B7" s="39" t="s">
        <v>559</v>
      </c>
      <c r="C7" s="39" t="s">
        <v>535</v>
      </c>
      <c r="D7" s="39" t="s">
        <v>560</v>
      </c>
      <c r="E7" s="39" t="s">
        <v>551</v>
      </c>
      <c r="F7" s="39" t="s">
        <v>538</v>
      </c>
      <c r="G7" s="39">
        <v>2021</v>
      </c>
      <c r="H7" s="39">
        <v>346875</v>
      </c>
      <c r="I7" s="39">
        <v>180</v>
      </c>
      <c r="J7" s="39">
        <v>151</v>
      </c>
      <c r="K7" s="39" t="s">
        <v>539</v>
      </c>
      <c r="L7" s="39" t="s">
        <v>552</v>
      </c>
      <c r="M7" s="39">
        <v>60</v>
      </c>
      <c r="N7" s="39">
        <v>2021</v>
      </c>
      <c r="O7" s="39">
        <v>99913</v>
      </c>
      <c r="P7" s="39">
        <v>1080900</v>
      </c>
      <c r="Q7" s="39">
        <v>135</v>
      </c>
      <c r="R7" s="39">
        <v>2085.6881352694509</v>
      </c>
      <c r="S7" s="39">
        <v>-97.942861753533009</v>
      </c>
      <c r="T7" s="39">
        <v>-4.6959495092913173</v>
      </c>
      <c r="U7" s="39">
        <v>-72.550267965580005</v>
      </c>
      <c r="V7" s="39">
        <v>-0.93683306406945788</v>
      </c>
      <c r="W7" s="39">
        <v>167200</v>
      </c>
      <c r="X7" s="39">
        <v>179096</v>
      </c>
      <c r="Y7" s="39">
        <v>177418</v>
      </c>
      <c r="Z7" s="39">
        <v>67427</v>
      </c>
      <c r="AA7" s="39" t="s">
        <v>541</v>
      </c>
    </row>
    <row r="8" spans="1:27" x14ac:dyDescent="0.25">
      <c r="A8" s="39" t="s">
        <v>553</v>
      </c>
      <c r="B8" s="39" t="s">
        <v>553</v>
      </c>
      <c r="C8" s="39" t="s">
        <v>542</v>
      </c>
      <c r="D8" s="39" t="s">
        <v>561</v>
      </c>
      <c r="E8" s="39" t="s">
        <v>557</v>
      </c>
      <c r="F8" s="39" t="s">
        <v>544</v>
      </c>
      <c r="G8" s="39">
        <v>2009</v>
      </c>
      <c r="H8" s="39">
        <v>331141</v>
      </c>
      <c r="I8" s="39">
        <v>350</v>
      </c>
      <c r="J8" s="39">
        <v>146</v>
      </c>
      <c r="K8" s="39" t="s">
        <v>545</v>
      </c>
      <c r="L8" s="39" t="s">
        <v>552</v>
      </c>
      <c r="M8" s="39">
        <v>62</v>
      </c>
      <c r="N8" s="39">
        <v>2009</v>
      </c>
      <c r="O8" s="39">
        <v>34223</v>
      </c>
      <c r="P8" s="39">
        <v>575425</v>
      </c>
      <c r="Q8" s="39">
        <v>254</v>
      </c>
      <c r="R8" s="39">
        <v>3576.498864411235</v>
      </c>
      <c r="S8" s="39">
        <v>-66.626868358527531</v>
      </c>
      <c r="T8" s="39">
        <v>-1.86290757761769</v>
      </c>
      <c r="U8" s="39">
        <v>-26.23105053485336</v>
      </c>
      <c r="V8" s="39">
        <v>8.7569107673362847</v>
      </c>
      <c r="W8" s="39">
        <v>198319</v>
      </c>
      <c r="X8" s="39">
        <v>184578</v>
      </c>
      <c r="Y8" s="39">
        <v>200741</v>
      </c>
      <c r="Z8" s="39">
        <v>31120</v>
      </c>
      <c r="AA8" s="39" t="s">
        <v>541</v>
      </c>
    </row>
    <row r="9" spans="1:27" x14ac:dyDescent="0.25">
      <c r="A9" s="39" t="s">
        <v>562</v>
      </c>
      <c r="B9" s="39" t="s">
        <v>563</v>
      </c>
      <c r="C9" s="39" t="s">
        <v>542</v>
      </c>
      <c r="D9" s="39" t="s">
        <v>564</v>
      </c>
      <c r="E9" s="39" t="s">
        <v>555</v>
      </c>
      <c r="F9" s="39" t="s">
        <v>544</v>
      </c>
      <c r="G9" s="39">
        <v>2008</v>
      </c>
      <c r="H9" s="39">
        <v>342234</v>
      </c>
      <c r="I9" s="39">
        <v>400</v>
      </c>
      <c r="J9" s="39">
        <v>175</v>
      </c>
      <c r="K9" s="39" t="s">
        <v>545</v>
      </c>
      <c r="L9" s="39" t="s">
        <v>552</v>
      </c>
      <c r="M9" s="39">
        <v>41</v>
      </c>
      <c r="N9" s="39">
        <v>2008</v>
      </c>
      <c r="O9" s="39">
        <v>19726</v>
      </c>
      <c r="P9" s="39">
        <v>1489549</v>
      </c>
      <c r="Q9" s="39">
        <v>105</v>
      </c>
      <c r="R9" s="39">
        <v>917.695725210815</v>
      </c>
      <c r="S9" s="39">
        <v>159.25070881623921</v>
      </c>
      <c r="T9" s="39">
        <v>17.353323595318681</v>
      </c>
      <c r="U9" s="39">
        <v>151.6673417297516</v>
      </c>
      <c r="V9" s="39">
        <v>3.5358628161903418</v>
      </c>
      <c r="W9" s="39">
        <v>190071</v>
      </c>
      <c r="X9" s="39">
        <v>225191</v>
      </c>
      <c r="Y9" s="39">
        <v>233154</v>
      </c>
      <c r="Z9" s="39">
        <v>56678</v>
      </c>
      <c r="AA9" s="39" t="s">
        <v>63</v>
      </c>
    </row>
    <row r="10" spans="1:27" x14ac:dyDescent="0.25">
      <c r="A10" s="39" t="s">
        <v>565</v>
      </c>
      <c r="B10" s="39" t="s">
        <v>566</v>
      </c>
      <c r="C10" s="39" t="s">
        <v>549</v>
      </c>
      <c r="D10" s="39" t="s">
        <v>567</v>
      </c>
      <c r="E10" s="39" t="s">
        <v>555</v>
      </c>
      <c r="F10" s="39" t="s">
        <v>544</v>
      </c>
      <c r="G10" s="39">
        <v>2023</v>
      </c>
      <c r="H10" s="39">
        <v>173367</v>
      </c>
      <c r="I10" s="39">
        <v>100</v>
      </c>
      <c r="J10" s="39">
        <v>96</v>
      </c>
      <c r="K10" s="39" t="s">
        <v>568</v>
      </c>
      <c r="L10" s="39" t="s">
        <v>540</v>
      </c>
      <c r="M10" s="39">
        <v>29</v>
      </c>
      <c r="N10" s="39">
        <v>2023</v>
      </c>
      <c r="O10" s="39">
        <v>37257</v>
      </c>
      <c r="P10" s="39">
        <v>1189630</v>
      </c>
      <c r="Q10" s="39">
        <v>357</v>
      </c>
      <c r="R10" s="39">
        <v>3798.81137342889</v>
      </c>
      <c r="S10" s="39">
        <v>1143.4119037139581</v>
      </c>
      <c r="T10" s="39">
        <v>30.099201863815878</v>
      </c>
      <c r="U10" s="39">
        <v>320.28344641847571</v>
      </c>
      <c r="V10" s="39">
        <v>-3.364696425429508</v>
      </c>
      <c r="W10" s="39">
        <v>96197</v>
      </c>
      <c r="X10" s="39">
        <v>106086</v>
      </c>
      <c r="Y10" s="39">
        <v>102516</v>
      </c>
      <c r="Z10" s="39">
        <v>20455</v>
      </c>
      <c r="AA10" s="39" t="s">
        <v>63</v>
      </c>
    </row>
    <row r="11" spans="1:27" x14ac:dyDescent="0.25">
      <c r="A11" s="39" t="s">
        <v>569</v>
      </c>
      <c r="B11" s="39" t="s">
        <v>570</v>
      </c>
      <c r="C11" s="39" t="s">
        <v>571</v>
      </c>
      <c r="D11" s="39" t="s">
        <v>572</v>
      </c>
      <c r="E11" s="39" t="s">
        <v>551</v>
      </c>
      <c r="F11" s="39" t="s">
        <v>544</v>
      </c>
      <c r="G11" s="39">
        <v>2022</v>
      </c>
      <c r="H11" s="39">
        <v>83355</v>
      </c>
      <c r="I11" s="39">
        <v>350</v>
      </c>
      <c r="J11" s="39">
        <v>99</v>
      </c>
      <c r="K11" s="39" t="s">
        <v>573</v>
      </c>
      <c r="L11" s="39" t="s">
        <v>540</v>
      </c>
      <c r="M11" s="39">
        <v>39</v>
      </c>
      <c r="N11" s="39">
        <v>2022</v>
      </c>
      <c r="O11" s="39">
        <v>92131</v>
      </c>
      <c r="P11" s="39">
        <v>1364812</v>
      </c>
      <c r="Q11" s="40">
        <v>293</v>
      </c>
      <c r="R11" s="39">
        <v>5016.1711754126627</v>
      </c>
      <c r="S11" s="39">
        <v>-11.928928393915029</v>
      </c>
      <c r="T11" s="39">
        <v>-0.23780943625660231</v>
      </c>
      <c r="U11" s="39">
        <v>-4.0713066190836296</v>
      </c>
      <c r="V11" s="39">
        <v>-7.2545882601238638</v>
      </c>
      <c r="W11" s="39">
        <v>157748</v>
      </c>
      <c r="X11" s="39">
        <v>150027</v>
      </c>
      <c r="Y11" s="39">
        <v>139144</v>
      </c>
      <c r="Z11" s="39">
        <v>76055</v>
      </c>
      <c r="AA11" s="39" t="s">
        <v>63</v>
      </c>
    </row>
    <row r="12" spans="1:27" x14ac:dyDescent="0.25">
      <c r="A12" s="39" t="s">
        <v>569</v>
      </c>
      <c r="B12" s="39" t="s">
        <v>570</v>
      </c>
      <c r="C12" s="39" t="s">
        <v>574</v>
      </c>
      <c r="D12" s="39" t="s">
        <v>575</v>
      </c>
      <c r="E12" s="39" t="s">
        <v>555</v>
      </c>
      <c r="F12" s="39" t="s">
        <v>538</v>
      </c>
      <c r="G12" s="39">
        <v>2007</v>
      </c>
      <c r="H12" s="39">
        <v>244035</v>
      </c>
      <c r="I12" s="39">
        <v>350</v>
      </c>
      <c r="J12" s="39">
        <v>126</v>
      </c>
      <c r="K12" s="39" t="s">
        <v>545</v>
      </c>
      <c r="L12" s="39" t="s">
        <v>540</v>
      </c>
      <c r="M12" s="39">
        <v>73</v>
      </c>
      <c r="N12" s="39">
        <v>2007</v>
      </c>
      <c r="O12" s="39">
        <v>58904</v>
      </c>
      <c r="P12" s="39">
        <v>434371</v>
      </c>
      <c r="Q12" s="41">
        <v>283</v>
      </c>
      <c r="R12" s="39">
        <v>3227.476185701888</v>
      </c>
      <c r="S12" s="39">
        <v>327.19346185128973</v>
      </c>
      <c r="T12" s="39">
        <v>10.137749839977021</v>
      </c>
      <c r="U12" s="39">
        <v>115.6160642584063</v>
      </c>
      <c r="V12" s="39">
        <v>7.2827482050792982</v>
      </c>
      <c r="W12" s="39">
        <v>81809</v>
      </c>
      <c r="X12" s="39">
        <v>79483</v>
      </c>
      <c r="Y12" s="39">
        <v>85272</v>
      </c>
      <c r="Z12" s="39">
        <v>46321</v>
      </c>
      <c r="AA12" s="39" t="s">
        <v>546</v>
      </c>
    </row>
    <row r="13" spans="1:27" x14ac:dyDescent="0.25">
      <c r="A13" s="39" t="s">
        <v>576</v>
      </c>
      <c r="B13" s="39" t="s">
        <v>577</v>
      </c>
      <c r="C13" s="39" t="s">
        <v>578</v>
      </c>
      <c r="D13" s="39" t="s">
        <v>579</v>
      </c>
      <c r="E13" s="39" t="s">
        <v>557</v>
      </c>
      <c r="F13" s="39" t="s">
        <v>538</v>
      </c>
      <c r="G13" s="39">
        <v>2011</v>
      </c>
      <c r="H13" s="39">
        <v>129159</v>
      </c>
      <c r="I13" s="39">
        <v>100</v>
      </c>
      <c r="J13" s="39">
        <v>121</v>
      </c>
      <c r="K13" s="39" t="s">
        <v>545</v>
      </c>
      <c r="L13" s="39" t="s">
        <v>540</v>
      </c>
      <c r="M13" s="39">
        <v>53</v>
      </c>
      <c r="N13" s="39">
        <v>2011</v>
      </c>
      <c r="O13" s="39">
        <v>19074</v>
      </c>
      <c r="P13" s="39">
        <v>594305</v>
      </c>
      <c r="Q13" s="39">
        <v>107</v>
      </c>
      <c r="R13" s="39">
        <v>967.6338560570257</v>
      </c>
      <c r="S13" s="39">
        <v>36.282250330114721</v>
      </c>
      <c r="T13" s="39">
        <v>3.7495846288346999</v>
      </c>
      <c r="U13" s="39">
        <v>33.90864516833151</v>
      </c>
      <c r="V13" s="39">
        <v>-6.1879382527794151</v>
      </c>
      <c r="W13" s="39">
        <v>110068</v>
      </c>
      <c r="X13" s="39">
        <v>128712</v>
      </c>
      <c r="Y13" s="39">
        <v>120748</v>
      </c>
      <c r="Z13" s="39">
        <v>45930</v>
      </c>
      <c r="AA13" s="39" t="s">
        <v>546</v>
      </c>
    </row>
    <row r="14" spans="1:27" x14ac:dyDescent="0.25">
      <c r="A14" s="39" t="s">
        <v>576</v>
      </c>
      <c r="B14" s="39" t="s">
        <v>577</v>
      </c>
      <c r="C14" s="39" t="s">
        <v>535</v>
      </c>
      <c r="D14" s="39" t="s">
        <v>580</v>
      </c>
      <c r="E14" s="39" t="s">
        <v>551</v>
      </c>
      <c r="F14" s="39" t="s">
        <v>538</v>
      </c>
      <c r="G14" s="39">
        <v>2024</v>
      </c>
      <c r="H14" s="39">
        <v>75865</v>
      </c>
      <c r="I14" s="39">
        <v>125</v>
      </c>
      <c r="J14" s="39">
        <v>114</v>
      </c>
      <c r="K14" s="39" t="s">
        <v>539</v>
      </c>
      <c r="L14" s="39" t="s">
        <v>552</v>
      </c>
      <c r="M14" s="39">
        <v>31</v>
      </c>
      <c r="N14" s="39">
        <v>2024</v>
      </c>
      <c r="O14" s="39">
        <v>96529</v>
      </c>
      <c r="P14" s="39">
        <v>978356</v>
      </c>
      <c r="Q14" s="39">
        <v>68</v>
      </c>
      <c r="R14" s="39">
        <v>597.29153926474339</v>
      </c>
      <c r="S14" s="39">
        <v>21.441676501558309</v>
      </c>
      <c r="T14" s="39">
        <v>3.5898175500615119</v>
      </c>
      <c r="U14" s="39">
        <v>31.531877208173992</v>
      </c>
      <c r="V14" s="39">
        <v>12.62230384203899</v>
      </c>
      <c r="W14" s="39">
        <v>147742</v>
      </c>
      <c r="X14" s="39">
        <v>135049</v>
      </c>
      <c r="Y14" s="39">
        <v>152095</v>
      </c>
      <c r="Z14" s="39">
        <v>36876</v>
      </c>
      <c r="AA14" s="39" t="s">
        <v>546</v>
      </c>
    </row>
    <row r="15" spans="1:27" x14ac:dyDescent="0.25">
      <c r="A15" s="39" t="s">
        <v>581</v>
      </c>
      <c r="B15" s="39" t="s">
        <v>582</v>
      </c>
      <c r="C15" s="39" t="s">
        <v>542</v>
      </c>
      <c r="D15" s="39" t="s">
        <v>583</v>
      </c>
      <c r="E15" s="39" t="s">
        <v>584</v>
      </c>
      <c r="F15" s="39" t="s">
        <v>544</v>
      </c>
      <c r="G15" s="39">
        <v>2007</v>
      </c>
      <c r="H15" s="39">
        <v>213507</v>
      </c>
      <c r="I15" s="39">
        <v>650</v>
      </c>
      <c r="J15" s="39">
        <v>149</v>
      </c>
      <c r="K15" s="39" t="s">
        <v>539</v>
      </c>
      <c r="L15" s="39" t="s">
        <v>540</v>
      </c>
      <c r="M15" s="39">
        <v>32</v>
      </c>
      <c r="N15" s="39">
        <v>2007</v>
      </c>
      <c r="O15" s="39">
        <v>27094</v>
      </c>
      <c r="P15" s="39">
        <v>292653</v>
      </c>
      <c r="Q15" s="39">
        <v>237</v>
      </c>
      <c r="R15" s="39">
        <v>4041.0986603554711</v>
      </c>
      <c r="S15" s="39">
        <v>324.25444465730777</v>
      </c>
      <c r="T15" s="39">
        <v>8.0239180458114614</v>
      </c>
      <c r="U15" s="39">
        <v>136.81622137439149</v>
      </c>
      <c r="V15" s="39">
        <v>6.7492560828471273</v>
      </c>
      <c r="W15" s="39">
        <v>162479</v>
      </c>
      <c r="X15" s="39">
        <v>180444</v>
      </c>
      <c r="Y15" s="39">
        <v>192623</v>
      </c>
      <c r="Z15" s="39">
        <v>32029</v>
      </c>
      <c r="AA15" s="39" t="s">
        <v>546</v>
      </c>
    </row>
    <row r="16" spans="1:27" x14ac:dyDescent="0.25">
      <c r="A16" s="39" t="s">
        <v>534</v>
      </c>
      <c r="B16" s="39" t="s">
        <v>534</v>
      </c>
      <c r="C16" s="39" t="s">
        <v>574</v>
      </c>
      <c r="D16" s="39" t="s">
        <v>585</v>
      </c>
      <c r="E16" s="39" t="s">
        <v>537</v>
      </c>
      <c r="F16" s="39" t="s">
        <v>538</v>
      </c>
      <c r="G16" s="39">
        <v>2012</v>
      </c>
      <c r="H16" s="39">
        <v>321612</v>
      </c>
      <c r="I16" s="39">
        <v>180</v>
      </c>
      <c r="J16" s="39">
        <v>115</v>
      </c>
      <c r="K16" s="39" t="s">
        <v>539</v>
      </c>
      <c r="L16" s="39" t="s">
        <v>552</v>
      </c>
      <c r="M16" s="39">
        <v>70</v>
      </c>
      <c r="N16" s="39">
        <v>2012</v>
      </c>
      <c r="O16" s="39">
        <v>11555</v>
      </c>
      <c r="P16" s="39">
        <v>411153</v>
      </c>
      <c r="Q16" s="39">
        <v>98</v>
      </c>
      <c r="R16" s="39">
        <v>1235.5388471716201</v>
      </c>
      <c r="S16" s="39">
        <v>-7.5799247571152097</v>
      </c>
      <c r="T16" s="39">
        <v>-0.61349141505886928</v>
      </c>
      <c r="U16" s="39">
        <v>-7.7346170990971537</v>
      </c>
      <c r="V16" s="39">
        <v>-9.6833055483351931</v>
      </c>
      <c r="W16" s="39">
        <v>165857</v>
      </c>
      <c r="X16" s="39">
        <v>151605</v>
      </c>
      <c r="Y16" s="39">
        <v>136925</v>
      </c>
      <c r="Z16" s="39">
        <v>68520</v>
      </c>
      <c r="AA16" s="39" t="s">
        <v>541</v>
      </c>
    </row>
    <row r="17" spans="1:27" x14ac:dyDescent="0.25">
      <c r="A17" s="39" t="s">
        <v>553</v>
      </c>
      <c r="B17" s="39" t="s">
        <v>553</v>
      </c>
      <c r="C17" s="39" t="s">
        <v>578</v>
      </c>
      <c r="D17" s="39" t="s">
        <v>586</v>
      </c>
      <c r="E17" s="39" t="s">
        <v>551</v>
      </c>
      <c r="F17" s="39" t="s">
        <v>544</v>
      </c>
      <c r="G17" s="39">
        <v>2013</v>
      </c>
      <c r="H17" s="39">
        <v>161019</v>
      </c>
      <c r="I17" s="39">
        <v>150</v>
      </c>
      <c r="J17" s="39">
        <v>96</v>
      </c>
      <c r="K17" s="39" t="s">
        <v>568</v>
      </c>
      <c r="L17" s="39" t="s">
        <v>540</v>
      </c>
      <c r="M17" s="39">
        <v>75</v>
      </c>
      <c r="N17" s="39">
        <v>2013</v>
      </c>
      <c r="O17" s="39">
        <v>36748</v>
      </c>
      <c r="P17" s="39">
        <v>1001284</v>
      </c>
      <c r="Q17" s="39">
        <v>340</v>
      </c>
      <c r="R17" s="39">
        <v>6742.4389316022252</v>
      </c>
      <c r="S17" s="39">
        <v>1116.1778839617641</v>
      </c>
      <c r="T17" s="39">
        <v>16.55451232535707</v>
      </c>
      <c r="U17" s="39">
        <v>328.28761292993062</v>
      </c>
      <c r="V17" s="39">
        <v>3.5134884913955631</v>
      </c>
      <c r="W17" s="39">
        <v>121361</v>
      </c>
      <c r="X17" s="39">
        <v>123370</v>
      </c>
      <c r="Y17" s="39">
        <v>127705</v>
      </c>
      <c r="Z17" s="39">
        <v>26621</v>
      </c>
      <c r="AA17" s="39" t="s">
        <v>546</v>
      </c>
    </row>
    <row r="18" spans="1:27" x14ac:dyDescent="0.25">
      <c r="A18" s="39" t="s">
        <v>534</v>
      </c>
      <c r="B18" s="39" t="s">
        <v>534</v>
      </c>
      <c r="C18" s="39" t="s">
        <v>542</v>
      </c>
      <c r="D18" s="39" t="s">
        <v>587</v>
      </c>
      <c r="E18" s="39" t="s">
        <v>557</v>
      </c>
      <c r="F18" s="39" t="s">
        <v>544</v>
      </c>
      <c r="G18" s="39">
        <v>2025</v>
      </c>
      <c r="H18" s="39">
        <v>216261</v>
      </c>
      <c r="I18" s="39">
        <v>400</v>
      </c>
      <c r="J18" s="39">
        <v>124</v>
      </c>
      <c r="K18" s="39" t="s">
        <v>539</v>
      </c>
      <c r="L18" s="39" t="s">
        <v>552</v>
      </c>
      <c r="M18" s="39">
        <v>32</v>
      </c>
      <c r="N18" s="39">
        <v>2025</v>
      </c>
      <c r="O18" s="39">
        <v>21454</v>
      </c>
      <c r="P18" s="39">
        <v>227756</v>
      </c>
      <c r="Q18" s="39">
        <v>126</v>
      </c>
      <c r="R18" s="39">
        <v>1244.854724905101</v>
      </c>
      <c r="S18" s="39">
        <v>285.37198352688932</v>
      </c>
      <c r="T18" s="39">
        <v>22.924119402659141</v>
      </c>
      <c r="U18" s="39">
        <v>226.48570121181689</v>
      </c>
      <c r="V18" s="39">
        <v>5.7890928795004761</v>
      </c>
      <c r="W18" s="39">
        <v>91891</v>
      </c>
      <c r="X18" s="39">
        <v>84002</v>
      </c>
      <c r="Y18" s="39">
        <v>88865</v>
      </c>
      <c r="Z18" s="39">
        <v>68643</v>
      </c>
      <c r="AA18" s="39" t="s">
        <v>546</v>
      </c>
    </row>
    <row r="19" spans="1:27" x14ac:dyDescent="0.25">
      <c r="A19" s="39" t="s">
        <v>562</v>
      </c>
      <c r="B19" s="39" t="s">
        <v>563</v>
      </c>
      <c r="C19" s="39" t="s">
        <v>535</v>
      </c>
      <c r="D19" s="39" t="s">
        <v>588</v>
      </c>
      <c r="E19" s="39" t="s">
        <v>555</v>
      </c>
      <c r="F19" s="39" t="s">
        <v>538</v>
      </c>
      <c r="G19" s="39">
        <v>2011</v>
      </c>
      <c r="H19" s="39">
        <v>97925</v>
      </c>
      <c r="I19" s="39">
        <v>400</v>
      </c>
      <c r="J19" s="39">
        <v>93</v>
      </c>
      <c r="K19" s="39" t="s">
        <v>573</v>
      </c>
      <c r="L19" s="39" t="s">
        <v>552</v>
      </c>
      <c r="M19" s="39">
        <v>77</v>
      </c>
      <c r="N19" s="39">
        <v>2011</v>
      </c>
      <c r="O19" s="39">
        <v>97425</v>
      </c>
      <c r="P19" s="39">
        <v>591362</v>
      </c>
      <c r="Q19" s="39">
        <v>90</v>
      </c>
      <c r="R19" s="39">
        <v>1378.697151307397</v>
      </c>
      <c r="S19" s="39">
        <v>-38.921226796848273</v>
      </c>
      <c r="T19" s="39">
        <v>-2.8230439701670429</v>
      </c>
      <c r="U19" s="39">
        <v>-43.245807552053627</v>
      </c>
      <c r="V19" s="39">
        <v>6.7795651646406716</v>
      </c>
      <c r="W19" s="39">
        <v>108657</v>
      </c>
      <c r="X19" s="39">
        <v>99849</v>
      </c>
      <c r="Y19" s="39">
        <v>106619</v>
      </c>
      <c r="Z19" s="39">
        <v>66239</v>
      </c>
      <c r="AA19" s="39" t="s">
        <v>63</v>
      </c>
    </row>
    <row r="20" spans="1:27" x14ac:dyDescent="0.25">
      <c r="A20" s="39" t="s">
        <v>576</v>
      </c>
      <c r="B20" s="39" t="s">
        <v>577</v>
      </c>
      <c r="C20" s="39" t="s">
        <v>571</v>
      </c>
      <c r="D20" s="39" t="s">
        <v>589</v>
      </c>
      <c r="E20" s="39" t="s">
        <v>537</v>
      </c>
      <c r="F20" s="39" t="s">
        <v>81</v>
      </c>
      <c r="G20" s="39">
        <v>2013</v>
      </c>
      <c r="H20" s="39">
        <v>75532</v>
      </c>
      <c r="I20" s="39">
        <v>150</v>
      </c>
      <c r="J20" s="39">
        <v>95</v>
      </c>
      <c r="K20" s="39" t="s">
        <v>568</v>
      </c>
      <c r="L20" s="39" t="s">
        <v>540</v>
      </c>
      <c r="M20" s="39">
        <v>32</v>
      </c>
      <c r="N20" s="39">
        <v>2013</v>
      </c>
      <c r="O20" s="39">
        <v>11507</v>
      </c>
      <c r="P20" s="39">
        <v>1483268</v>
      </c>
      <c r="Q20" s="39">
        <v>299</v>
      </c>
      <c r="R20" s="39">
        <v>3850.9734980503931</v>
      </c>
      <c r="S20" s="39">
        <v>417.24690882319601</v>
      </c>
      <c r="T20" s="39">
        <v>10.83484238555349</v>
      </c>
      <c r="U20" s="39">
        <v>139.54746114488159</v>
      </c>
      <c r="V20" s="39">
        <v>6.8864323060344113</v>
      </c>
      <c r="W20" s="39">
        <v>177244</v>
      </c>
      <c r="X20" s="39">
        <v>172502</v>
      </c>
      <c r="Y20" s="39">
        <v>184381</v>
      </c>
      <c r="Z20" s="39">
        <v>66705</v>
      </c>
      <c r="AA20" s="39" t="s">
        <v>63</v>
      </c>
    </row>
    <row r="21" spans="1:27" x14ac:dyDescent="0.25">
      <c r="A21" s="39" t="s">
        <v>590</v>
      </c>
      <c r="B21" s="39" t="s">
        <v>590</v>
      </c>
      <c r="C21" s="39" t="s">
        <v>542</v>
      </c>
      <c r="D21" s="39" t="s">
        <v>591</v>
      </c>
      <c r="E21" s="39" t="s">
        <v>584</v>
      </c>
      <c r="F21" s="39" t="s">
        <v>538</v>
      </c>
      <c r="G21" s="39">
        <v>2018</v>
      </c>
      <c r="H21" s="39">
        <v>191872</v>
      </c>
      <c r="I21" s="39">
        <v>180</v>
      </c>
      <c r="J21" s="39">
        <v>94</v>
      </c>
      <c r="K21" s="39" t="s">
        <v>568</v>
      </c>
      <c r="L21" s="39" t="s">
        <v>540</v>
      </c>
      <c r="M21" s="39">
        <v>41</v>
      </c>
      <c r="N21" s="39">
        <v>2018</v>
      </c>
      <c r="O21" s="39">
        <v>24859</v>
      </c>
      <c r="P21" s="39">
        <v>1000756</v>
      </c>
      <c r="Q21" s="39">
        <v>240</v>
      </c>
      <c r="R21" s="39">
        <v>2234.2061685839772</v>
      </c>
      <c r="S21" s="39">
        <v>213.8779422988153</v>
      </c>
      <c r="T21" s="39">
        <v>9.5728829911148932</v>
      </c>
      <c r="U21" s="39">
        <v>89.115809291173036</v>
      </c>
      <c r="V21" s="39">
        <v>11.57747664636253</v>
      </c>
      <c r="W21" s="39">
        <v>104165</v>
      </c>
      <c r="X21" s="39">
        <v>106476</v>
      </c>
      <c r="Y21" s="39">
        <v>118803</v>
      </c>
      <c r="Z21" s="39">
        <v>10715</v>
      </c>
      <c r="AA21" s="39" t="s">
        <v>63</v>
      </c>
    </row>
    <row r="22" spans="1:27" x14ac:dyDescent="0.25">
      <c r="A22" s="39" t="s">
        <v>547</v>
      </c>
      <c r="B22" s="39" t="s">
        <v>548</v>
      </c>
      <c r="C22" s="39" t="s">
        <v>592</v>
      </c>
      <c r="D22" s="39" t="s">
        <v>593</v>
      </c>
      <c r="E22" s="39" t="s">
        <v>551</v>
      </c>
      <c r="F22" s="39" t="s">
        <v>81</v>
      </c>
      <c r="G22" s="39">
        <v>2022</v>
      </c>
      <c r="H22" s="39">
        <v>125550</v>
      </c>
      <c r="I22" s="39">
        <v>180</v>
      </c>
      <c r="J22" s="39">
        <v>163</v>
      </c>
      <c r="K22" s="39" t="s">
        <v>545</v>
      </c>
      <c r="L22" s="39" t="s">
        <v>552</v>
      </c>
      <c r="M22" s="39">
        <v>50</v>
      </c>
      <c r="N22" s="39">
        <v>2022</v>
      </c>
      <c r="O22" s="39">
        <v>95520</v>
      </c>
      <c r="P22" s="39">
        <v>398960</v>
      </c>
      <c r="Q22" s="39">
        <v>380</v>
      </c>
      <c r="R22" s="39">
        <v>6327.9513967568764</v>
      </c>
      <c r="S22" s="39">
        <v>440.24413579702662</v>
      </c>
      <c r="T22" s="39">
        <v>6.9571352274079583</v>
      </c>
      <c r="U22" s="39">
        <v>115.8537199465859</v>
      </c>
      <c r="V22" s="39">
        <v>-7.783999434854727</v>
      </c>
      <c r="W22" s="39">
        <v>173068</v>
      </c>
      <c r="X22" s="39">
        <v>190817</v>
      </c>
      <c r="Y22" s="39">
        <v>175964</v>
      </c>
      <c r="Z22" s="39">
        <v>60935</v>
      </c>
      <c r="AA22" s="39" t="s">
        <v>541</v>
      </c>
    </row>
    <row r="23" spans="1:27" x14ac:dyDescent="0.25">
      <c r="A23" s="39" t="s">
        <v>562</v>
      </c>
      <c r="B23" s="39" t="s">
        <v>563</v>
      </c>
      <c r="C23" s="39" t="s">
        <v>594</v>
      </c>
      <c r="D23" s="39" t="s">
        <v>595</v>
      </c>
      <c r="E23" s="39" t="s">
        <v>551</v>
      </c>
      <c r="F23" s="39" t="s">
        <v>538</v>
      </c>
      <c r="G23" s="39">
        <v>2016</v>
      </c>
      <c r="H23" s="39">
        <v>249799</v>
      </c>
      <c r="I23" s="39">
        <v>180</v>
      </c>
      <c r="J23" s="39">
        <v>106</v>
      </c>
      <c r="K23" s="39" t="s">
        <v>545</v>
      </c>
      <c r="L23" s="39" t="s">
        <v>552</v>
      </c>
      <c r="M23" s="39">
        <v>48</v>
      </c>
      <c r="N23" s="39">
        <v>2016</v>
      </c>
      <c r="O23" s="39">
        <v>66202</v>
      </c>
      <c r="P23" s="39">
        <v>600599</v>
      </c>
      <c r="Q23" s="39">
        <v>311</v>
      </c>
      <c r="R23" s="39">
        <v>2776.8288917044501</v>
      </c>
      <c r="S23" s="39">
        <v>304.41727821671259</v>
      </c>
      <c r="T23" s="39">
        <v>10.962766885857979</v>
      </c>
      <c r="U23" s="39">
        <v>97.883369201515322</v>
      </c>
      <c r="V23" s="39">
        <v>4.712358601062796</v>
      </c>
      <c r="W23" s="39">
        <v>69891</v>
      </c>
      <c r="X23" s="39">
        <v>81541</v>
      </c>
      <c r="Y23" s="39">
        <v>85384</v>
      </c>
      <c r="Z23" s="39">
        <v>41994</v>
      </c>
      <c r="AA23" s="39" t="s">
        <v>63</v>
      </c>
    </row>
    <row r="24" spans="1:27" x14ac:dyDescent="0.25">
      <c r="A24" s="39" t="s">
        <v>562</v>
      </c>
      <c r="B24" s="39" t="s">
        <v>563</v>
      </c>
      <c r="C24" s="39" t="s">
        <v>574</v>
      </c>
      <c r="D24" s="39" t="s">
        <v>596</v>
      </c>
      <c r="E24" s="39" t="s">
        <v>537</v>
      </c>
      <c r="F24" s="39" t="s">
        <v>544</v>
      </c>
      <c r="G24" s="39">
        <v>2024</v>
      </c>
      <c r="H24" s="39">
        <v>96153</v>
      </c>
      <c r="I24" s="39">
        <v>200</v>
      </c>
      <c r="J24" s="39">
        <v>162</v>
      </c>
      <c r="K24" s="39" t="s">
        <v>539</v>
      </c>
      <c r="L24" s="39" t="s">
        <v>552</v>
      </c>
      <c r="M24" s="39">
        <v>48</v>
      </c>
      <c r="N24" s="39">
        <v>2024</v>
      </c>
      <c r="O24" s="39">
        <v>85113</v>
      </c>
      <c r="P24" s="39">
        <v>1439902</v>
      </c>
      <c r="Q24" s="39">
        <v>257</v>
      </c>
      <c r="R24" s="39">
        <v>4235.0453607600684</v>
      </c>
      <c r="S24" s="39">
        <v>484.70719170524728</v>
      </c>
      <c r="T24" s="39">
        <v>11.445147582038089</v>
      </c>
      <c r="U24" s="39">
        <v>188.60202011877331</v>
      </c>
      <c r="V24" s="39">
        <v>-1.3282135997536519</v>
      </c>
      <c r="W24" s="39">
        <v>50019</v>
      </c>
      <c r="X24" s="39">
        <v>45489</v>
      </c>
      <c r="Y24" s="39">
        <v>44885</v>
      </c>
      <c r="Z24" s="39">
        <v>61651</v>
      </c>
      <c r="AA24" s="39" t="s">
        <v>541</v>
      </c>
    </row>
    <row r="25" spans="1:27" x14ac:dyDescent="0.25">
      <c r="A25" s="39" t="s">
        <v>534</v>
      </c>
      <c r="B25" s="39" t="s">
        <v>534</v>
      </c>
      <c r="C25" s="39" t="s">
        <v>578</v>
      </c>
      <c r="D25" s="39" t="s">
        <v>597</v>
      </c>
      <c r="E25" s="39" t="s">
        <v>584</v>
      </c>
      <c r="F25" s="39" t="s">
        <v>544</v>
      </c>
      <c r="G25" s="39">
        <v>2019</v>
      </c>
      <c r="H25" s="39">
        <v>89009</v>
      </c>
      <c r="I25" s="39">
        <v>250</v>
      </c>
      <c r="J25" s="39">
        <v>96</v>
      </c>
      <c r="K25" s="39" t="s">
        <v>545</v>
      </c>
      <c r="L25" s="39" t="s">
        <v>540</v>
      </c>
      <c r="M25" s="39">
        <v>75</v>
      </c>
      <c r="N25" s="39">
        <v>2019</v>
      </c>
      <c r="O25" s="39">
        <v>45682</v>
      </c>
      <c r="P25" s="39">
        <v>1346820</v>
      </c>
      <c r="Q25" s="39">
        <v>71</v>
      </c>
      <c r="R25" s="39">
        <v>1357.037532696492</v>
      </c>
      <c r="S25" s="39">
        <v>112.2917758306738</v>
      </c>
      <c r="T25" s="39">
        <v>8.2747730350202726</v>
      </c>
      <c r="U25" s="39">
        <v>158.1574307474279</v>
      </c>
      <c r="V25" s="39">
        <v>13.208931866013531</v>
      </c>
      <c r="W25" s="39">
        <v>122511</v>
      </c>
      <c r="X25" s="39">
        <v>135230</v>
      </c>
      <c r="Y25" s="39">
        <v>153093</v>
      </c>
      <c r="Z25" s="39">
        <v>33847</v>
      </c>
      <c r="AA25" s="39" t="s">
        <v>541</v>
      </c>
    </row>
    <row r="26" spans="1:27" x14ac:dyDescent="0.25">
      <c r="A26" s="39" t="s">
        <v>565</v>
      </c>
      <c r="B26" s="39" t="s">
        <v>566</v>
      </c>
      <c r="C26" s="39" t="s">
        <v>574</v>
      </c>
      <c r="D26" s="39" t="s">
        <v>598</v>
      </c>
      <c r="E26" s="39" t="s">
        <v>584</v>
      </c>
      <c r="F26" s="39" t="s">
        <v>544</v>
      </c>
      <c r="G26" s="39">
        <v>2007</v>
      </c>
      <c r="H26" s="39">
        <v>237532</v>
      </c>
      <c r="I26" s="39">
        <v>250</v>
      </c>
      <c r="J26" s="39">
        <v>177</v>
      </c>
      <c r="K26" s="39" t="s">
        <v>568</v>
      </c>
      <c r="L26" s="39" t="s">
        <v>552</v>
      </c>
      <c r="M26" s="39">
        <v>50</v>
      </c>
      <c r="N26" s="39">
        <v>2007</v>
      </c>
      <c r="O26" s="39">
        <v>60014</v>
      </c>
      <c r="P26" s="39">
        <v>216417</v>
      </c>
      <c r="Q26" s="39">
        <v>52</v>
      </c>
      <c r="R26" s="39">
        <v>965.22843348056574</v>
      </c>
      <c r="S26" s="39">
        <v>172.5015624689035</v>
      </c>
      <c r="T26" s="39">
        <v>17.871579046513521</v>
      </c>
      <c r="U26" s="39">
        <v>331.73377397866062</v>
      </c>
      <c r="V26" s="39">
        <v>1.1087853358776669</v>
      </c>
      <c r="W26" s="39">
        <v>164582</v>
      </c>
      <c r="X26" s="39">
        <v>188510</v>
      </c>
      <c r="Y26" s="39">
        <v>190600</v>
      </c>
      <c r="Z26" s="39">
        <v>34575</v>
      </c>
      <c r="AA26" s="39" t="s">
        <v>541</v>
      </c>
    </row>
    <row r="27" spans="1:27" x14ac:dyDescent="0.25">
      <c r="A27" s="39" t="s">
        <v>576</v>
      </c>
      <c r="B27" s="39" t="s">
        <v>577</v>
      </c>
      <c r="C27" s="39" t="s">
        <v>535</v>
      </c>
      <c r="D27" s="39" t="s">
        <v>599</v>
      </c>
      <c r="E27" s="39" t="s">
        <v>584</v>
      </c>
      <c r="F27" s="39" t="s">
        <v>538</v>
      </c>
      <c r="G27" s="39">
        <v>2010</v>
      </c>
      <c r="H27" s="39">
        <v>328774</v>
      </c>
      <c r="I27" s="39">
        <v>200</v>
      </c>
      <c r="J27" s="39">
        <v>139</v>
      </c>
      <c r="K27" s="39" t="s">
        <v>573</v>
      </c>
      <c r="L27" s="39" t="s">
        <v>552</v>
      </c>
      <c r="M27" s="39">
        <v>59</v>
      </c>
      <c r="N27" s="39">
        <v>2010</v>
      </c>
      <c r="O27" s="39">
        <v>12822</v>
      </c>
      <c r="P27" s="39">
        <v>574135</v>
      </c>
      <c r="Q27" s="39">
        <v>255</v>
      </c>
      <c r="R27" s="39">
        <v>4956.4690770209336</v>
      </c>
      <c r="S27" s="39">
        <v>246.91106883181749</v>
      </c>
      <c r="T27" s="39">
        <v>4.9815920364870383</v>
      </c>
      <c r="U27" s="39">
        <v>96.827870130124509</v>
      </c>
      <c r="V27" s="39">
        <v>-8.6545185769093198</v>
      </c>
      <c r="W27" s="39">
        <v>73294</v>
      </c>
      <c r="X27" s="39">
        <v>77443</v>
      </c>
      <c r="Y27" s="39">
        <v>70741</v>
      </c>
      <c r="Z27" s="39">
        <v>30503</v>
      </c>
      <c r="AA27" s="39" t="s">
        <v>541</v>
      </c>
    </row>
    <row r="28" spans="1:27" x14ac:dyDescent="0.25">
      <c r="A28" s="39" t="s">
        <v>562</v>
      </c>
      <c r="B28" s="39" t="s">
        <v>563</v>
      </c>
      <c r="C28" s="39" t="s">
        <v>574</v>
      </c>
      <c r="D28" s="39" t="s">
        <v>600</v>
      </c>
      <c r="E28" s="39" t="s">
        <v>551</v>
      </c>
      <c r="F28" s="39" t="s">
        <v>538</v>
      </c>
      <c r="G28" s="39">
        <v>2019</v>
      </c>
      <c r="H28" s="39">
        <v>285425</v>
      </c>
      <c r="I28" s="39">
        <v>350</v>
      </c>
      <c r="J28" s="39">
        <v>116</v>
      </c>
      <c r="K28" s="39" t="s">
        <v>539</v>
      </c>
      <c r="L28" s="39" t="s">
        <v>540</v>
      </c>
      <c r="M28" s="39">
        <v>30</v>
      </c>
      <c r="N28" s="39">
        <v>2019</v>
      </c>
      <c r="O28" s="39">
        <v>32110</v>
      </c>
      <c r="P28" s="39">
        <v>536107</v>
      </c>
      <c r="Q28" s="39">
        <v>274</v>
      </c>
      <c r="R28" s="39">
        <v>2326.2459861829502</v>
      </c>
      <c r="S28" s="39">
        <v>441.14190660609847</v>
      </c>
      <c r="T28" s="39">
        <v>18.96368265550247</v>
      </c>
      <c r="U28" s="39">
        <v>161.0006958416418</v>
      </c>
      <c r="V28" s="39">
        <v>11.112150564377689</v>
      </c>
      <c r="W28" s="39">
        <v>102541</v>
      </c>
      <c r="X28" s="39">
        <v>94904</v>
      </c>
      <c r="Y28" s="39">
        <v>105450</v>
      </c>
      <c r="Z28" s="39">
        <v>54846</v>
      </c>
      <c r="AA28" s="39" t="s">
        <v>63</v>
      </c>
    </row>
    <row r="29" spans="1:27" x14ac:dyDescent="0.25">
      <c r="A29" s="39" t="s">
        <v>553</v>
      </c>
      <c r="B29" s="39" t="s">
        <v>553</v>
      </c>
      <c r="C29" s="39" t="s">
        <v>592</v>
      </c>
      <c r="D29" s="39" t="s">
        <v>601</v>
      </c>
      <c r="E29" s="39" t="s">
        <v>555</v>
      </c>
      <c r="F29" s="39" t="s">
        <v>538</v>
      </c>
      <c r="G29" s="39">
        <v>2008</v>
      </c>
      <c r="H29" s="39">
        <v>236995</v>
      </c>
      <c r="I29" s="39">
        <v>400</v>
      </c>
      <c r="J29" s="39">
        <v>142</v>
      </c>
      <c r="K29" s="39" t="s">
        <v>539</v>
      </c>
      <c r="L29" s="39" t="s">
        <v>540</v>
      </c>
      <c r="M29" s="39">
        <v>77</v>
      </c>
      <c r="N29" s="39">
        <v>2008</v>
      </c>
      <c r="O29" s="39">
        <v>89129</v>
      </c>
      <c r="P29" s="39">
        <v>749994</v>
      </c>
      <c r="Q29" s="39">
        <v>182</v>
      </c>
      <c r="R29" s="39">
        <v>2502.291762099233</v>
      </c>
      <c r="S29" s="39">
        <v>622.88810400342459</v>
      </c>
      <c r="T29" s="39">
        <v>24.89270489708478</v>
      </c>
      <c r="U29" s="39">
        <v>342.24621099089262</v>
      </c>
      <c r="V29" s="39">
        <v>-2.5811471738887768</v>
      </c>
      <c r="W29" s="39">
        <v>100730</v>
      </c>
      <c r="X29" s="39">
        <v>96291</v>
      </c>
      <c r="Y29" s="39">
        <v>93805</v>
      </c>
      <c r="Z29" s="39">
        <v>51507</v>
      </c>
      <c r="AA29" s="39" t="s">
        <v>541</v>
      </c>
    </row>
    <row r="30" spans="1:27" x14ac:dyDescent="0.25">
      <c r="A30" s="39" t="s">
        <v>576</v>
      </c>
      <c r="B30" s="39" t="s">
        <v>577</v>
      </c>
      <c r="C30" s="39" t="s">
        <v>542</v>
      </c>
      <c r="D30" s="39" t="s">
        <v>602</v>
      </c>
      <c r="E30" s="39" t="s">
        <v>551</v>
      </c>
      <c r="F30" s="39" t="s">
        <v>81</v>
      </c>
      <c r="G30" s="39">
        <v>2022</v>
      </c>
      <c r="H30" s="39">
        <v>349353</v>
      </c>
      <c r="I30" s="39">
        <v>125</v>
      </c>
      <c r="J30" s="39">
        <v>105</v>
      </c>
      <c r="K30" s="39" t="s">
        <v>573</v>
      </c>
      <c r="L30" s="39" t="s">
        <v>552</v>
      </c>
      <c r="M30" s="39">
        <v>65</v>
      </c>
      <c r="N30" s="39">
        <v>2022</v>
      </c>
      <c r="O30" s="39">
        <v>39495</v>
      </c>
      <c r="P30" s="39">
        <v>175948</v>
      </c>
      <c r="Q30" s="39">
        <v>201</v>
      </c>
      <c r="R30" s="39">
        <v>1625.839712854661</v>
      </c>
      <c r="S30" s="39">
        <v>411.61005691365961</v>
      </c>
      <c r="T30" s="39">
        <v>25.316767308565229</v>
      </c>
      <c r="U30" s="39">
        <v>204.7811228426167</v>
      </c>
      <c r="V30" s="39">
        <v>16.680861310651721</v>
      </c>
      <c r="W30" s="39">
        <v>111244</v>
      </c>
      <c r="X30" s="39">
        <v>121723</v>
      </c>
      <c r="Y30" s="39">
        <v>142027</v>
      </c>
      <c r="Z30" s="39">
        <v>77028</v>
      </c>
      <c r="AA30" s="39" t="s">
        <v>546</v>
      </c>
    </row>
    <row r="31" spans="1:27" x14ac:dyDescent="0.25">
      <c r="A31" s="39" t="s">
        <v>558</v>
      </c>
      <c r="B31" s="39" t="s">
        <v>559</v>
      </c>
      <c r="C31" s="39" t="s">
        <v>542</v>
      </c>
      <c r="D31" s="39" t="s">
        <v>603</v>
      </c>
      <c r="E31" s="39" t="s">
        <v>557</v>
      </c>
      <c r="F31" s="39" t="s">
        <v>81</v>
      </c>
      <c r="G31" s="39">
        <v>2022</v>
      </c>
      <c r="H31" s="39">
        <v>98004</v>
      </c>
      <c r="I31" s="39">
        <v>500</v>
      </c>
      <c r="J31" s="39">
        <v>94</v>
      </c>
      <c r="K31" s="39" t="s">
        <v>568</v>
      </c>
      <c r="L31" s="39" t="s">
        <v>552</v>
      </c>
      <c r="M31" s="39">
        <v>36</v>
      </c>
      <c r="N31" s="39">
        <v>2022</v>
      </c>
      <c r="O31" s="39">
        <v>25655</v>
      </c>
      <c r="P31" s="39">
        <v>796667</v>
      </c>
      <c r="Q31" s="39">
        <v>353</v>
      </c>
      <c r="R31" s="39">
        <v>6544.3281550246666</v>
      </c>
      <c r="S31" s="39">
        <v>1051.9630340397571</v>
      </c>
      <c r="T31" s="39">
        <v>16.07442367070286</v>
      </c>
      <c r="U31" s="39">
        <v>298.00652522372718</v>
      </c>
      <c r="V31" s="39">
        <v>4.5418047395699626</v>
      </c>
      <c r="W31" s="39">
        <v>85520</v>
      </c>
      <c r="X31" s="39">
        <v>94063</v>
      </c>
      <c r="Y31" s="39">
        <v>98335</v>
      </c>
      <c r="Z31" s="39">
        <v>58025</v>
      </c>
      <c r="AA31" s="39" t="s">
        <v>541</v>
      </c>
    </row>
    <row r="32" spans="1:27" x14ac:dyDescent="0.25">
      <c r="A32" s="39" t="s">
        <v>562</v>
      </c>
      <c r="B32" s="39" t="s">
        <v>563</v>
      </c>
      <c r="C32" s="39" t="s">
        <v>578</v>
      </c>
      <c r="D32" s="39" t="s">
        <v>604</v>
      </c>
      <c r="E32" s="39" t="s">
        <v>551</v>
      </c>
      <c r="F32" s="39" t="s">
        <v>538</v>
      </c>
      <c r="G32" s="39">
        <v>2021</v>
      </c>
      <c r="H32" s="39">
        <v>108210</v>
      </c>
      <c r="I32" s="39">
        <v>100</v>
      </c>
      <c r="J32" s="39">
        <v>151</v>
      </c>
      <c r="K32" s="39" t="s">
        <v>573</v>
      </c>
      <c r="L32" s="39" t="s">
        <v>540</v>
      </c>
      <c r="M32" s="39">
        <v>34</v>
      </c>
      <c r="N32" s="39">
        <v>2021</v>
      </c>
      <c r="O32" s="39">
        <v>67342</v>
      </c>
      <c r="P32" s="39">
        <v>1044702</v>
      </c>
      <c r="Q32" s="39">
        <v>294</v>
      </c>
      <c r="R32" s="39">
        <v>2766.9450065458932</v>
      </c>
      <c r="S32" s="39">
        <v>105.47746088718939</v>
      </c>
      <c r="T32" s="39">
        <v>3.812054834398817</v>
      </c>
      <c r="U32" s="39">
        <v>35.876687376595029</v>
      </c>
      <c r="V32" s="39">
        <v>-7.5017073033513597</v>
      </c>
      <c r="W32" s="39">
        <v>90380</v>
      </c>
      <c r="X32" s="39">
        <v>102439</v>
      </c>
      <c r="Y32" s="39">
        <v>94754</v>
      </c>
      <c r="Z32" s="39">
        <v>27160</v>
      </c>
      <c r="AA32" s="39" t="s">
        <v>546</v>
      </c>
    </row>
    <row r="33" spans="1:27" x14ac:dyDescent="0.25">
      <c r="A33" s="39" t="s">
        <v>562</v>
      </c>
      <c r="B33" s="39" t="s">
        <v>563</v>
      </c>
      <c r="C33" s="39" t="s">
        <v>549</v>
      </c>
      <c r="D33" s="39" t="s">
        <v>605</v>
      </c>
      <c r="E33" s="39" t="s">
        <v>584</v>
      </c>
      <c r="F33" s="39" t="s">
        <v>544</v>
      </c>
      <c r="G33" s="39">
        <v>2024</v>
      </c>
      <c r="H33" s="39">
        <v>214318</v>
      </c>
      <c r="I33" s="39">
        <v>350</v>
      </c>
      <c r="J33" s="39">
        <v>163</v>
      </c>
      <c r="K33" s="39" t="s">
        <v>568</v>
      </c>
      <c r="L33" s="39" t="s">
        <v>552</v>
      </c>
      <c r="M33" s="39">
        <v>78</v>
      </c>
      <c r="N33" s="39">
        <v>2024</v>
      </c>
      <c r="O33" s="39">
        <v>60452</v>
      </c>
      <c r="P33" s="39">
        <v>793549</v>
      </c>
      <c r="Q33" s="39">
        <v>128</v>
      </c>
      <c r="R33" s="39">
        <v>2039.2422540825789</v>
      </c>
      <c r="S33" s="39">
        <v>-75.332019554678908</v>
      </c>
      <c r="T33" s="39">
        <v>-3.6941182149332001</v>
      </c>
      <c r="U33" s="39">
        <v>-58.853140277092898</v>
      </c>
      <c r="V33" s="39">
        <v>0.31829973014015189</v>
      </c>
      <c r="W33" s="39">
        <v>156640</v>
      </c>
      <c r="X33" s="39">
        <v>160736</v>
      </c>
      <c r="Y33" s="39">
        <v>161248</v>
      </c>
      <c r="Z33" s="39">
        <v>76215</v>
      </c>
      <c r="AA33" s="39" t="s">
        <v>546</v>
      </c>
    </row>
    <row r="34" spans="1:27" x14ac:dyDescent="0.25">
      <c r="A34" s="39" t="s">
        <v>565</v>
      </c>
      <c r="B34" s="39" t="s">
        <v>566</v>
      </c>
      <c r="C34" s="39" t="s">
        <v>542</v>
      </c>
      <c r="D34" s="39" t="s">
        <v>606</v>
      </c>
      <c r="E34" s="39" t="s">
        <v>584</v>
      </c>
      <c r="F34" s="39" t="s">
        <v>81</v>
      </c>
      <c r="G34" s="39">
        <v>2017</v>
      </c>
      <c r="H34" s="39">
        <v>155579</v>
      </c>
      <c r="I34" s="39">
        <v>250</v>
      </c>
      <c r="J34" s="39">
        <v>100</v>
      </c>
      <c r="K34" s="39" t="s">
        <v>539</v>
      </c>
      <c r="L34" s="39" t="s">
        <v>540</v>
      </c>
      <c r="M34" s="39">
        <v>73</v>
      </c>
      <c r="N34" s="39">
        <v>2017</v>
      </c>
      <c r="O34" s="39">
        <v>16542</v>
      </c>
      <c r="P34" s="39">
        <v>1209912</v>
      </c>
      <c r="Q34" s="39">
        <v>51</v>
      </c>
      <c r="R34" s="39">
        <v>981.7457058143633</v>
      </c>
      <c r="S34" s="39">
        <v>318.91494165487882</v>
      </c>
      <c r="T34" s="39">
        <v>32.484475334713807</v>
      </c>
      <c r="U34" s="39">
        <v>625.32341500956625</v>
      </c>
      <c r="V34" s="39">
        <v>1.0867747495065621</v>
      </c>
      <c r="W34" s="39">
        <v>84220</v>
      </c>
      <c r="X34" s="39">
        <v>99207</v>
      </c>
      <c r="Y34" s="39">
        <v>100285</v>
      </c>
      <c r="Z34" s="39">
        <v>24341</v>
      </c>
      <c r="AA34" s="39" t="s">
        <v>63</v>
      </c>
    </row>
    <row r="35" spans="1:27" x14ac:dyDescent="0.25">
      <c r="A35" s="39" t="s">
        <v>565</v>
      </c>
      <c r="B35" s="39" t="s">
        <v>566</v>
      </c>
      <c r="C35" s="39" t="s">
        <v>571</v>
      </c>
      <c r="D35" s="39" t="s">
        <v>607</v>
      </c>
      <c r="E35" s="39" t="s">
        <v>584</v>
      </c>
      <c r="F35" s="39" t="s">
        <v>81</v>
      </c>
      <c r="G35" s="39">
        <v>2014</v>
      </c>
      <c r="H35" s="39">
        <v>261659</v>
      </c>
      <c r="I35" s="39">
        <v>500</v>
      </c>
      <c r="J35" s="39">
        <v>165</v>
      </c>
      <c r="K35" s="39" t="s">
        <v>573</v>
      </c>
      <c r="L35" s="39" t="s">
        <v>552</v>
      </c>
      <c r="M35" s="39">
        <v>57</v>
      </c>
      <c r="N35" s="39">
        <v>2014</v>
      </c>
      <c r="O35" s="39">
        <v>27472</v>
      </c>
      <c r="P35" s="39">
        <v>1290116</v>
      </c>
      <c r="Q35" s="39">
        <v>149</v>
      </c>
      <c r="R35" s="39">
        <v>1209.047838789646</v>
      </c>
      <c r="S35" s="39">
        <v>58.623923294595251</v>
      </c>
      <c r="T35" s="39">
        <v>4.8487678827731511</v>
      </c>
      <c r="U35" s="39">
        <v>39.344914962815601</v>
      </c>
      <c r="V35" s="39">
        <v>18.164163828862542</v>
      </c>
      <c r="W35" s="39">
        <v>116461</v>
      </c>
      <c r="X35" s="39">
        <v>131332</v>
      </c>
      <c r="Y35" s="39">
        <v>155187</v>
      </c>
      <c r="Z35" s="39">
        <v>41272</v>
      </c>
      <c r="AA35" s="39" t="s">
        <v>63</v>
      </c>
    </row>
    <row r="36" spans="1:27" x14ac:dyDescent="0.25">
      <c r="A36" s="39" t="s">
        <v>576</v>
      </c>
      <c r="B36" s="39" t="s">
        <v>577</v>
      </c>
      <c r="C36" s="39" t="s">
        <v>574</v>
      </c>
      <c r="D36" s="39" t="s">
        <v>608</v>
      </c>
      <c r="E36" s="39" t="s">
        <v>537</v>
      </c>
      <c r="F36" s="39" t="s">
        <v>538</v>
      </c>
      <c r="G36" s="39">
        <v>2025</v>
      </c>
      <c r="H36" s="39">
        <v>224408</v>
      </c>
      <c r="I36" s="39">
        <v>250</v>
      </c>
      <c r="J36" s="39">
        <v>133</v>
      </c>
      <c r="K36" s="39" t="s">
        <v>568</v>
      </c>
      <c r="L36" s="39" t="s">
        <v>552</v>
      </c>
      <c r="M36" s="39">
        <v>27</v>
      </c>
      <c r="N36" s="39">
        <v>2025</v>
      </c>
      <c r="O36" s="39">
        <v>15568</v>
      </c>
      <c r="P36" s="39">
        <v>210865</v>
      </c>
      <c r="Q36" s="39">
        <v>380</v>
      </c>
      <c r="R36" s="39">
        <v>7104.8167080129206</v>
      </c>
      <c r="S36" s="39">
        <v>1686.9068964581311</v>
      </c>
      <c r="T36" s="39">
        <v>23.743144486128848</v>
      </c>
      <c r="U36" s="39">
        <v>443.92286748898181</v>
      </c>
      <c r="V36" s="39">
        <v>1.5146950191738939</v>
      </c>
      <c r="W36" s="39">
        <v>192295</v>
      </c>
      <c r="X36" s="39">
        <v>219766</v>
      </c>
      <c r="Y36" s="39">
        <v>223095</v>
      </c>
      <c r="Z36" s="39">
        <v>78313</v>
      </c>
      <c r="AA36" s="39" t="s">
        <v>63</v>
      </c>
    </row>
    <row r="37" spans="1:27" x14ac:dyDescent="0.25">
      <c r="A37" s="39" t="s">
        <v>590</v>
      </c>
      <c r="B37" s="39" t="s">
        <v>590</v>
      </c>
      <c r="C37" s="39" t="s">
        <v>578</v>
      </c>
      <c r="D37" s="39" t="s">
        <v>609</v>
      </c>
      <c r="E37" s="39" t="s">
        <v>557</v>
      </c>
      <c r="F37" s="39" t="s">
        <v>538</v>
      </c>
      <c r="G37" s="39">
        <v>2010</v>
      </c>
      <c r="H37" s="39">
        <v>293306</v>
      </c>
      <c r="I37" s="39">
        <v>350</v>
      </c>
      <c r="J37" s="39">
        <v>90</v>
      </c>
      <c r="K37" s="39" t="s">
        <v>568</v>
      </c>
      <c r="L37" s="39" t="s">
        <v>552</v>
      </c>
      <c r="M37" s="39">
        <v>57</v>
      </c>
      <c r="N37" s="39">
        <v>2010</v>
      </c>
      <c r="O37" s="39">
        <v>10413</v>
      </c>
      <c r="P37" s="39">
        <v>253963</v>
      </c>
      <c r="Q37" s="39">
        <v>225</v>
      </c>
      <c r="R37" s="39">
        <v>1877.454386161404</v>
      </c>
      <c r="S37" s="39">
        <v>641.10615508117553</v>
      </c>
      <c r="T37" s="39">
        <v>34.1476288215963</v>
      </c>
      <c r="U37" s="39">
        <v>284.93606892496689</v>
      </c>
      <c r="V37" s="39">
        <v>16.237746523162208</v>
      </c>
      <c r="W37" s="39">
        <v>176543</v>
      </c>
      <c r="X37" s="39">
        <v>164457</v>
      </c>
      <c r="Y37" s="39">
        <v>191161</v>
      </c>
      <c r="Z37" s="39">
        <v>73820</v>
      </c>
      <c r="AA37" s="39" t="s">
        <v>546</v>
      </c>
    </row>
    <row r="38" spans="1:27" x14ac:dyDescent="0.25">
      <c r="A38" s="39" t="s">
        <v>534</v>
      </c>
      <c r="B38" s="39" t="s">
        <v>534</v>
      </c>
      <c r="C38" s="39" t="s">
        <v>578</v>
      </c>
      <c r="D38" s="39" t="s">
        <v>610</v>
      </c>
      <c r="E38" s="39" t="s">
        <v>555</v>
      </c>
      <c r="F38" s="39" t="s">
        <v>538</v>
      </c>
      <c r="G38" s="39">
        <v>2012</v>
      </c>
      <c r="H38" s="39">
        <v>208720</v>
      </c>
      <c r="I38" s="39">
        <v>400</v>
      </c>
      <c r="J38" s="39">
        <v>154</v>
      </c>
      <c r="K38" s="39" t="s">
        <v>545</v>
      </c>
      <c r="L38" s="39" t="s">
        <v>540</v>
      </c>
      <c r="M38" s="39">
        <v>54</v>
      </c>
      <c r="N38" s="39">
        <v>2012</v>
      </c>
      <c r="O38" s="39">
        <v>35913</v>
      </c>
      <c r="P38" s="39">
        <v>544759</v>
      </c>
      <c r="Q38" s="39">
        <v>262</v>
      </c>
      <c r="R38" s="39">
        <v>2802.2007646301549</v>
      </c>
      <c r="S38" s="39">
        <v>3.4889532347955812</v>
      </c>
      <c r="T38" s="39">
        <v>0.1245076112616102</v>
      </c>
      <c r="U38" s="39">
        <v>1.3316615399983129</v>
      </c>
      <c r="V38" s="39">
        <v>11.328534324631811</v>
      </c>
      <c r="W38" s="39">
        <v>188094</v>
      </c>
      <c r="X38" s="39">
        <v>201186</v>
      </c>
      <c r="Y38" s="39">
        <v>223977</v>
      </c>
      <c r="Z38" s="39">
        <v>41771</v>
      </c>
      <c r="AA38" s="39" t="s">
        <v>63</v>
      </c>
    </row>
    <row r="39" spans="1:27" x14ac:dyDescent="0.25">
      <c r="A39" s="39" t="s">
        <v>590</v>
      </c>
      <c r="B39" s="39" t="s">
        <v>590</v>
      </c>
      <c r="C39" s="39" t="s">
        <v>535</v>
      </c>
      <c r="D39" s="39" t="s">
        <v>611</v>
      </c>
      <c r="E39" s="39" t="s">
        <v>584</v>
      </c>
      <c r="F39" s="39" t="s">
        <v>544</v>
      </c>
      <c r="G39" s="39">
        <v>2011</v>
      </c>
      <c r="H39" s="39">
        <v>262482</v>
      </c>
      <c r="I39" s="39">
        <v>250</v>
      </c>
      <c r="J39" s="39">
        <v>150</v>
      </c>
      <c r="K39" s="39" t="s">
        <v>539</v>
      </c>
      <c r="L39" s="39" t="s">
        <v>552</v>
      </c>
      <c r="M39" s="39">
        <v>52</v>
      </c>
      <c r="N39" s="39">
        <v>2011</v>
      </c>
      <c r="O39" s="39">
        <v>46384</v>
      </c>
      <c r="P39" s="39">
        <v>738719</v>
      </c>
      <c r="Q39" s="39">
        <v>262</v>
      </c>
      <c r="R39" s="39">
        <v>4423.7813320797086</v>
      </c>
      <c r="S39" s="39">
        <v>9.214307231266309</v>
      </c>
      <c r="T39" s="39">
        <v>0.20829029600643659</v>
      </c>
      <c r="U39" s="39">
        <v>3.5169111569718732</v>
      </c>
      <c r="V39" s="39">
        <v>12.7244246300088</v>
      </c>
      <c r="W39" s="39">
        <v>179077</v>
      </c>
      <c r="X39" s="39">
        <v>163027</v>
      </c>
      <c r="Y39" s="39">
        <v>183771</v>
      </c>
      <c r="Z39" s="39">
        <v>12949</v>
      </c>
      <c r="AA39" s="39" t="s">
        <v>63</v>
      </c>
    </row>
    <row r="40" spans="1:27" x14ac:dyDescent="0.25">
      <c r="A40" s="39" t="s">
        <v>590</v>
      </c>
      <c r="B40" s="39" t="s">
        <v>590</v>
      </c>
      <c r="C40" s="39" t="s">
        <v>542</v>
      </c>
      <c r="D40" s="39" t="s">
        <v>612</v>
      </c>
      <c r="E40" s="39" t="s">
        <v>555</v>
      </c>
      <c r="F40" s="39" t="s">
        <v>538</v>
      </c>
      <c r="G40" s="39">
        <v>2021</v>
      </c>
      <c r="H40" s="39">
        <v>241327</v>
      </c>
      <c r="I40" s="39">
        <v>125</v>
      </c>
      <c r="J40" s="39">
        <v>143</v>
      </c>
      <c r="K40" s="39" t="s">
        <v>539</v>
      </c>
      <c r="L40" s="39" t="s">
        <v>540</v>
      </c>
      <c r="M40" s="39">
        <v>53</v>
      </c>
      <c r="N40" s="39">
        <v>2021</v>
      </c>
      <c r="O40" s="39">
        <v>38063</v>
      </c>
      <c r="P40" s="39">
        <v>1432451</v>
      </c>
      <c r="Q40" s="39">
        <v>384</v>
      </c>
      <c r="R40" s="39">
        <v>4119.5695955393012</v>
      </c>
      <c r="S40" s="39">
        <v>101.0225105059949</v>
      </c>
      <c r="T40" s="39">
        <v>2.452258862561342</v>
      </c>
      <c r="U40" s="39">
        <v>26.30794544426951</v>
      </c>
      <c r="V40" s="39">
        <v>4.2251704153104104</v>
      </c>
      <c r="W40" s="39">
        <v>194207</v>
      </c>
      <c r="X40" s="39">
        <v>220208</v>
      </c>
      <c r="Y40" s="39">
        <v>229512</v>
      </c>
      <c r="Z40" s="39">
        <v>33163</v>
      </c>
      <c r="AA40" s="39" t="s">
        <v>541</v>
      </c>
    </row>
    <row r="41" spans="1:27" x14ac:dyDescent="0.25">
      <c r="A41" s="39" t="s">
        <v>562</v>
      </c>
      <c r="B41" s="39" t="s">
        <v>563</v>
      </c>
      <c r="C41" s="39" t="s">
        <v>578</v>
      </c>
      <c r="D41" s="39" t="s">
        <v>613</v>
      </c>
      <c r="E41" s="39" t="s">
        <v>551</v>
      </c>
      <c r="F41" s="39" t="s">
        <v>538</v>
      </c>
      <c r="G41" s="39">
        <v>2007</v>
      </c>
      <c r="H41" s="39">
        <v>221358</v>
      </c>
      <c r="I41" s="39">
        <v>200</v>
      </c>
      <c r="J41" s="39">
        <v>149</v>
      </c>
      <c r="K41" s="39" t="s">
        <v>573</v>
      </c>
      <c r="L41" s="39" t="s">
        <v>540</v>
      </c>
      <c r="M41" s="39">
        <v>70</v>
      </c>
      <c r="N41" s="39">
        <v>2007</v>
      </c>
      <c r="O41" s="39">
        <v>61744</v>
      </c>
      <c r="P41" s="39">
        <v>856096</v>
      </c>
      <c r="Q41" s="39">
        <v>159</v>
      </c>
      <c r="R41" s="39">
        <v>1385.1164403046421</v>
      </c>
      <c r="S41" s="39">
        <v>16.325152232500081</v>
      </c>
      <c r="T41" s="39">
        <v>1.1786122637393239</v>
      </c>
      <c r="U41" s="39">
        <v>10.267391341195021</v>
      </c>
      <c r="V41" s="39">
        <v>2.821427257277521</v>
      </c>
      <c r="W41" s="39">
        <v>53761</v>
      </c>
      <c r="X41" s="39">
        <v>59572</v>
      </c>
      <c r="Y41" s="39">
        <v>61253</v>
      </c>
      <c r="Z41" s="39">
        <v>78660</v>
      </c>
      <c r="AA41" s="39" t="s">
        <v>541</v>
      </c>
    </row>
    <row r="42" spans="1:27" x14ac:dyDescent="0.25">
      <c r="A42" s="39" t="s">
        <v>562</v>
      </c>
      <c r="B42" s="39" t="s">
        <v>563</v>
      </c>
      <c r="C42" s="39" t="s">
        <v>549</v>
      </c>
      <c r="D42" s="39" t="s">
        <v>614</v>
      </c>
      <c r="E42" s="39" t="s">
        <v>584</v>
      </c>
      <c r="F42" s="39" t="s">
        <v>538</v>
      </c>
      <c r="G42" s="39">
        <v>2025</v>
      </c>
      <c r="H42" s="39">
        <v>234638</v>
      </c>
      <c r="I42" s="39">
        <v>400</v>
      </c>
      <c r="J42" s="39">
        <v>163</v>
      </c>
      <c r="K42" s="39" t="s">
        <v>545</v>
      </c>
      <c r="L42" s="39" t="s">
        <v>540</v>
      </c>
      <c r="M42" s="39">
        <v>28</v>
      </c>
      <c r="N42" s="39">
        <v>2025</v>
      </c>
      <c r="O42" s="39">
        <v>79561</v>
      </c>
      <c r="P42" s="39">
        <v>485267</v>
      </c>
      <c r="Q42" s="39">
        <v>124</v>
      </c>
      <c r="R42" s="39">
        <v>1335.8876516646301</v>
      </c>
      <c r="S42" s="39">
        <v>293.85129197887977</v>
      </c>
      <c r="T42" s="39">
        <v>21.996706954564331</v>
      </c>
      <c r="U42" s="39">
        <v>236.97684837006429</v>
      </c>
      <c r="V42" s="39">
        <v>-7.4457214626702699</v>
      </c>
      <c r="W42" s="39">
        <v>138737</v>
      </c>
      <c r="X42" s="39">
        <v>132375</v>
      </c>
      <c r="Y42" s="39">
        <v>122519</v>
      </c>
      <c r="Z42" s="39">
        <v>73436</v>
      </c>
      <c r="AA42" s="39" t="s">
        <v>63</v>
      </c>
    </row>
    <row r="43" spans="1:27" x14ac:dyDescent="0.25">
      <c r="A43" s="39" t="s">
        <v>553</v>
      </c>
      <c r="B43" s="39" t="s">
        <v>553</v>
      </c>
      <c r="C43" s="39" t="s">
        <v>578</v>
      </c>
      <c r="D43" s="39" t="s">
        <v>615</v>
      </c>
      <c r="E43" s="39" t="s">
        <v>537</v>
      </c>
      <c r="F43" s="39" t="s">
        <v>538</v>
      </c>
      <c r="G43" s="39">
        <v>2019</v>
      </c>
      <c r="H43" s="39">
        <v>289392</v>
      </c>
      <c r="I43" s="39">
        <v>650</v>
      </c>
      <c r="J43" s="39">
        <v>117</v>
      </c>
      <c r="K43" s="39" t="s">
        <v>568</v>
      </c>
      <c r="L43" s="39" t="s">
        <v>540</v>
      </c>
      <c r="M43" s="39">
        <v>43</v>
      </c>
      <c r="N43" s="39">
        <v>2019</v>
      </c>
      <c r="O43" s="39">
        <v>93195</v>
      </c>
      <c r="P43" s="39">
        <v>1211238</v>
      </c>
      <c r="Q43" s="39">
        <v>351</v>
      </c>
      <c r="R43" s="39">
        <v>5499.4939703181044</v>
      </c>
      <c r="S43" s="39">
        <v>669.48128479645732</v>
      </c>
      <c r="T43" s="39">
        <v>12.17350702464236</v>
      </c>
      <c r="U43" s="39">
        <v>190.73540877391949</v>
      </c>
      <c r="V43" s="39">
        <v>7.3531859021337578</v>
      </c>
      <c r="W43" s="39">
        <v>111497</v>
      </c>
      <c r="X43" s="39">
        <v>105252</v>
      </c>
      <c r="Y43" s="39">
        <v>112991</v>
      </c>
      <c r="Z43" s="39">
        <v>54421</v>
      </c>
      <c r="AA43" s="39" t="s">
        <v>541</v>
      </c>
    </row>
    <row r="44" spans="1:27" x14ac:dyDescent="0.25">
      <c r="A44" s="39" t="s">
        <v>553</v>
      </c>
      <c r="B44" s="39" t="s">
        <v>553</v>
      </c>
      <c r="C44" s="39" t="s">
        <v>578</v>
      </c>
      <c r="D44" s="39" t="s">
        <v>616</v>
      </c>
      <c r="E44" s="39" t="s">
        <v>537</v>
      </c>
      <c r="F44" s="39" t="s">
        <v>81</v>
      </c>
      <c r="G44" s="39">
        <v>2025</v>
      </c>
      <c r="H44" s="39">
        <v>70613</v>
      </c>
      <c r="I44" s="39">
        <v>180</v>
      </c>
      <c r="J44" s="39">
        <v>174</v>
      </c>
      <c r="K44" s="39" t="s">
        <v>573</v>
      </c>
      <c r="L44" s="39" t="s">
        <v>540</v>
      </c>
      <c r="M44" s="39">
        <v>52</v>
      </c>
      <c r="N44" s="39">
        <v>2025</v>
      </c>
      <c r="O44" s="39">
        <v>77075</v>
      </c>
      <c r="P44" s="39">
        <v>1123152</v>
      </c>
      <c r="Q44" s="39">
        <v>270</v>
      </c>
      <c r="R44" s="39">
        <v>2522.680577797862</v>
      </c>
      <c r="S44" s="39">
        <v>767.5147945133582</v>
      </c>
      <c r="T44" s="39">
        <v>30.424573022374052</v>
      </c>
      <c r="U44" s="39">
        <v>284.26473870865118</v>
      </c>
      <c r="V44" s="39">
        <v>2.303349590481647</v>
      </c>
      <c r="W44" s="39">
        <v>79136</v>
      </c>
      <c r="X44" s="39">
        <v>83319</v>
      </c>
      <c r="Y44" s="39">
        <v>85238</v>
      </c>
      <c r="Z44" s="39">
        <v>38697</v>
      </c>
      <c r="AA44" s="39" t="s">
        <v>541</v>
      </c>
    </row>
    <row r="45" spans="1:27" x14ac:dyDescent="0.25">
      <c r="A45" s="39" t="s">
        <v>565</v>
      </c>
      <c r="B45" s="39" t="s">
        <v>566</v>
      </c>
      <c r="C45" s="39" t="s">
        <v>542</v>
      </c>
      <c r="D45" s="39" t="s">
        <v>617</v>
      </c>
      <c r="E45" s="39" t="s">
        <v>537</v>
      </c>
      <c r="F45" s="39" t="s">
        <v>544</v>
      </c>
      <c r="G45" s="39">
        <v>2020</v>
      </c>
      <c r="H45" s="39">
        <v>104393</v>
      </c>
      <c r="I45" s="39">
        <v>500</v>
      </c>
      <c r="J45" s="39">
        <v>156</v>
      </c>
      <c r="K45" s="39" t="s">
        <v>568</v>
      </c>
      <c r="L45" s="39" t="s">
        <v>552</v>
      </c>
      <c r="M45" s="39">
        <v>35</v>
      </c>
      <c r="N45" s="39">
        <v>2020</v>
      </c>
      <c r="O45" s="39">
        <v>11027</v>
      </c>
      <c r="P45" s="39">
        <v>1019509</v>
      </c>
      <c r="Q45" s="39">
        <v>111</v>
      </c>
      <c r="R45" s="39">
        <v>1327.8952167543671</v>
      </c>
      <c r="S45" s="39">
        <v>235.45548839878469</v>
      </c>
      <c r="T45" s="39">
        <v>17.731481025610101</v>
      </c>
      <c r="U45" s="39">
        <v>212.12206162052669</v>
      </c>
      <c r="V45" s="39">
        <v>-3.6321780326937518</v>
      </c>
      <c r="W45" s="39">
        <v>57692</v>
      </c>
      <c r="X45" s="39">
        <v>59832</v>
      </c>
      <c r="Y45" s="39">
        <v>57659</v>
      </c>
      <c r="Z45" s="39">
        <v>79864</v>
      </c>
      <c r="AA45" s="39" t="s">
        <v>63</v>
      </c>
    </row>
    <row r="46" spans="1:27" x14ac:dyDescent="0.25">
      <c r="A46" s="39" t="s">
        <v>558</v>
      </c>
      <c r="B46" s="39" t="s">
        <v>559</v>
      </c>
      <c r="C46" s="39" t="s">
        <v>549</v>
      </c>
      <c r="D46" s="39" t="s">
        <v>618</v>
      </c>
      <c r="E46" s="39" t="s">
        <v>584</v>
      </c>
      <c r="F46" s="39" t="s">
        <v>81</v>
      </c>
      <c r="G46" s="39">
        <v>2017</v>
      </c>
      <c r="H46" s="39">
        <v>87446</v>
      </c>
      <c r="I46" s="39">
        <v>200</v>
      </c>
      <c r="J46" s="39">
        <v>130</v>
      </c>
      <c r="K46" s="39" t="s">
        <v>545</v>
      </c>
      <c r="L46" s="39" t="s">
        <v>540</v>
      </c>
      <c r="M46" s="39">
        <v>29</v>
      </c>
      <c r="N46" s="39">
        <v>2017</v>
      </c>
      <c r="O46" s="39">
        <v>20673</v>
      </c>
      <c r="P46" s="39">
        <v>1295291</v>
      </c>
      <c r="Q46" s="39">
        <v>335</v>
      </c>
      <c r="R46" s="39">
        <v>5960.0588503561121</v>
      </c>
      <c r="S46" s="39">
        <v>1379.2553586750239</v>
      </c>
      <c r="T46" s="39">
        <v>23.141639928481808</v>
      </c>
      <c r="U46" s="39">
        <v>411.71801751493263</v>
      </c>
      <c r="V46" s="39">
        <v>2.1069143562179669</v>
      </c>
      <c r="W46" s="39">
        <v>106770</v>
      </c>
      <c r="X46" s="39">
        <v>103970</v>
      </c>
      <c r="Y46" s="39">
        <v>106160</v>
      </c>
      <c r="Z46" s="39">
        <v>65117</v>
      </c>
      <c r="AA46" s="39" t="s">
        <v>63</v>
      </c>
    </row>
    <row r="47" spans="1:27" x14ac:dyDescent="0.25">
      <c r="A47" s="39" t="s">
        <v>581</v>
      </c>
      <c r="B47" s="39" t="s">
        <v>582</v>
      </c>
      <c r="C47" s="39" t="s">
        <v>542</v>
      </c>
      <c r="D47" s="39" t="s">
        <v>619</v>
      </c>
      <c r="E47" s="39" t="s">
        <v>584</v>
      </c>
      <c r="F47" s="39" t="s">
        <v>538</v>
      </c>
      <c r="G47" s="39">
        <v>2022</v>
      </c>
      <c r="H47" s="39">
        <v>321965</v>
      </c>
      <c r="I47" s="39">
        <v>650</v>
      </c>
      <c r="J47" s="39">
        <v>144</v>
      </c>
      <c r="K47" s="39" t="s">
        <v>545</v>
      </c>
      <c r="L47" s="39" t="s">
        <v>552</v>
      </c>
      <c r="M47" s="39">
        <v>46</v>
      </c>
      <c r="N47" s="39">
        <v>2022</v>
      </c>
      <c r="O47" s="39">
        <v>91457</v>
      </c>
      <c r="P47" s="39">
        <v>809151</v>
      </c>
      <c r="Q47" s="39">
        <v>154</v>
      </c>
      <c r="R47" s="39">
        <v>1417.8096531550809</v>
      </c>
      <c r="S47" s="39">
        <v>142.39292261098061</v>
      </c>
      <c r="T47" s="39">
        <v>10.043162161726769</v>
      </c>
      <c r="U47" s="39">
        <v>92.462936760377033</v>
      </c>
      <c r="V47" s="39">
        <v>15.251222146740529</v>
      </c>
      <c r="W47" s="39">
        <v>93923</v>
      </c>
      <c r="X47" s="39">
        <v>97763</v>
      </c>
      <c r="Y47" s="39">
        <v>112673</v>
      </c>
      <c r="Z47" s="39">
        <v>77917</v>
      </c>
      <c r="AA47" s="39" t="s">
        <v>546</v>
      </c>
    </row>
    <row r="48" spans="1:27" x14ac:dyDescent="0.25">
      <c r="A48" s="39" t="s">
        <v>590</v>
      </c>
      <c r="B48" s="39" t="s">
        <v>590</v>
      </c>
      <c r="C48" s="39" t="s">
        <v>571</v>
      </c>
      <c r="D48" s="39" t="s">
        <v>620</v>
      </c>
      <c r="E48" s="39" t="s">
        <v>557</v>
      </c>
      <c r="F48" s="39" t="s">
        <v>544</v>
      </c>
      <c r="G48" s="39">
        <v>2013</v>
      </c>
      <c r="H48" s="39">
        <v>188386</v>
      </c>
      <c r="I48" s="39">
        <v>400</v>
      </c>
      <c r="J48" s="39">
        <v>91</v>
      </c>
      <c r="K48" s="39" t="s">
        <v>539</v>
      </c>
      <c r="L48" s="39" t="s">
        <v>540</v>
      </c>
      <c r="M48" s="39">
        <v>60</v>
      </c>
      <c r="N48" s="39">
        <v>2013</v>
      </c>
      <c r="O48" s="39">
        <v>34836</v>
      </c>
      <c r="P48" s="39">
        <v>434771</v>
      </c>
      <c r="Q48" s="39">
        <v>299</v>
      </c>
      <c r="R48" s="39">
        <v>5814.8773934491992</v>
      </c>
      <c r="S48" s="39">
        <v>420.33460750680138</v>
      </c>
      <c r="T48" s="39">
        <v>7.2286065391564929</v>
      </c>
      <c r="U48" s="39">
        <v>140.58013628990011</v>
      </c>
      <c r="V48" s="39">
        <v>15.4872617926167</v>
      </c>
      <c r="W48" s="39">
        <v>171622</v>
      </c>
      <c r="X48" s="39">
        <v>195668</v>
      </c>
      <c r="Y48" s="39">
        <v>225972</v>
      </c>
      <c r="Z48" s="39">
        <v>68473</v>
      </c>
      <c r="AA48" s="39" t="s">
        <v>541</v>
      </c>
    </row>
    <row r="49" spans="1:27" x14ac:dyDescent="0.25">
      <c r="A49" s="39" t="s">
        <v>534</v>
      </c>
      <c r="B49" s="39" t="s">
        <v>534</v>
      </c>
      <c r="C49" s="39" t="s">
        <v>542</v>
      </c>
      <c r="D49" s="39" t="s">
        <v>621</v>
      </c>
      <c r="E49" s="39" t="s">
        <v>555</v>
      </c>
      <c r="F49" s="39" t="s">
        <v>538</v>
      </c>
      <c r="G49" s="39">
        <v>2012</v>
      </c>
      <c r="H49" s="39">
        <v>264466</v>
      </c>
      <c r="I49" s="39">
        <v>200</v>
      </c>
      <c r="J49" s="39">
        <v>92</v>
      </c>
      <c r="K49" s="39" t="s">
        <v>539</v>
      </c>
      <c r="L49" s="39" t="s">
        <v>540</v>
      </c>
      <c r="M49" s="39">
        <v>26</v>
      </c>
      <c r="N49" s="39">
        <v>2012</v>
      </c>
      <c r="O49" s="39">
        <v>43914</v>
      </c>
      <c r="P49" s="39">
        <v>1007858</v>
      </c>
      <c r="Q49" s="39">
        <v>118</v>
      </c>
      <c r="R49" s="39">
        <v>1771.3516661060489</v>
      </c>
      <c r="S49" s="39">
        <v>348.9294518638734</v>
      </c>
      <c r="T49" s="39">
        <v>19.69848554301602</v>
      </c>
      <c r="U49" s="39">
        <v>295.7029253083673</v>
      </c>
      <c r="V49" s="39">
        <v>4.7979292437300369</v>
      </c>
      <c r="W49" s="39">
        <v>123685</v>
      </c>
      <c r="X49" s="39">
        <v>123357</v>
      </c>
      <c r="Y49" s="39">
        <v>129276</v>
      </c>
      <c r="Z49" s="39">
        <v>31663</v>
      </c>
      <c r="AA49" s="39" t="s">
        <v>546</v>
      </c>
    </row>
    <row r="50" spans="1:27" x14ac:dyDescent="0.25">
      <c r="A50" s="39" t="s">
        <v>534</v>
      </c>
      <c r="B50" s="39" t="s">
        <v>534</v>
      </c>
      <c r="C50" s="39" t="s">
        <v>594</v>
      </c>
      <c r="D50" s="39" t="s">
        <v>622</v>
      </c>
      <c r="E50" s="39" t="s">
        <v>551</v>
      </c>
      <c r="F50" s="39" t="s">
        <v>81</v>
      </c>
      <c r="G50" s="39">
        <v>2010</v>
      </c>
      <c r="H50" s="39">
        <v>157234</v>
      </c>
      <c r="I50" s="39">
        <v>400</v>
      </c>
      <c r="J50" s="39">
        <v>165</v>
      </c>
      <c r="K50" s="39" t="s">
        <v>545</v>
      </c>
      <c r="L50" s="39" t="s">
        <v>540</v>
      </c>
      <c r="M50" s="39">
        <v>70</v>
      </c>
      <c r="N50" s="39">
        <v>2010</v>
      </c>
      <c r="O50" s="39">
        <v>93165</v>
      </c>
      <c r="P50" s="39">
        <v>991306</v>
      </c>
      <c r="Q50" s="39">
        <v>267</v>
      </c>
      <c r="R50" s="39">
        <v>2185.603501134146</v>
      </c>
      <c r="S50" s="39">
        <v>-40.917860943657132</v>
      </c>
      <c r="T50" s="39">
        <v>-1.8721538889567191</v>
      </c>
      <c r="U50" s="39">
        <v>-15.325041551931511</v>
      </c>
      <c r="V50" s="39">
        <v>-5.5471315665749907</v>
      </c>
      <c r="W50" s="39">
        <v>65146</v>
      </c>
      <c r="X50" s="39">
        <v>69543</v>
      </c>
      <c r="Y50" s="39">
        <v>65686</v>
      </c>
      <c r="Z50" s="39">
        <v>13922</v>
      </c>
      <c r="AA50" s="39" t="s">
        <v>546</v>
      </c>
    </row>
    <row r="51" spans="1:27" x14ac:dyDescent="0.25">
      <c r="A51" s="39" t="s">
        <v>581</v>
      </c>
      <c r="B51" s="39" t="s">
        <v>582</v>
      </c>
      <c r="C51" s="39" t="s">
        <v>592</v>
      </c>
      <c r="D51" s="39" t="s">
        <v>623</v>
      </c>
      <c r="E51" s="39" t="s">
        <v>551</v>
      </c>
      <c r="F51" s="39" t="s">
        <v>81</v>
      </c>
      <c r="G51" s="39">
        <v>2008</v>
      </c>
      <c r="H51" s="39">
        <v>79384</v>
      </c>
      <c r="I51" s="39">
        <v>180</v>
      </c>
      <c r="J51" s="39">
        <v>94</v>
      </c>
      <c r="K51" s="39" t="s">
        <v>545</v>
      </c>
      <c r="L51" s="39" t="s">
        <v>552</v>
      </c>
      <c r="M51" s="39">
        <v>29</v>
      </c>
      <c r="N51" s="39">
        <v>2008</v>
      </c>
      <c r="O51" s="39">
        <v>40076</v>
      </c>
      <c r="P51" s="39">
        <v>804692</v>
      </c>
      <c r="Q51" s="39">
        <v>51</v>
      </c>
      <c r="R51" s="39">
        <v>858.15766835091347</v>
      </c>
      <c r="S51" s="39">
        <v>-19.012298572796102</v>
      </c>
      <c r="T51" s="39">
        <v>-2.215478492353423</v>
      </c>
      <c r="U51" s="39">
        <v>-37.279016809404119</v>
      </c>
      <c r="V51" s="39">
        <v>7.2925001320538501</v>
      </c>
      <c r="W51" s="39">
        <v>106210</v>
      </c>
      <c r="X51" s="39">
        <v>96852</v>
      </c>
      <c r="Y51" s="39">
        <v>103915</v>
      </c>
      <c r="Z51" s="39">
        <v>19662</v>
      </c>
      <c r="AA51" s="39" t="s">
        <v>546</v>
      </c>
    </row>
    <row r="52" spans="1:27" x14ac:dyDescent="0.25">
      <c r="A52" s="39" t="s">
        <v>565</v>
      </c>
      <c r="B52" s="39" t="s">
        <v>566</v>
      </c>
      <c r="C52" s="39" t="s">
        <v>578</v>
      </c>
      <c r="D52" s="39" t="s">
        <v>624</v>
      </c>
      <c r="E52" s="39" t="s">
        <v>584</v>
      </c>
      <c r="F52" s="39" t="s">
        <v>538</v>
      </c>
      <c r="G52" s="39">
        <v>2014</v>
      </c>
      <c r="H52" s="39">
        <v>156757</v>
      </c>
      <c r="I52" s="39">
        <v>400</v>
      </c>
      <c r="J52" s="39">
        <v>127</v>
      </c>
      <c r="K52" s="39" t="s">
        <v>568</v>
      </c>
      <c r="L52" s="39" t="s">
        <v>552</v>
      </c>
      <c r="M52" s="39">
        <v>60</v>
      </c>
      <c r="N52" s="39">
        <v>2014</v>
      </c>
      <c r="O52" s="39">
        <v>71051</v>
      </c>
      <c r="P52" s="39">
        <v>199421</v>
      </c>
      <c r="Q52" s="39">
        <v>207</v>
      </c>
      <c r="R52" s="39">
        <v>1798.6402602790311</v>
      </c>
      <c r="S52" s="39">
        <v>301.87260234861111</v>
      </c>
      <c r="T52" s="39">
        <v>16.783378478461291</v>
      </c>
      <c r="U52" s="39">
        <v>145.8321750476382</v>
      </c>
      <c r="V52" s="39">
        <v>13.31177397453814</v>
      </c>
      <c r="W52" s="39">
        <v>196739</v>
      </c>
      <c r="X52" s="39">
        <v>177812</v>
      </c>
      <c r="Y52" s="39">
        <v>201482</v>
      </c>
      <c r="Z52" s="39">
        <v>12295</v>
      </c>
      <c r="AA52" s="39" t="s">
        <v>541</v>
      </c>
    </row>
    <row r="53" spans="1:27" x14ac:dyDescent="0.25">
      <c r="A53" s="39" t="s">
        <v>558</v>
      </c>
      <c r="B53" s="39" t="s">
        <v>559</v>
      </c>
      <c r="C53" s="39" t="s">
        <v>592</v>
      </c>
      <c r="D53" s="39" t="s">
        <v>625</v>
      </c>
      <c r="E53" s="39" t="s">
        <v>557</v>
      </c>
      <c r="F53" s="39" t="s">
        <v>544</v>
      </c>
      <c r="G53" s="39">
        <v>2025</v>
      </c>
      <c r="H53" s="39">
        <v>214206</v>
      </c>
      <c r="I53" s="39">
        <v>200</v>
      </c>
      <c r="J53" s="39">
        <v>149</v>
      </c>
      <c r="K53" s="39" t="s">
        <v>573</v>
      </c>
      <c r="L53" s="39" t="s">
        <v>540</v>
      </c>
      <c r="M53" s="39">
        <v>44</v>
      </c>
      <c r="N53" s="39">
        <v>2025</v>
      </c>
      <c r="O53" s="39">
        <v>97697</v>
      </c>
      <c r="P53" s="39">
        <v>873174</v>
      </c>
      <c r="Q53" s="39">
        <v>62</v>
      </c>
      <c r="R53" s="39">
        <v>817.12114431189343</v>
      </c>
      <c r="S53" s="39">
        <v>36.446531237048539</v>
      </c>
      <c r="T53" s="39">
        <v>4.4603583557662736</v>
      </c>
      <c r="U53" s="39">
        <v>58.784727801691197</v>
      </c>
      <c r="V53" s="39">
        <v>11.664421034807731</v>
      </c>
      <c r="W53" s="39">
        <v>189803</v>
      </c>
      <c r="X53" s="39">
        <v>191269</v>
      </c>
      <c r="Y53" s="39">
        <v>213579</v>
      </c>
      <c r="Z53" s="39">
        <v>21496</v>
      </c>
      <c r="AA53" s="39" t="s">
        <v>541</v>
      </c>
    </row>
    <row r="54" spans="1:27" x14ac:dyDescent="0.25">
      <c r="A54" s="39" t="s">
        <v>576</v>
      </c>
      <c r="B54" s="39" t="s">
        <v>577</v>
      </c>
      <c r="C54" s="39" t="s">
        <v>594</v>
      </c>
      <c r="D54" s="39" t="s">
        <v>626</v>
      </c>
      <c r="E54" s="39" t="s">
        <v>555</v>
      </c>
      <c r="F54" s="39" t="s">
        <v>544</v>
      </c>
      <c r="G54" s="39">
        <v>2015</v>
      </c>
      <c r="H54" s="39">
        <v>313342</v>
      </c>
      <c r="I54" s="39">
        <v>500</v>
      </c>
      <c r="J54" s="39">
        <v>166</v>
      </c>
      <c r="K54" s="39" t="s">
        <v>539</v>
      </c>
      <c r="L54" s="39" t="s">
        <v>552</v>
      </c>
      <c r="M54" s="39">
        <v>60</v>
      </c>
      <c r="N54" s="39">
        <v>2015</v>
      </c>
      <c r="O54" s="39">
        <v>12125</v>
      </c>
      <c r="P54" s="39">
        <v>359280</v>
      </c>
      <c r="Q54" s="39">
        <v>289</v>
      </c>
      <c r="R54" s="39">
        <v>4443.5977111178072</v>
      </c>
      <c r="S54" s="39">
        <v>1164.6829789737219</v>
      </c>
      <c r="T54" s="39">
        <v>26.210360493698719</v>
      </c>
      <c r="U54" s="39">
        <v>403.00449099436759</v>
      </c>
      <c r="V54" s="39">
        <v>18.09476553245624</v>
      </c>
      <c r="W54" s="39">
        <v>162279</v>
      </c>
      <c r="X54" s="39">
        <v>163177</v>
      </c>
      <c r="Y54" s="39">
        <v>192704</v>
      </c>
      <c r="Z54" s="39">
        <v>70086</v>
      </c>
      <c r="AA54" s="39" t="s">
        <v>63</v>
      </c>
    </row>
    <row r="55" spans="1:27" x14ac:dyDescent="0.25">
      <c r="A55" s="39" t="s">
        <v>558</v>
      </c>
      <c r="B55" s="39" t="s">
        <v>559</v>
      </c>
      <c r="C55" s="39" t="s">
        <v>549</v>
      </c>
      <c r="D55" s="39" t="s">
        <v>627</v>
      </c>
      <c r="E55" s="39" t="s">
        <v>555</v>
      </c>
      <c r="F55" s="39" t="s">
        <v>544</v>
      </c>
      <c r="G55" s="39">
        <v>2011</v>
      </c>
      <c r="H55" s="39">
        <v>277129</v>
      </c>
      <c r="I55" s="39">
        <v>400</v>
      </c>
      <c r="J55" s="39">
        <v>177</v>
      </c>
      <c r="K55" s="39" t="s">
        <v>545</v>
      </c>
      <c r="L55" s="39" t="s">
        <v>540</v>
      </c>
      <c r="M55" s="39">
        <v>30</v>
      </c>
      <c r="N55" s="39">
        <v>2011</v>
      </c>
      <c r="O55" s="39">
        <v>26556</v>
      </c>
      <c r="P55" s="39">
        <v>277476</v>
      </c>
      <c r="Q55" s="39">
        <v>100</v>
      </c>
      <c r="R55" s="39">
        <v>836.79899810224731</v>
      </c>
      <c r="S55" s="39">
        <v>52.095527249428343</v>
      </c>
      <c r="T55" s="39">
        <v>6.2255723737210857</v>
      </c>
      <c r="U55" s="39">
        <v>52.095527249428343</v>
      </c>
      <c r="V55" s="39">
        <v>18.260237552127499</v>
      </c>
      <c r="W55" s="39">
        <v>194331</v>
      </c>
      <c r="X55" s="39">
        <v>206411</v>
      </c>
      <c r="Y55" s="39">
        <v>244102</v>
      </c>
      <c r="Z55" s="39">
        <v>61922</v>
      </c>
      <c r="AA55" s="39" t="s">
        <v>541</v>
      </c>
    </row>
    <row r="56" spans="1:27" x14ac:dyDescent="0.25">
      <c r="A56" s="39" t="s">
        <v>576</v>
      </c>
      <c r="B56" s="39" t="s">
        <v>577</v>
      </c>
      <c r="C56" s="39" t="s">
        <v>571</v>
      </c>
      <c r="D56" s="39" t="s">
        <v>628</v>
      </c>
      <c r="E56" s="39" t="s">
        <v>537</v>
      </c>
      <c r="F56" s="39" t="s">
        <v>544</v>
      </c>
      <c r="G56" s="39">
        <v>2017</v>
      </c>
      <c r="H56" s="39">
        <v>93306</v>
      </c>
      <c r="I56" s="39">
        <v>250</v>
      </c>
      <c r="J56" s="39">
        <v>149</v>
      </c>
      <c r="K56" s="39" t="s">
        <v>568</v>
      </c>
      <c r="L56" s="39" t="s">
        <v>552</v>
      </c>
      <c r="M56" s="39">
        <v>50</v>
      </c>
      <c r="N56" s="39">
        <v>2017</v>
      </c>
      <c r="O56" s="39">
        <v>89110</v>
      </c>
      <c r="P56" s="39">
        <v>447545</v>
      </c>
      <c r="Q56" s="39">
        <v>72</v>
      </c>
      <c r="R56" s="39">
        <v>1026.5803418467449</v>
      </c>
      <c r="S56" s="39">
        <v>320.69233508422599</v>
      </c>
      <c r="T56" s="39">
        <v>31.238893052181709</v>
      </c>
      <c r="U56" s="39">
        <v>445.40602095031392</v>
      </c>
      <c r="V56" s="39">
        <v>4.1126530565227792</v>
      </c>
      <c r="W56" s="39">
        <v>177099</v>
      </c>
      <c r="X56" s="39">
        <v>181585</v>
      </c>
      <c r="Y56" s="39">
        <v>189053</v>
      </c>
      <c r="Z56" s="39">
        <v>64247</v>
      </c>
      <c r="AA56" s="39" t="s">
        <v>541</v>
      </c>
    </row>
    <row r="57" spans="1:27" x14ac:dyDescent="0.25">
      <c r="A57" s="39" t="s">
        <v>565</v>
      </c>
      <c r="B57" s="39" t="s">
        <v>566</v>
      </c>
      <c r="C57" s="39" t="s">
        <v>594</v>
      </c>
      <c r="D57" s="39" t="s">
        <v>629</v>
      </c>
      <c r="E57" s="39" t="s">
        <v>557</v>
      </c>
      <c r="F57" s="39" t="s">
        <v>544</v>
      </c>
      <c r="G57" s="39">
        <v>2010</v>
      </c>
      <c r="H57" s="39">
        <v>270623</v>
      </c>
      <c r="I57" s="39">
        <v>100</v>
      </c>
      <c r="J57" s="39">
        <v>146</v>
      </c>
      <c r="K57" s="39" t="s">
        <v>573</v>
      </c>
      <c r="L57" s="39" t="s">
        <v>552</v>
      </c>
      <c r="M57" s="39">
        <v>29</v>
      </c>
      <c r="N57" s="39">
        <v>2010</v>
      </c>
      <c r="O57" s="39">
        <v>63539</v>
      </c>
      <c r="P57" s="39">
        <v>1414621</v>
      </c>
      <c r="Q57" s="39">
        <v>268</v>
      </c>
      <c r="R57" s="39">
        <v>2618.1343329112601</v>
      </c>
      <c r="S57" s="39">
        <v>639.30989796619247</v>
      </c>
      <c r="T57" s="39">
        <v>24.418529253054238</v>
      </c>
      <c r="U57" s="39">
        <v>238.54846939037029</v>
      </c>
      <c r="V57" s="39">
        <v>-2.53291019974953</v>
      </c>
      <c r="W57" s="39">
        <v>139329</v>
      </c>
      <c r="X57" s="39">
        <v>148144</v>
      </c>
      <c r="Y57" s="39">
        <v>144392</v>
      </c>
      <c r="Z57" s="39">
        <v>54519</v>
      </c>
      <c r="AA57" s="39" t="s">
        <v>63</v>
      </c>
    </row>
    <row r="58" spans="1:27" x14ac:dyDescent="0.25">
      <c r="A58" s="39" t="s">
        <v>558</v>
      </c>
      <c r="B58" s="39" t="s">
        <v>559</v>
      </c>
      <c r="C58" s="39" t="s">
        <v>574</v>
      </c>
      <c r="D58" s="39" t="s">
        <v>630</v>
      </c>
      <c r="E58" s="39" t="s">
        <v>537</v>
      </c>
      <c r="F58" s="39" t="s">
        <v>544</v>
      </c>
      <c r="G58" s="39">
        <v>2012</v>
      </c>
      <c r="H58" s="39">
        <v>208886</v>
      </c>
      <c r="I58" s="39">
        <v>250</v>
      </c>
      <c r="J58" s="39">
        <v>162</v>
      </c>
      <c r="K58" s="39" t="s">
        <v>545</v>
      </c>
      <c r="L58" s="39" t="s">
        <v>540</v>
      </c>
      <c r="M58" s="39">
        <v>74</v>
      </c>
      <c r="N58" s="39">
        <v>2012</v>
      </c>
      <c r="O58" s="39">
        <v>74048</v>
      </c>
      <c r="P58" s="39">
        <v>208736</v>
      </c>
      <c r="Q58" s="39">
        <v>123</v>
      </c>
      <c r="R58" s="39">
        <v>2250.707938951331</v>
      </c>
      <c r="S58" s="39">
        <v>725.06935369863538</v>
      </c>
      <c r="T58" s="39">
        <v>32.215168443243947</v>
      </c>
      <c r="U58" s="39">
        <v>589.48727942978485</v>
      </c>
      <c r="V58" s="39">
        <v>-0.45798829170703298</v>
      </c>
      <c r="W58" s="39">
        <v>70652</v>
      </c>
      <c r="X58" s="39">
        <v>80328</v>
      </c>
      <c r="Y58" s="39">
        <v>79960</v>
      </c>
      <c r="Z58" s="39">
        <v>27499</v>
      </c>
      <c r="AA58" s="39" t="s">
        <v>541</v>
      </c>
    </row>
    <row r="59" spans="1:27" x14ac:dyDescent="0.25">
      <c r="A59" s="39" t="s">
        <v>576</v>
      </c>
      <c r="B59" s="39" t="s">
        <v>577</v>
      </c>
      <c r="C59" s="39" t="s">
        <v>542</v>
      </c>
      <c r="D59" s="39" t="s">
        <v>631</v>
      </c>
      <c r="E59" s="39" t="s">
        <v>584</v>
      </c>
      <c r="F59" s="39" t="s">
        <v>81</v>
      </c>
      <c r="G59" s="39">
        <v>2024</v>
      </c>
      <c r="H59" s="39">
        <v>273590</v>
      </c>
      <c r="I59" s="39">
        <v>200</v>
      </c>
      <c r="J59" s="39">
        <v>133</v>
      </c>
      <c r="K59" s="39" t="s">
        <v>568</v>
      </c>
      <c r="L59" s="39" t="s">
        <v>540</v>
      </c>
      <c r="M59" s="39">
        <v>74</v>
      </c>
      <c r="N59" s="39">
        <v>2024</v>
      </c>
      <c r="O59" s="39">
        <v>40262</v>
      </c>
      <c r="P59" s="39">
        <v>588945</v>
      </c>
      <c r="Q59" s="39">
        <v>222</v>
      </c>
      <c r="R59" s="39">
        <v>2375.2874547494639</v>
      </c>
      <c r="S59" s="39">
        <v>204.33476671295671</v>
      </c>
      <c r="T59" s="39">
        <v>8.6025279300146487</v>
      </c>
      <c r="U59" s="39">
        <v>92.042687708539077</v>
      </c>
      <c r="V59" s="39">
        <v>-0.31526951018209881</v>
      </c>
      <c r="W59" s="39">
        <v>117029</v>
      </c>
      <c r="X59" s="39">
        <v>130417</v>
      </c>
      <c r="Y59" s="39">
        <v>130006</v>
      </c>
      <c r="Z59" s="39">
        <v>67556</v>
      </c>
      <c r="AA59" s="39" t="s">
        <v>63</v>
      </c>
    </row>
    <row r="60" spans="1:27" x14ac:dyDescent="0.25">
      <c r="A60" s="39" t="s">
        <v>562</v>
      </c>
      <c r="B60" s="39" t="s">
        <v>563</v>
      </c>
      <c r="C60" s="39" t="s">
        <v>542</v>
      </c>
      <c r="D60" s="39" t="s">
        <v>632</v>
      </c>
      <c r="E60" s="39" t="s">
        <v>557</v>
      </c>
      <c r="F60" s="39" t="s">
        <v>538</v>
      </c>
      <c r="G60" s="39">
        <v>2019</v>
      </c>
      <c r="H60" s="39">
        <v>77957</v>
      </c>
      <c r="I60" s="39">
        <v>180</v>
      </c>
      <c r="J60" s="39">
        <v>135</v>
      </c>
      <c r="K60" s="39" t="s">
        <v>539</v>
      </c>
      <c r="L60" s="39" t="s">
        <v>552</v>
      </c>
      <c r="M60" s="39">
        <v>62</v>
      </c>
      <c r="N60" s="39">
        <v>2019</v>
      </c>
      <c r="O60" s="39">
        <v>78742</v>
      </c>
      <c r="P60" s="39">
        <v>907294</v>
      </c>
      <c r="Q60" s="39">
        <v>263</v>
      </c>
      <c r="R60" s="39">
        <v>3632.7995463881089</v>
      </c>
      <c r="S60" s="39">
        <v>1173.9214759866741</v>
      </c>
      <c r="T60" s="39">
        <v>32.3145128432379</v>
      </c>
      <c r="U60" s="39">
        <v>446.35797566033222</v>
      </c>
      <c r="V60" s="39">
        <v>-1.2213600622850529</v>
      </c>
      <c r="W60" s="39">
        <v>66478</v>
      </c>
      <c r="X60" s="39">
        <v>73559</v>
      </c>
      <c r="Y60" s="39">
        <v>72660</v>
      </c>
      <c r="Z60" s="39">
        <v>10426</v>
      </c>
      <c r="AA60" s="39" t="s">
        <v>546</v>
      </c>
    </row>
    <row r="61" spans="1:27" x14ac:dyDescent="0.25">
      <c r="A61" s="39" t="s">
        <v>534</v>
      </c>
      <c r="B61" s="39" t="s">
        <v>534</v>
      </c>
      <c r="C61" s="39" t="s">
        <v>592</v>
      </c>
      <c r="D61" s="39" t="s">
        <v>633</v>
      </c>
      <c r="E61" s="39" t="s">
        <v>555</v>
      </c>
      <c r="F61" s="39" t="s">
        <v>538</v>
      </c>
      <c r="G61" s="39">
        <v>2025</v>
      </c>
      <c r="H61" s="39">
        <v>342768</v>
      </c>
      <c r="I61" s="39">
        <v>100</v>
      </c>
      <c r="J61" s="39">
        <v>154</v>
      </c>
      <c r="K61" s="39" t="s">
        <v>539</v>
      </c>
      <c r="L61" s="39" t="s">
        <v>552</v>
      </c>
      <c r="M61" s="39">
        <v>67</v>
      </c>
      <c r="N61" s="39">
        <v>2025</v>
      </c>
      <c r="O61" s="39">
        <v>67286</v>
      </c>
      <c r="P61" s="39">
        <v>939624</v>
      </c>
      <c r="Q61" s="39">
        <v>197</v>
      </c>
      <c r="R61" s="39">
        <v>2045.350720994463</v>
      </c>
      <c r="S61" s="39">
        <v>371.15762666861428</v>
      </c>
      <c r="T61" s="39">
        <v>18.146405057033689</v>
      </c>
      <c r="U61" s="39">
        <v>188.40488663381441</v>
      </c>
      <c r="V61" s="39">
        <v>15.78921531339028</v>
      </c>
      <c r="W61" s="39">
        <v>168512</v>
      </c>
      <c r="X61" s="39">
        <v>184001</v>
      </c>
      <c r="Y61" s="39">
        <v>213053</v>
      </c>
      <c r="Z61" s="39">
        <v>68979</v>
      </c>
      <c r="AA61" s="39" t="s">
        <v>546</v>
      </c>
    </row>
    <row r="62" spans="1:27" x14ac:dyDescent="0.25">
      <c r="A62" s="39" t="s">
        <v>534</v>
      </c>
      <c r="B62" s="39" t="s">
        <v>534</v>
      </c>
      <c r="C62" s="39" t="s">
        <v>571</v>
      </c>
      <c r="D62" s="39" t="s">
        <v>634</v>
      </c>
      <c r="E62" s="39" t="s">
        <v>555</v>
      </c>
      <c r="F62" s="39" t="s">
        <v>544</v>
      </c>
      <c r="G62" s="39">
        <v>2009</v>
      </c>
      <c r="H62" s="39">
        <v>194916</v>
      </c>
      <c r="I62" s="39">
        <v>500</v>
      </c>
      <c r="J62" s="39">
        <v>157</v>
      </c>
      <c r="K62" s="39" t="s">
        <v>539</v>
      </c>
      <c r="L62" s="39" t="s">
        <v>540</v>
      </c>
      <c r="M62" s="39">
        <v>31</v>
      </c>
      <c r="N62" s="39">
        <v>2009</v>
      </c>
      <c r="O62" s="39">
        <v>64259</v>
      </c>
      <c r="P62" s="39">
        <v>922943</v>
      </c>
      <c r="Q62" s="39">
        <v>207</v>
      </c>
      <c r="R62" s="39">
        <v>3752.821453150772</v>
      </c>
      <c r="S62" s="39">
        <v>848.87266334476419</v>
      </c>
      <c r="T62" s="39">
        <v>22.619585662197512</v>
      </c>
      <c r="U62" s="39">
        <v>410.08341224384742</v>
      </c>
      <c r="V62" s="39">
        <v>17.29023079379899</v>
      </c>
      <c r="W62" s="39">
        <v>198046</v>
      </c>
      <c r="X62" s="39">
        <v>232912</v>
      </c>
      <c r="Y62" s="39">
        <v>273184</v>
      </c>
      <c r="Z62" s="39">
        <v>79691</v>
      </c>
      <c r="AA62" s="39" t="s">
        <v>63</v>
      </c>
    </row>
    <row r="63" spans="1:27" x14ac:dyDescent="0.25">
      <c r="A63" s="39" t="s">
        <v>565</v>
      </c>
      <c r="B63" s="39" t="s">
        <v>566</v>
      </c>
      <c r="C63" s="39" t="s">
        <v>594</v>
      </c>
      <c r="D63" s="39" t="s">
        <v>635</v>
      </c>
      <c r="E63" s="39" t="s">
        <v>537</v>
      </c>
      <c r="F63" s="39" t="s">
        <v>544</v>
      </c>
      <c r="G63" s="39">
        <v>2023</v>
      </c>
      <c r="H63" s="39">
        <v>143765</v>
      </c>
      <c r="I63" s="39">
        <v>500</v>
      </c>
      <c r="J63" s="39">
        <v>173</v>
      </c>
      <c r="K63" s="39" t="s">
        <v>573</v>
      </c>
      <c r="L63" s="39" t="s">
        <v>540</v>
      </c>
      <c r="M63" s="39">
        <v>25</v>
      </c>
      <c r="N63" s="39">
        <v>2023</v>
      </c>
      <c r="O63" s="39">
        <v>97082</v>
      </c>
      <c r="P63" s="39">
        <v>1386127</v>
      </c>
      <c r="Q63" s="39">
        <v>82</v>
      </c>
      <c r="R63" s="39">
        <v>871.95883204951258</v>
      </c>
      <c r="S63" s="39">
        <v>194.64372949885501</v>
      </c>
      <c r="T63" s="39">
        <v>22.32258248263291</v>
      </c>
      <c r="U63" s="39">
        <v>237.37040182787189</v>
      </c>
      <c r="V63" s="39">
        <v>2.970612245268399</v>
      </c>
      <c r="W63" s="39">
        <v>180958</v>
      </c>
      <c r="X63" s="39">
        <v>196212</v>
      </c>
      <c r="Y63" s="39">
        <v>202041</v>
      </c>
      <c r="Z63" s="39">
        <v>78767</v>
      </c>
      <c r="AA63" s="39" t="s">
        <v>546</v>
      </c>
    </row>
    <row r="64" spans="1:27" x14ac:dyDescent="0.25">
      <c r="A64" s="39" t="s">
        <v>565</v>
      </c>
      <c r="B64" s="39" t="s">
        <v>566</v>
      </c>
      <c r="C64" s="39" t="s">
        <v>571</v>
      </c>
      <c r="D64" s="39" t="s">
        <v>636</v>
      </c>
      <c r="E64" s="39" t="s">
        <v>551</v>
      </c>
      <c r="F64" s="39" t="s">
        <v>544</v>
      </c>
      <c r="G64" s="39">
        <v>2016</v>
      </c>
      <c r="H64" s="39">
        <v>341730</v>
      </c>
      <c r="I64" s="39">
        <v>180</v>
      </c>
      <c r="J64" s="39">
        <v>143</v>
      </c>
      <c r="K64" s="39" t="s">
        <v>545</v>
      </c>
      <c r="L64" s="39" t="s">
        <v>540</v>
      </c>
      <c r="M64" s="39">
        <v>57</v>
      </c>
      <c r="N64" s="39">
        <v>2016</v>
      </c>
      <c r="O64" s="39">
        <v>19522</v>
      </c>
      <c r="P64" s="39">
        <v>1440906</v>
      </c>
      <c r="Q64" s="39">
        <v>176</v>
      </c>
      <c r="R64" s="39">
        <v>2511.6547040715582</v>
      </c>
      <c r="S64" s="39">
        <v>222.47123963188429</v>
      </c>
      <c r="T64" s="39">
        <v>8.8575567044006398</v>
      </c>
      <c r="U64" s="39">
        <v>126.40411342720699</v>
      </c>
      <c r="V64" s="39">
        <v>5.9460142140965244</v>
      </c>
      <c r="W64" s="39">
        <v>188159</v>
      </c>
      <c r="X64" s="39">
        <v>212954</v>
      </c>
      <c r="Y64" s="39">
        <v>225616</v>
      </c>
      <c r="Z64" s="39">
        <v>69972</v>
      </c>
      <c r="AA64" s="39" t="s">
        <v>546</v>
      </c>
    </row>
    <row r="65" spans="1:27" x14ac:dyDescent="0.25">
      <c r="A65" s="39" t="s">
        <v>558</v>
      </c>
      <c r="B65" s="39" t="s">
        <v>559</v>
      </c>
      <c r="C65" s="39" t="s">
        <v>535</v>
      </c>
      <c r="D65" s="39" t="s">
        <v>637</v>
      </c>
      <c r="E65" s="39" t="s">
        <v>551</v>
      </c>
      <c r="F65" s="39" t="s">
        <v>544</v>
      </c>
      <c r="G65" s="39">
        <v>2018</v>
      </c>
      <c r="H65" s="39">
        <v>338386</v>
      </c>
      <c r="I65" s="39">
        <v>200</v>
      </c>
      <c r="J65" s="39">
        <v>145</v>
      </c>
      <c r="K65" s="39" t="s">
        <v>539</v>
      </c>
      <c r="L65" s="39" t="s">
        <v>552</v>
      </c>
      <c r="M65" s="39">
        <v>26</v>
      </c>
      <c r="N65" s="39">
        <v>2018</v>
      </c>
      <c r="O65" s="39">
        <v>27129</v>
      </c>
      <c r="P65" s="39">
        <v>1002878</v>
      </c>
      <c r="Q65" s="39">
        <v>55</v>
      </c>
      <c r="R65" s="39">
        <v>554.28565170566742</v>
      </c>
      <c r="S65" s="39">
        <v>190.8342266447583</v>
      </c>
      <c r="T65" s="39">
        <v>34.428859209600049</v>
      </c>
      <c r="U65" s="39">
        <v>346.9713211722879</v>
      </c>
      <c r="V65" s="39">
        <v>-1.698631530096733</v>
      </c>
      <c r="W65" s="39">
        <v>190814</v>
      </c>
      <c r="X65" s="39">
        <v>196739</v>
      </c>
      <c r="Y65" s="39">
        <v>193397</v>
      </c>
      <c r="Z65" s="39">
        <v>66769</v>
      </c>
      <c r="AA65" s="39" t="s">
        <v>63</v>
      </c>
    </row>
    <row r="66" spans="1:27" x14ac:dyDescent="0.25">
      <c r="A66" s="39" t="s">
        <v>562</v>
      </c>
      <c r="B66" s="39" t="s">
        <v>563</v>
      </c>
      <c r="C66" s="39" t="s">
        <v>571</v>
      </c>
      <c r="D66" s="39" t="s">
        <v>638</v>
      </c>
      <c r="E66" s="39" t="s">
        <v>555</v>
      </c>
      <c r="F66" s="39" t="s">
        <v>544</v>
      </c>
      <c r="G66" s="39">
        <v>2016</v>
      </c>
      <c r="H66" s="39">
        <v>346040</v>
      </c>
      <c r="I66" s="39">
        <v>350</v>
      </c>
      <c r="J66" s="39">
        <v>124</v>
      </c>
      <c r="K66" s="39" t="s">
        <v>573</v>
      </c>
      <c r="L66" s="39" t="s">
        <v>552</v>
      </c>
      <c r="M66" s="39">
        <v>50</v>
      </c>
      <c r="N66" s="39">
        <v>2016</v>
      </c>
      <c r="O66" s="39">
        <v>88763</v>
      </c>
      <c r="P66" s="39">
        <v>896708</v>
      </c>
      <c r="Q66" s="39">
        <v>128</v>
      </c>
      <c r="R66" s="39">
        <v>1982.672362528423</v>
      </c>
      <c r="S66" s="39">
        <v>684.68980891617491</v>
      </c>
      <c r="T66" s="39">
        <v>34.533684024475811</v>
      </c>
      <c r="U66" s="39">
        <v>534.91391321576168</v>
      </c>
      <c r="V66" s="39">
        <v>-4.1257444908934966</v>
      </c>
      <c r="W66" s="39">
        <v>104474</v>
      </c>
      <c r="X66" s="39">
        <v>99008</v>
      </c>
      <c r="Y66" s="39">
        <v>94923</v>
      </c>
      <c r="Z66" s="39">
        <v>56513</v>
      </c>
      <c r="AA66" s="39" t="s">
        <v>546</v>
      </c>
    </row>
    <row r="67" spans="1:27" x14ac:dyDescent="0.25">
      <c r="A67" s="39" t="s">
        <v>576</v>
      </c>
      <c r="B67" s="39" t="s">
        <v>577</v>
      </c>
      <c r="C67" s="39" t="s">
        <v>549</v>
      </c>
      <c r="D67" s="39" t="s">
        <v>639</v>
      </c>
      <c r="E67" s="39" t="s">
        <v>555</v>
      </c>
      <c r="F67" s="39" t="s">
        <v>538</v>
      </c>
      <c r="G67" s="39">
        <v>2019</v>
      </c>
      <c r="H67" s="39">
        <v>75521</v>
      </c>
      <c r="I67" s="39">
        <v>650</v>
      </c>
      <c r="J67" s="39">
        <v>116</v>
      </c>
      <c r="K67" s="39" t="s">
        <v>539</v>
      </c>
      <c r="L67" s="39" t="s">
        <v>552</v>
      </c>
      <c r="M67" s="39">
        <v>42</v>
      </c>
      <c r="N67" s="39">
        <v>2019</v>
      </c>
      <c r="O67" s="39">
        <v>97359</v>
      </c>
      <c r="P67" s="39">
        <v>766183</v>
      </c>
      <c r="Q67" s="39">
        <v>166</v>
      </c>
      <c r="R67" s="39">
        <v>1991.006141815554</v>
      </c>
      <c r="S67" s="39">
        <v>468.03228912307009</v>
      </c>
      <c r="T67" s="39">
        <v>23.507325230864531</v>
      </c>
      <c r="U67" s="39">
        <v>281.94716212233129</v>
      </c>
      <c r="V67" s="39">
        <v>13.264416038713749</v>
      </c>
      <c r="W67" s="39">
        <v>167821</v>
      </c>
      <c r="X67" s="39">
        <v>185346</v>
      </c>
      <c r="Y67" s="39">
        <v>209932</v>
      </c>
      <c r="Z67" s="39">
        <v>62440</v>
      </c>
      <c r="AA67" s="39" t="s">
        <v>546</v>
      </c>
    </row>
    <row r="68" spans="1:27" x14ac:dyDescent="0.25">
      <c r="A68" s="39" t="s">
        <v>576</v>
      </c>
      <c r="B68" s="39" t="s">
        <v>577</v>
      </c>
      <c r="C68" s="39" t="s">
        <v>594</v>
      </c>
      <c r="D68" s="39" t="s">
        <v>640</v>
      </c>
      <c r="E68" s="39" t="s">
        <v>555</v>
      </c>
      <c r="F68" s="39" t="s">
        <v>544</v>
      </c>
      <c r="G68" s="39">
        <v>2011</v>
      </c>
      <c r="H68" s="39">
        <v>337510</v>
      </c>
      <c r="I68" s="39">
        <v>200</v>
      </c>
      <c r="J68" s="39">
        <v>177</v>
      </c>
      <c r="K68" s="39" t="s">
        <v>539</v>
      </c>
      <c r="L68" s="39" t="s">
        <v>540</v>
      </c>
      <c r="M68" s="39">
        <v>68</v>
      </c>
      <c r="N68" s="39">
        <v>2011</v>
      </c>
      <c r="O68" s="39">
        <v>13071</v>
      </c>
      <c r="P68" s="39">
        <v>530339</v>
      </c>
      <c r="Q68" s="39">
        <v>67</v>
      </c>
      <c r="R68" s="39">
        <v>1262.880232686088</v>
      </c>
      <c r="S68" s="39">
        <v>211.66895089373619</v>
      </c>
      <c r="T68" s="39">
        <v>16.760809569687069</v>
      </c>
      <c r="U68" s="39">
        <v>315.92380730408388</v>
      </c>
      <c r="V68" s="39">
        <v>4.3876111716072828</v>
      </c>
      <c r="W68" s="39">
        <v>153113</v>
      </c>
      <c r="X68" s="39">
        <v>183113</v>
      </c>
      <c r="Y68" s="39">
        <v>191147</v>
      </c>
      <c r="Z68" s="39">
        <v>45293</v>
      </c>
      <c r="AA68" s="39" t="s">
        <v>63</v>
      </c>
    </row>
    <row r="69" spans="1:27" x14ac:dyDescent="0.25">
      <c r="A69" s="39" t="s">
        <v>558</v>
      </c>
      <c r="B69" s="39" t="s">
        <v>559</v>
      </c>
      <c r="C69" s="39" t="s">
        <v>571</v>
      </c>
      <c r="D69" s="39" t="s">
        <v>641</v>
      </c>
      <c r="E69" s="39" t="s">
        <v>557</v>
      </c>
      <c r="F69" s="39" t="s">
        <v>544</v>
      </c>
      <c r="G69" s="39">
        <v>2007</v>
      </c>
      <c r="H69" s="39">
        <v>318010</v>
      </c>
      <c r="I69" s="39">
        <v>180</v>
      </c>
      <c r="J69" s="39">
        <v>125</v>
      </c>
      <c r="K69" s="39" t="s">
        <v>573</v>
      </c>
      <c r="L69" s="39" t="s">
        <v>552</v>
      </c>
      <c r="M69" s="39">
        <v>53</v>
      </c>
      <c r="N69" s="39">
        <v>2007</v>
      </c>
      <c r="O69" s="39">
        <v>93983</v>
      </c>
      <c r="P69" s="39">
        <v>451663</v>
      </c>
      <c r="Q69" s="39">
        <v>130</v>
      </c>
      <c r="R69" s="39">
        <v>2207.6823799671588</v>
      </c>
      <c r="S69" s="39">
        <v>335.72644581593153</v>
      </c>
      <c r="T69" s="39">
        <v>15.207189623940639</v>
      </c>
      <c r="U69" s="39">
        <v>258.25111216610122</v>
      </c>
      <c r="V69" s="39">
        <v>14.94700845545564</v>
      </c>
      <c r="W69" s="39">
        <v>175442</v>
      </c>
      <c r="X69" s="39">
        <v>205785</v>
      </c>
      <c r="Y69" s="39">
        <v>236544</v>
      </c>
      <c r="Z69" s="39">
        <v>22523</v>
      </c>
      <c r="AA69" s="39" t="s">
        <v>546</v>
      </c>
    </row>
    <row r="70" spans="1:27" x14ac:dyDescent="0.25">
      <c r="A70" s="39" t="s">
        <v>569</v>
      </c>
      <c r="B70" s="39" t="s">
        <v>570</v>
      </c>
      <c r="C70" s="39" t="s">
        <v>592</v>
      </c>
      <c r="D70" s="39" t="s">
        <v>642</v>
      </c>
      <c r="E70" s="39" t="s">
        <v>551</v>
      </c>
      <c r="F70" s="39" t="s">
        <v>538</v>
      </c>
      <c r="G70" s="39">
        <v>2021</v>
      </c>
      <c r="H70" s="39">
        <v>225758</v>
      </c>
      <c r="I70" s="39">
        <v>180</v>
      </c>
      <c r="J70" s="39">
        <v>111</v>
      </c>
      <c r="K70" s="39" t="s">
        <v>539</v>
      </c>
      <c r="L70" s="39" t="s">
        <v>552</v>
      </c>
      <c r="M70" s="39">
        <v>51</v>
      </c>
      <c r="N70" s="39">
        <v>2021</v>
      </c>
      <c r="O70" s="39">
        <v>73965</v>
      </c>
      <c r="P70" s="39">
        <v>689634</v>
      </c>
      <c r="Q70" s="39">
        <v>179</v>
      </c>
      <c r="R70" s="39">
        <v>2816.6448720194849</v>
      </c>
      <c r="S70" s="39">
        <v>328.88714427815319</v>
      </c>
      <c r="T70" s="39">
        <v>11.676557010978341</v>
      </c>
      <c r="U70" s="39">
        <v>183.7358347922644</v>
      </c>
      <c r="V70" s="39">
        <v>-5.3183555563658942</v>
      </c>
      <c r="W70" s="39">
        <v>61377</v>
      </c>
      <c r="X70" s="39">
        <v>64787</v>
      </c>
      <c r="Y70" s="39">
        <v>61342</v>
      </c>
      <c r="Z70" s="39">
        <v>39817</v>
      </c>
      <c r="AA70" s="39" t="s">
        <v>541</v>
      </c>
    </row>
    <row r="71" spans="1:27" x14ac:dyDescent="0.25">
      <c r="A71" s="39" t="s">
        <v>562</v>
      </c>
      <c r="B71" s="39" t="s">
        <v>563</v>
      </c>
      <c r="C71" s="39" t="s">
        <v>549</v>
      </c>
      <c r="D71" s="39" t="s">
        <v>643</v>
      </c>
      <c r="E71" s="39" t="s">
        <v>584</v>
      </c>
      <c r="F71" s="39" t="s">
        <v>81</v>
      </c>
      <c r="G71" s="39">
        <v>2021</v>
      </c>
      <c r="H71" s="39">
        <v>262156</v>
      </c>
      <c r="I71" s="39">
        <v>125</v>
      </c>
      <c r="J71" s="39">
        <v>171</v>
      </c>
      <c r="K71" s="39" t="s">
        <v>568</v>
      </c>
      <c r="L71" s="39" t="s">
        <v>540</v>
      </c>
      <c r="M71" s="39">
        <v>39</v>
      </c>
      <c r="N71" s="39">
        <v>2021</v>
      </c>
      <c r="O71" s="39">
        <v>51729</v>
      </c>
      <c r="P71" s="39">
        <v>556312</v>
      </c>
      <c r="Q71" s="39">
        <v>160</v>
      </c>
      <c r="R71" s="39">
        <v>1919.937369018382</v>
      </c>
      <c r="S71" s="39">
        <v>495.35348098325261</v>
      </c>
      <c r="T71" s="39">
        <v>25.8005020880715</v>
      </c>
      <c r="U71" s="39">
        <v>309.59592561453292</v>
      </c>
      <c r="V71" s="39">
        <v>-4.0182929974670696</v>
      </c>
      <c r="W71" s="39">
        <v>62597</v>
      </c>
      <c r="X71" s="39">
        <v>74643</v>
      </c>
      <c r="Y71" s="39">
        <v>71643</v>
      </c>
      <c r="Z71" s="39">
        <v>26899</v>
      </c>
      <c r="AA71" s="39" t="s">
        <v>63</v>
      </c>
    </row>
    <row r="72" spans="1:27" x14ac:dyDescent="0.25">
      <c r="A72" s="39" t="s">
        <v>547</v>
      </c>
      <c r="B72" s="39" t="s">
        <v>548</v>
      </c>
      <c r="C72" s="39" t="s">
        <v>578</v>
      </c>
      <c r="D72" s="39" t="s">
        <v>644</v>
      </c>
      <c r="E72" s="39" t="s">
        <v>537</v>
      </c>
      <c r="F72" s="39" t="s">
        <v>81</v>
      </c>
      <c r="G72" s="39">
        <v>2014</v>
      </c>
      <c r="H72" s="39">
        <v>74604</v>
      </c>
      <c r="I72" s="39">
        <v>150</v>
      </c>
      <c r="J72" s="39">
        <v>141</v>
      </c>
      <c r="K72" s="39" t="s">
        <v>568</v>
      </c>
      <c r="L72" s="39" t="s">
        <v>552</v>
      </c>
      <c r="M72" s="39">
        <v>41</v>
      </c>
      <c r="N72" s="39">
        <v>2014</v>
      </c>
      <c r="O72" s="39">
        <v>53582</v>
      </c>
      <c r="P72" s="39">
        <v>1485350</v>
      </c>
      <c r="Q72" s="39">
        <v>93</v>
      </c>
      <c r="R72" s="39">
        <v>1628.60240465672</v>
      </c>
      <c r="S72" s="39">
        <v>201.15131166517779</v>
      </c>
      <c r="T72" s="39">
        <v>12.351161406247391</v>
      </c>
      <c r="U72" s="39">
        <v>216.29173297330951</v>
      </c>
      <c r="V72" s="39">
        <v>2.7591073009329241</v>
      </c>
      <c r="W72" s="39">
        <v>81941</v>
      </c>
      <c r="X72" s="39">
        <v>86225</v>
      </c>
      <c r="Y72" s="39">
        <v>88604</v>
      </c>
      <c r="Z72" s="39">
        <v>29800</v>
      </c>
      <c r="AA72" s="39" t="s">
        <v>63</v>
      </c>
    </row>
    <row r="73" spans="1:27" x14ac:dyDescent="0.25">
      <c r="A73" s="39" t="s">
        <v>553</v>
      </c>
      <c r="B73" s="39" t="s">
        <v>553</v>
      </c>
      <c r="C73" s="39" t="s">
        <v>574</v>
      </c>
      <c r="D73" s="39" t="s">
        <v>645</v>
      </c>
      <c r="E73" s="39" t="s">
        <v>557</v>
      </c>
      <c r="F73" s="39" t="s">
        <v>538</v>
      </c>
      <c r="G73" s="39">
        <v>2008</v>
      </c>
      <c r="H73" s="39">
        <v>161337</v>
      </c>
      <c r="I73" s="39">
        <v>500</v>
      </c>
      <c r="J73" s="39">
        <v>146</v>
      </c>
      <c r="K73" s="39" t="s">
        <v>539</v>
      </c>
      <c r="L73" s="39" t="s">
        <v>552</v>
      </c>
      <c r="M73" s="39">
        <v>28</v>
      </c>
      <c r="N73" s="39">
        <v>2008</v>
      </c>
      <c r="O73" s="39">
        <v>70717</v>
      </c>
      <c r="P73" s="39">
        <v>91124</v>
      </c>
      <c r="Q73" s="39">
        <v>128</v>
      </c>
      <c r="R73" s="39">
        <v>2222.0325757175501</v>
      </c>
      <c r="S73" s="39">
        <v>44.433173484273041</v>
      </c>
      <c r="T73" s="39">
        <v>1.99966345992585</v>
      </c>
      <c r="U73" s="39">
        <v>34.713416784588311</v>
      </c>
      <c r="V73" s="39">
        <v>-2.3467681872192001</v>
      </c>
      <c r="W73" s="39">
        <v>185455</v>
      </c>
      <c r="X73" s="39">
        <v>168929</v>
      </c>
      <c r="Y73" s="39">
        <v>164964</v>
      </c>
      <c r="Z73" s="39">
        <v>23821</v>
      </c>
      <c r="AA73" s="39" t="s">
        <v>546</v>
      </c>
    </row>
    <row r="74" spans="1:27" x14ac:dyDescent="0.25">
      <c r="A74" s="39" t="s">
        <v>553</v>
      </c>
      <c r="B74" s="39" t="s">
        <v>553</v>
      </c>
      <c r="C74" s="39" t="s">
        <v>571</v>
      </c>
      <c r="D74" s="39" t="s">
        <v>646</v>
      </c>
      <c r="E74" s="39" t="s">
        <v>557</v>
      </c>
      <c r="F74" s="39" t="s">
        <v>538</v>
      </c>
      <c r="G74" s="39">
        <v>2016</v>
      </c>
      <c r="H74" s="39">
        <v>70402</v>
      </c>
      <c r="I74" s="39">
        <v>125</v>
      </c>
      <c r="J74" s="39">
        <v>98</v>
      </c>
      <c r="K74" s="39" t="s">
        <v>568</v>
      </c>
      <c r="L74" s="39" t="s">
        <v>552</v>
      </c>
      <c r="M74" s="39">
        <v>55</v>
      </c>
      <c r="N74" s="39">
        <v>2016</v>
      </c>
      <c r="O74" s="39">
        <v>33402</v>
      </c>
      <c r="P74" s="39">
        <v>761783</v>
      </c>
      <c r="Q74" s="39">
        <v>193</v>
      </c>
      <c r="R74" s="39">
        <v>3600.1008532669271</v>
      </c>
      <c r="S74" s="39">
        <v>153.82107559501611</v>
      </c>
      <c r="T74" s="39">
        <v>4.2726879569340541</v>
      </c>
      <c r="U74" s="39">
        <v>79.700039168402128</v>
      </c>
      <c r="V74" s="39">
        <v>19.283477949037898</v>
      </c>
      <c r="W74" s="39">
        <v>138664</v>
      </c>
      <c r="X74" s="39">
        <v>153173</v>
      </c>
      <c r="Y74" s="39">
        <v>182710</v>
      </c>
      <c r="Z74" s="39">
        <v>57007</v>
      </c>
      <c r="AA74" s="39" t="s">
        <v>541</v>
      </c>
    </row>
    <row r="75" spans="1:27" x14ac:dyDescent="0.25">
      <c r="A75" s="39" t="s">
        <v>569</v>
      </c>
      <c r="B75" s="39" t="s">
        <v>570</v>
      </c>
      <c r="C75" s="39" t="s">
        <v>535</v>
      </c>
      <c r="D75" s="39" t="s">
        <v>647</v>
      </c>
      <c r="E75" s="39" t="s">
        <v>537</v>
      </c>
      <c r="F75" s="39" t="s">
        <v>81</v>
      </c>
      <c r="G75" s="39">
        <v>2014</v>
      </c>
      <c r="H75" s="39">
        <v>123875</v>
      </c>
      <c r="I75" s="39">
        <v>500</v>
      </c>
      <c r="J75" s="39">
        <v>174</v>
      </c>
      <c r="K75" s="39" t="s">
        <v>539</v>
      </c>
      <c r="L75" s="39" t="s">
        <v>552</v>
      </c>
      <c r="M75" s="39">
        <v>31</v>
      </c>
      <c r="N75" s="39">
        <v>2014</v>
      </c>
      <c r="O75" s="39">
        <v>89552</v>
      </c>
      <c r="P75" s="39">
        <v>644695</v>
      </c>
      <c r="Q75" s="39">
        <v>112</v>
      </c>
      <c r="R75" s="39">
        <v>1439.7052156985701</v>
      </c>
      <c r="S75" s="39">
        <v>6.924892432130977</v>
      </c>
      <c r="T75" s="39">
        <v>0.48099377265719617</v>
      </c>
      <c r="U75" s="39">
        <v>6.1829396715455154</v>
      </c>
      <c r="V75" s="39">
        <v>13.23619989477073</v>
      </c>
      <c r="W75" s="39">
        <v>194406</v>
      </c>
      <c r="X75" s="39">
        <v>198092</v>
      </c>
      <c r="Y75" s="39">
        <v>224312</v>
      </c>
      <c r="Z75" s="39">
        <v>65441</v>
      </c>
      <c r="AA75" s="39" t="s">
        <v>63</v>
      </c>
    </row>
    <row r="76" spans="1:27" x14ac:dyDescent="0.25">
      <c r="A76" s="39" t="s">
        <v>562</v>
      </c>
      <c r="B76" s="39" t="s">
        <v>563</v>
      </c>
      <c r="C76" s="39" t="s">
        <v>571</v>
      </c>
      <c r="D76" s="39" t="s">
        <v>648</v>
      </c>
      <c r="E76" s="39" t="s">
        <v>537</v>
      </c>
      <c r="F76" s="39" t="s">
        <v>544</v>
      </c>
      <c r="G76" s="39">
        <v>2020</v>
      </c>
      <c r="H76" s="39">
        <v>341576</v>
      </c>
      <c r="I76" s="39">
        <v>200</v>
      </c>
      <c r="J76" s="39">
        <v>175</v>
      </c>
      <c r="K76" s="39" t="s">
        <v>545</v>
      </c>
      <c r="L76" s="39" t="s">
        <v>552</v>
      </c>
      <c r="M76" s="39">
        <v>29</v>
      </c>
      <c r="N76" s="39">
        <v>2020</v>
      </c>
      <c r="O76" s="39">
        <v>51061</v>
      </c>
      <c r="P76" s="39">
        <v>1068223</v>
      </c>
      <c r="Q76" s="39">
        <v>238</v>
      </c>
      <c r="R76" s="39">
        <v>4238.0989440232916</v>
      </c>
      <c r="S76" s="39">
        <v>710.11679427348292</v>
      </c>
      <c r="T76" s="39">
        <v>16.75555015710318</v>
      </c>
      <c r="U76" s="39">
        <v>298.36840095524491</v>
      </c>
      <c r="V76" s="39">
        <v>2.0597398406870182</v>
      </c>
      <c r="W76" s="39">
        <v>98359</v>
      </c>
      <c r="X76" s="39">
        <v>99471</v>
      </c>
      <c r="Y76" s="39">
        <v>101520</v>
      </c>
      <c r="Z76" s="39">
        <v>65564</v>
      </c>
      <c r="AA76" s="39" t="s">
        <v>546</v>
      </c>
    </row>
    <row r="77" spans="1:27" x14ac:dyDescent="0.25">
      <c r="A77" s="39" t="s">
        <v>576</v>
      </c>
      <c r="B77" s="39" t="s">
        <v>577</v>
      </c>
      <c r="C77" s="39" t="s">
        <v>571</v>
      </c>
      <c r="D77" s="39" t="s">
        <v>649</v>
      </c>
      <c r="E77" s="39" t="s">
        <v>551</v>
      </c>
      <c r="F77" s="39" t="s">
        <v>538</v>
      </c>
      <c r="G77" s="39">
        <v>2017</v>
      </c>
      <c r="H77" s="39">
        <v>80396</v>
      </c>
      <c r="I77" s="39">
        <v>500</v>
      </c>
      <c r="J77" s="39">
        <v>97</v>
      </c>
      <c r="K77" s="39" t="s">
        <v>545</v>
      </c>
      <c r="L77" s="39" t="s">
        <v>552</v>
      </c>
      <c r="M77" s="39">
        <v>55</v>
      </c>
      <c r="N77" s="39">
        <v>2017</v>
      </c>
      <c r="O77" s="39">
        <v>99333</v>
      </c>
      <c r="P77" s="39">
        <v>228450</v>
      </c>
      <c r="Q77" s="39">
        <v>387</v>
      </c>
      <c r="R77" s="39">
        <v>4439.3011709277607</v>
      </c>
      <c r="S77" s="39">
        <v>83.234693622369932</v>
      </c>
      <c r="T77" s="39">
        <v>1.874950367581727</v>
      </c>
      <c r="U77" s="39">
        <v>21.50767277063823</v>
      </c>
      <c r="V77" s="39">
        <v>1.4109544536373659</v>
      </c>
      <c r="W77" s="39">
        <v>125698</v>
      </c>
      <c r="X77" s="39">
        <v>149066</v>
      </c>
      <c r="Y77" s="39">
        <v>151169</v>
      </c>
      <c r="Z77" s="39">
        <v>67047</v>
      </c>
      <c r="AA77" s="39" t="s">
        <v>546</v>
      </c>
    </row>
    <row r="78" spans="1:27" x14ac:dyDescent="0.25">
      <c r="A78" s="39" t="s">
        <v>581</v>
      </c>
      <c r="B78" s="39" t="s">
        <v>582</v>
      </c>
      <c r="C78" s="39" t="s">
        <v>571</v>
      </c>
      <c r="D78" s="39" t="s">
        <v>650</v>
      </c>
      <c r="E78" s="39" t="s">
        <v>584</v>
      </c>
      <c r="F78" s="39" t="s">
        <v>81</v>
      </c>
      <c r="G78" s="39">
        <v>2021</v>
      </c>
      <c r="H78" s="39">
        <v>296001</v>
      </c>
      <c r="I78" s="39">
        <v>500</v>
      </c>
      <c r="J78" s="39">
        <v>173</v>
      </c>
      <c r="K78" s="39" t="s">
        <v>568</v>
      </c>
      <c r="L78" s="39" t="s">
        <v>552</v>
      </c>
      <c r="M78" s="39">
        <v>26</v>
      </c>
      <c r="N78" s="39">
        <v>2021</v>
      </c>
      <c r="O78" s="39">
        <v>66199</v>
      </c>
      <c r="P78" s="39">
        <v>1373767</v>
      </c>
      <c r="Q78" s="39">
        <v>296</v>
      </c>
      <c r="R78" s="39">
        <v>2751.543023843145</v>
      </c>
      <c r="S78" s="39">
        <v>195.37542187774491</v>
      </c>
      <c r="T78" s="39">
        <v>7.1005766649746729</v>
      </c>
      <c r="U78" s="39">
        <v>66.005210093832716</v>
      </c>
      <c r="V78" s="39">
        <v>3.035222270424633</v>
      </c>
      <c r="W78" s="39">
        <v>109219</v>
      </c>
      <c r="X78" s="39">
        <v>114787</v>
      </c>
      <c r="Y78" s="39">
        <v>118271</v>
      </c>
      <c r="Z78" s="39">
        <v>24349</v>
      </c>
      <c r="AA78" s="39" t="s">
        <v>546</v>
      </c>
    </row>
    <row r="79" spans="1:27" x14ac:dyDescent="0.25">
      <c r="A79" s="39" t="s">
        <v>569</v>
      </c>
      <c r="B79" s="39" t="s">
        <v>570</v>
      </c>
      <c r="C79" s="39" t="s">
        <v>542</v>
      </c>
      <c r="D79" s="39" t="s">
        <v>651</v>
      </c>
      <c r="E79" s="39" t="s">
        <v>557</v>
      </c>
      <c r="F79" s="39" t="s">
        <v>538</v>
      </c>
      <c r="G79" s="39">
        <v>2014</v>
      </c>
      <c r="H79" s="39">
        <v>120649</v>
      </c>
      <c r="I79" s="39">
        <v>400</v>
      </c>
      <c r="J79" s="39">
        <v>99</v>
      </c>
      <c r="K79" s="39" t="s">
        <v>568</v>
      </c>
      <c r="L79" s="39" t="s">
        <v>540</v>
      </c>
      <c r="M79" s="39">
        <v>35</v>
      </c>
      <c r="N79" s="39">
        <v>2014</v>
      </c>
      <c r="O79" s="39">
        <v>99367</v>
      </c>
      <c r="P79" s="39">
        <v>114513</v>
      </c>
      <c r="Q79" s="39">
        <v>252</v>
      </c>
      <c r="R79" s="39">
        <v>3190.1195373335222</v>
      </c>
      <c r="S79" s="39">
        <v>608.04540286264057</v>
      </c>
      <c r="T79" s="39">
        <v>19.060270179432791</v>
      </c>
      <c r="U79" s="39">
        <v>241.28785827882561</v>
      </c>
      <c r="V79" s="39">
        <v>-6.3247534231822433</v>
      </c>
      <c r="W79" s="39">
        <v>92898</v>
      </c>
      <c r="X79" s="39">
        <v>104984</v>
      </c>
      <c r="Y79" s="39">
        <v>98344</v>
      </c>
      <c r="Z79" s="39">
        <v>65324</v>
      </c>
      <c r="AA79" s="39" t="s">
        <v>541</v>
      </c>
    </row>
    <row r="80" spans="1:27" x14ac:dyDescent="0.25">
      <c r="A80" s="39" t="s">
        <v>534</v>
      </c>
      <c r="B80" s="39" t="s">
        <v>534</v>
      </c>
      <c r="C80" s="39" t="s">
        <v>592</v>
      </c>
      <c r="D80" s="39" t="s">
        <v>652</v>
      </c>
      <c r="E80" s="39" t="s">
        <v>557</v>
      </c>
      <c r="F80" s="39" t="s">
        <v>544</v>
      </c>
      <c r="G80" s="39">
        <v>2008</v>
      </c>
      <c r="H80" s="39">
        <v>290315</v>
      </c>
      <c r="I80" s="39">
        <v>100</v>
      </c>
      <c r="J80" s="39">
        <v>174</v>
      </c>
      <c r="K80" s="39" t="s">
        <v>568</v>
      </c>
      <c r="L80" s="39" t="s">
        <v>552</v>
      </c>
      <c r="M80" s="39">
        <v>36</v>
      </c>
      <c r="N80" s="39">
        <v>2008</v>
      </c>
      <c r="O80" s="39">
        <v>54683</v>
      </c>
      <c r="P80" s="39">
        <v>333660</v>
      </c>
      <c r="Q80" s="39">
        <v>399</v>
      </c>
      <c r="R80" s="39">
        <v>5800.1622767730387</v>
      </c>
      <c r="S80" s="39">
        <v>153.59430772732651</v>
      </c>
      <c r="T80" s="39">
        <v>2.6481036287967399</v>
      </c>
      <c r="U80" s="39">
        <v>38.494813966748488</v>
      </c>
      <c r="V80" s="39">
        <v>5.5816899551928101</v>
      </c>
      <c r="W80" s="39">
        <v>64792</v>
      </c>
      <c r="X80" s="39">
        <v>62052</v>
      </c>
      <c r="Y80" s="39">
        <v>65516</v>
      </c>
      <c r="Z80" s="39">
        <v>41757</v>
      </c>
      <c r="AA80" s="39" t="s">
        <v>63</v>
      </c>
    </row>
    <row r="81" spans="1:27" x14ac:dyDescent="0.25">
      <c r="A81" s="39" t="s">
        <v>576</v>
      </c>
      <c r="B81" s="39" t="s">
        <v>577</v>
      </c>
      <c r="C81" s="39" t="s">
        <v>594</v>
      </c>
      <c r="D81" s="39" t="s">
        <v>653</v>
      </c>
      <c r="E81" s="39" t="s">
        <v>557</v>
      </c>
      <c r="F81" s="39" t="s">
        <v>544</v>
      </c>
      <c r="G81" s="39">
        <v>2016</v>
      </c>
      <c r="H81" s="39">
        <v>323040</v>
      </c>
      <c r="I81" s="39">
        <v>250</v>
      </c>
      <c r="J81" s="39">
        <v>120</v>
      </c>
      <c r="K81" s="39" t="s">
        <v>568</v>
      </c>
      <c r="L81" s="39" t="s">
        <v>552</v>
      </c>
      <c r="M81" s="39">
        <v>38</v>
      </c>
      <c r="N81" s="39">
        <v>2016</v>
      </c>
      <c r="O81" s="39">
        <v>56683</v>
      </c>
      <c r="P81" s="39">
        <v>1446196</v>
      </c>
      <c r="Q81" s="39">
        <v>346</v>
      </c>
      <c r="R81" s="39">
        <v>4286.9132412947847</v>
      </c>
      <c r="S81" s="39">
        <v>695.1251231578957</v>
      </c>
      <c r="T81" s="39">
        <v>16.215049944606431</v>
      </c>
      <c r="U81" s="39">
        <v>200.903214785519</v>
      </c>
      <c r="V81" s="39">
        <v>12.785481439801391</v>
      </c>
      <c r="W81" s="39">
        <v>171577</v>
      </c>
      <c r="X81" s="39">
        <v>179569</v>
      </c>
      <c r="Y81" s="39">
        <v>202528</v>
      </c>
      <c r="Z81" s="39">
        <v>12720</v>
      </c>
      <c r="AA81" s="39" t="s">
        <v>63</v>
      </c>
    </row>
    <row r="82" spans="1:27" x14ac:dyDescent="0.25">
      <c r="A82" s="39" t="s">
        <v>576</v>
      </c>
      <c r="B82" s="39" t="s">
        <v>577</v>
      </c>
      <c r="C82" s="39" t="s">
        <v>578</v>
      </c>
      <c r="D82" s="39" t="s">
        <v>654</v>
      </c>
      <c r="E82" s="39" t="s">
        <v>551</v>
      </c>
      <c r="F82" s="39" t="s">
        <v>538</v>
      </c>
      <c r="G82" s="39">
        <v>2008</v>
      </c>
      <c r="H82" s="39">
        <v>279798</v>
      </c>
      <c r="I82" s="39">
        <v>125</v>
      </c>
      <c r="J82" s="39">
        <v>102</v>
      </c>
      <c r="K82" s="39" t="s">
        <v>573</v>
      </c>
      <c r="L82" s="39" t="s">
        <v>552</v>
      </c>
      <c r="M82" s="39">
        <v>29</v>
      </c>
      <c r="N82" s="39">
        <v>2008</v>
      </c>
      <c r="O82" s="39">
        <v>59501</v>
      </c>
      <c r="P82" s="39">
        <v>1319938</v>
      </c>
      <c r="Q82" s="39">
        <v>373</v>
      </c>
      <c r="R82" s="39">
        <v>4368.9732478239457</v>
      </c>
      <c r="S82" s="39">
        <v>473.18258940493808</v>
      </c>
      <c r="T82" s="39">
        <v>10.830521556537709</v>
      </c>
      <c r="U82" s="39">
        <v>126.85860305762419</v>
      </c>
      <c r="V82" s="39">
        <v>-0.4194777495007328</v>
      </c>
      <c r="W82" s="39">
        <v>178793</v>
      </c>
      <c r="X82" s="39">
        <v>164259</v>
      </c>
      <c r="Y82" s="39">
        <v>163570</v>
      </c>
      <c r="Z82" s="39">
        <v>58562</v>
      </c>
      <c r="AA82" s="39" t="s">
        <v>546</v>
      </c>
    </row>
    <row r="83" spans="1:27" x14ac:dyDescent="0.25">
      <c r="A83" s="39" t="s">
        <v>553</v>
      </c>
      <c r="B83" s="39" t="s">
        <v>553</v>
      </c>
      <c r="C83" s="39" t="s">
        <v>571</v>
      </c>
      <c r="D83" s="39" t="s">
        <v>655</v>
      </c>
      <c r="E83" s="39" t="s">
        <v>555</v>
      </c>
      <c r="F83" s="39" t="s">
        <v>544</v>
      </c>
      <c r="G83" s="39">
        <v>2020</v>
      </c>
      <c r="H83" s="39">
        <v>270384</v>
      </c>
      <c r="I83" s="39">
        <v>400</v>
      </c>
      <c r="J83" s="39">
        <v>98</v>
      </c>
      <c r="K83" s="39" t="s">
        <v>573</v>
      </c>
      <c r="L83" s="39" t="s">
        <v>540</v>
      </c>
      <c r="M83" s="39">
        <v>31</v>
      </c>
      <c r="N83" s="39">
        <v>2020</v>
      </c>
      <c r="O83" s="39">
        <v>31721</v>
      </c>
      <c r="P83" s="39">
        <v>323178</v>
      </c>
      <c r="Q83" s="39">
        <v>144</v>
      </c>
      <c r="R83" s="39">
        <v>2756.1480321985532</v>
      </c>
      <c r="S83" s="39">
        <v>516.31340597444762</v>
      </c>
      <c r="T83" s="39">
        <v>18.733152208903292</v>
      </c>
      <c r="U83" s="39">
        <v>358.55097637114409</v>
      </c>
      <c r="V83" s="39">
        <v>-6.5120964371065346</v>
      </c>
      <c r="W83" s="39">
        <v>97462</v>
      </c>
      <c r="X83" s="39">
        <v>90230</v>
      </c>
      <c r="Y83" s="39">
        <v>84354</v>
      </c>
      <c r="Z83" s="39">
        <v>79438</v>
      </c>
      <c r="AA83" s="39" t="s">
        <v>63</v>
      </c>
    </row>
    <row r="84" spans="1:27" x14ac:dyDescent="0.25">
      <c r="A84" s="39" t="s">
        <v>534</v>
      </c>
      <c r="B84" s="39" t="s">
        <v>534</v>
      </c>
      <c r="C84" s="39" t="s">
        <v>535</v>
      </c>
      <c r="D84" s="39" t="s">
        <v>656</v>
      </c>
      <c r="E84" s="39" t="s">
        <v>537</v>
      </c>
      <c r="F84" s="39" t="s">
        <v>544</v>
      </c>
      <c r="G84" s="39">
        <v>2014</v>
      </c>
      <c r="H84" s="39">
        <v>322947</v>
      </c>
      <c r="I84" s="39">
        <v>150</v>
      </c>
      <c r="J84" s="39">
        <v>113</v>
      </c>
      <c r="K84" s="39" t="s">
        <v>545</v>
      </c>
      <c r="L84" s="39" t="s">
        <v>552</v>
      </c>
      <c r="M84" s="39">
        <v>27</v>
      </c>
      <c r="N84" s="39">
        <v>2014</v>
      </c>
      <c r="O84" s="39">
        <v>24351</v>
      </c>
      <c r="P84" s="39">
        <v>578368</v>
      </c>
      <c r="Q84" s="39">
        <v>289</v>
      </c>
      <c r="R84" s="39">
        <v>4108.7239409940048</v>
      </c>
      <c r="S84" s="39">
        <v>794.13550370511177</v>
      </c>
      <c r="T84" s="39">
        <v>19.328032623018959</v>
      </c>
      <c r="U84" s="39">
        <v>274.78737152426021</v>
      </c>
      <c r="V84" s="39">
        <v>15.88928694896833</v>
      </c>
      <c r="W84" s="39">
        <v>195325</v>
      </c>
      <c r="X84" s="39">
        <v>219517</v>
      </c>
      <c r="Y84" s="39">
        <v>254397</v>
      </c>
      <c r="Z84" s="39">
        <v>22609</v>
      </c>
      <c r="AA84" s="39" t="s">
        <v>546</v>
      </c>
    </row>
    <row r="85" spans="1:27" x14ac:dyDescent="0.25">
      <c r="A85" s="39" t="s">
        <v>558</v>
      </c>
      <c r="B85" s="39" t="s">
        <v>559</v>
      </c>
      <c r="C85" s="39" t="s">
        <v>592</v>
      </c>
      <c r="D85" s="39" t="s">
        <v>657</v>
      </c>
      <c r="E85" s="39" t="s">
        <v>551</v>
      </c>
      <c r="F85" s="39" t="s">
        <v>81</v>
      </c>
      <c r="G85" s="39">
        <v>2012</v>
      </c>
      <c r="H85" s="39">
        <v>158959</v>
      </c>
      <c r="I85" s="39">
        <v>150</v>
      </c>
      <c r="J85" s="39">
        <v>106</v>
      </c>
      <c r="K85" s="39" t="s">
        <v>568</v>
      </c>
      <c r="L85" s="39" t="s">
        <v>552</v>
      </c>
      <c r="M85" s="39">
        <v>63</v>
      </c>
      <c r="N85" s="39">
        <v>2012</v>
      </c>
      <c r="O85" s="39">
        <v>82550</v>
      </c>
      <c r="P85" s="39">
        <v>121930</v>
      </c>
      <c r="Q85" s="39">
        <v>102</v>
      </c>
      <c r="R85" s="39">
        <v>1969.6552684402229</v>
      </c>
      <c r="S85" s="39">
        <v>585.44078904750199</v>
      </c>
      <c r="T85" s="39">
        <v>29.723007798776621</v>
      </c>
      <c r="U85" s="39">
        <v>573.96155788970782</v>
      </c>
      <c r="V85" s="39">
        <v>13.20174578252759</v>
      </c>
      <c r="W85" s="39">
        <v>71885</v>
      </c>
      <c r="X85" s="39">
        <v>84464</v>
      </c>
      <c r="Y85" s="39">
        <v>95615</v>
      </c>
      <c r="Z85" s="39">
        <v>45032</v>
      </c>
      <c r="AA85" s="39" t="s">
        <v>63</v>
      </c>
    </row>
    <row r="86" spans="1:27" x14ac:dyDescent="0.25">
      <c r="A86" s="39" t="s">
        <v>576</v>
      </c>
      <c r="B86" s="39" t="s">
        <v>577</v>
      </c>
      <c r="C86" s="39" t="s">
        <v>578</v>
      </c>
      <c r="D86" s="39" t="s">
        <v>658</v>
      </c>
      <c r="E86" s="39" t="s">
        <v>537</v>
      </c>
      <c r="F86" s="39" t="s">
        <v>538</v>
      </c>
      <c r="G86" s="39">
        <v>2024</v>
      </c>
      <c r="H86" s="39">
        <v>322873</v>
      </c>
      <c r="I86" s="39">
        <v>350</v>
      </c>
      <c r="J86" s="39">
        <v>163</v>
      </c>
      <c r="K86" s="39" t="s">
        <v>573</v>
      </c>
      <c r="L86" s="39" t="s">
        <v>540</v>
      </c>
      <c r="M86" s="39">
        <v>29</v>
      </c>
      <c r="N86" s="39">
        <v>2024</v>
      </c>
      <c r="O86" s="39">
        <v>92149</v>
      </c>
      <c r="P86" s="39">
        <v>326256</v>
      </c>
      <c r="Q86" s="39">
        <v>314</v>
      </c>
      <c r="R86" s="39">
        <v>2646.884926593098</v>
      </c>
      <c r="S86" s="39">
        <v>175.48253594459871</v>
      </c>
      <c r="T86" s="39">
        <v>6.6297757859261601</v>
      </c>
      <c r="U86" s="39">
        <v>55.886157944139697</v>
      </c>
      <c r="V86" s="39">
        <v>12.920661886035489</v>
      </c>
      <c r="W86" s="39">
        <v>123505</v>
      </c>
      <c r="X86" s="39">
        <v>119861</v>
      </c>
      <c r="Y86" s="39">
        <v>135348</v>
      </c>
      <c r="Z86" s="39">
        <v>77209</v>
      </c>
      <c r="AA86" s="39" t="s">
        <v>546</v>
      </c>
    </row>
    <row r="87" spans="1:27" x14ac:dyDescent="0.25">
      <c r="A87" s="39" t="s">
        <v>569</v>
      </c>
      <c r="B87" s="39" t="s">
        <v>570</v>
      </c>
      <c r="C87" s="39" t="s">
        <v>542</v>
      </c>
      <c r="D87" s="39" t="s">
        <v>659</v>
      </c>
      <c r="E87" s="39" t="s">
        <v>551</v>
      </c>
      <c r="F87" s="39" t="s">
        <v>544</v>
      </c>
      <c r="G87" s="39">
        <v>2020</v>
      </c>
      <c r="H87" s="39">
        <v>128407</v>
      </c>
      <c r="I87" s="39">
        <v>650</v>
      </c>
      <c r="J87" s="39">
        <v>116</v>
      </c>
      <c r="K87" s="39" t="s">
        <v>568</v>
      </c>
      <c r="L87" s="39" t="s">
        <v>552</v>
      </c>
      <c r="M87" s="39">
        <v>77</v>
      </c>
      <c r="N87" s="39">
        <v>2020</v>
      </c>
      <c r="O87" s="39">
        <v>72764</v>
      </c>
      <c r="P87" s="39">
        <v>205207</v>
      </c>
      <c r="Q87" s="39">
        <v>128</v>
      </c>
      <c r="R87" s="39">
        <v>2449.039350840711</v>
      </c>
      <c r="S87" s="39">
        <v>268.46472560103138</v>
      </c>
      <c r="T87" s="39">
        <v>10.96204213741491</v>
      </c>
      <c r="U87" s="39">
        <v>209.7380668758058</v>
      </c>
      <c r="V87" s="39">
        <v>9.89931419549462</v>
      </c>
      <c r="W87" s="39">
        <v>93517</v>
      </c>
      <c r="X87" s="39">
        <v>109578</v>
      </c>
      <c r="Y87" s="39">
        <v>120425</v>
      </c>
      <c r="Z87" s="39">
        <v>11157</v>
      </c>
      <c r="AA87" s="39" t="s">
        <v>63</v>
      </c>
    </row>
    <row r="88" spans="1:27" x14ac:dyDescent="0.25">
      <c r="A88" s="39" t="s">
        <v>590</v>
      </c>
      <c r="B88" s="39" t="s">
        <v>590</v>
      </c>
      <c r="C88" s="39" t="s">
        <v>542</v>
      </c>
      <c r="D88" s="39" t="s">
        <v>660</v>
      </c>
      <c r="E88" s="39" t="s">
        <v>537</v>
      </c>
      <c r="F88" s="39" t="s">
        <v>544</v>
      </c>
      <c r="G88" s="39">
        <v>2014</v>
      </c>
      <c r="H88" s="39">
        <v>222546</v>
      </c>
      <c r="I88" s="39">
        <v>500</v>
      </c>
      <c r="J88" s="39">
        <v>107</v>
      </c>
      <c r="K88" s="39" t="s">
        <v>568</v>
      </c>
      <c r="L88" s="39" t="s">
        <v>540</v>
      </c>
      <c r="M88" s="39">
        <v>69</v>
      </c>
      <c r="N88" s="39">
        <v>2014</v>
      </c>
      <c r="O88" s="39">
        <v>69114</v>
      </c>
      <c r="P88" s="39">
        <v>1096930</v>
      </c>
      <c r="Q88" s="39">
        <v>294</v>
      </c>
      <c r="R88" s="39">
        <v>5855.1472016379003</v>
      </c>
      <c r="S88" s="39">
        <v>1645.957486013368</v>
      </c>
      <c r="T88" s="39">
        <v>28.11129130200062</v>
      </c>
      <c r="U88" s="39">
        <v>559.84948503856037</v>
      </c>
      <c r="V88" s="39">
        <v>-8.3046349361627421</v>
      </c>
      <c r="W88" s="39">
        <v>111689</v>
      </c>
      <c r="X88" s="39">
        <v>120679</v>
      </c>
      <c r="Y88" s="39">
        <v>110657</v>
      </c>
      <c r="Z88" s="39">
        <v>52914</v>
      </c>
      <c r="AA88" s="39" t="s">
        <v>546</v>
      </c>
    </row>
    <row r="89" spans="1:27" x14ac:dyDescent="0.25">
      <c r="A89" s="39" t="s">
        <v>553</v>
      </c>
      <c r="B89" s="39" t="s">
        <v>553</v>
      </c>
      <c r="C89" s="39" t="s">
        <v>574</v>
      </c>
      <c r="D89" s="39" t="s">
        <v>661</v>
      </c>
      <c r="E89" s="39" t="s">
        <v>584</v>
      </c>
      <c r="F89" s="39" t="s">
        <v>81</v>
      </c>
      <c r="G89" s="39">
        <v>2019</v>
      </c>
      <c r="H89" s="39">
        <v>347492</v>
      </c>
      <c r="I89" s="39">
        <v>200</v>
      </c>
      <c r="J89" s="39">
        <v>140</v>
      </c>
      <c r="K89" s="39" t="s">
        <v>545</v>
      </c>
      <c r="L89" s="39" t="s">
        <v>552</v>
      </c>
      <c r="M89" s="39">
        <v>50</v>
      </c>
      <c r="N89" s="39">
        <v>2019</v>
      </c>
      <c r="O89" s="39">
        <v>35324</v>
      </c>
      <c r="P89" s="39">
        <v>55715</v>
      </c>
      <c r="Q89" s="39">
        <v>297</v>
      </c>
      <c r="R89" s="39">
        <v>4728.844713135918</v>
      </c>
      <c r="S89" s="39">
        <v>101.88485587681279</v>
      </c>
      <c r="T89" s="39">
        <v>2.1545401056159492</v>
      </c>
      <c r="U89" s="39">
        <v>34.30466527838815</v>
      </c>
      <c r="V89" s="39">
        <v>-7.1022377620487172</v>
      </c>
      <c r="W89" s="39">
        <v>94671</v>
      </c>
      <c r="X89" s="39">
        <v>108665</v>
      </c>
      <c r="Y89" s="39">
        <v>100948</v>
      </c>
      <c r="Z89" s="39">
        <v>65411</v>
      </c>
      <c r="AA89" s="39" t="s">
        <v>546</v>
      </c>
    </row>
    <row r="90" spans="1:27" x14ac:dyDescent="0.25">
      <c r="A90" s="39" t="s">
        <v>534</v>
      </c>
      <c r="B90" s="39" t="s">
        <v>534</v>
      </c>
      <c r="C90" s="39" t="s">
        <v>535</v>
      </c>
      <c r="D90" s="39" t="s">
        <v>662</v>
      </c>
      <c r="E90" s="39" t="s">
        <v>557</v>
      </c>
      <c r="F90" s="39" t="s">
        <v>538</v>
      </c>
      <c r="G90" s="39">
        <v>2015</v>
      </c>
      <c r="H90" s="39">
        <v>325012</v>
      </c>
      <c r="I90" s="39">
        <v>200</v>
      </c>
      <c r="J90" s="39">
        <v>132</v>
      </c>
      <c r="K90" s="39" t="s">
        <v>545</v>
      </c>
      <c r="L90" s="39" t="s">
        <v>540</v>
      </c>
      <c r="M90" s="39">
        <v>53</v>
      </c>
      <c r="N90" s="39">
        <v>2015</v>
      </c>
      <c r="O90" s="39">
        <v>28561</v>
      </c>
      <c r="P90" s="39">
        <v>1499225</v>
      </c>
      <c r="Q90" s="39">
        <v>78</v>
      </c>
      <c r="R90" s="39">
        <v>819.64731032228451</v>
      </c>
      <c r="S90" s="39">
        <v>241.95565289947689</v>
      </c>
      <c r="T90" s="39">
        <v>29.519483545226318</v>
      </c>
      <c r="U90" s="39">
        <v>310.19955499932928</v>
      </c>
      <c r="V90" s="39">
        <v>-1.1226499614190331</v>
      </c>
      <c r="W90" s="39">
        <v>57072</v>
      </c>
      <c r="X90" s="39">
        <v>66355</v>
      </c>
      <c r="Y90" s="39">
        <v>65610</v>
      </c>
      <c r="Z90" s="39">
        <v>65163</v>
      </c>
      <c r="AA90" s="39" t="s">
        <v>541</v>
      </c>
    </row>
    <row r="91" spans="1:27" x14ac:dyDescent="0.25">
      <c r="A91" s="39" t="s">
        <v>569</v>
      </c>
      <c r="B91" s="39" t="s">
        <v>570</v>
      </c>
      <c r="C91" s="39" t="s">
        <v>549</v>
      </c>
      <c r="D91" s="39" t="s">
        <v>663</v>
      </c>
      <c r="E91" s="39" t="s">
        <v>537</v>
      </c>
      <c r="F91" s="39" t="s">
        <v>81</v>
      </c>
      <c r="G91" s="39">
        <v>2013</v>
      </c>
      <c r="H91" s="39">
        <v>144118</v>
      </c>
      <c r="I91" s="39">
        <v>250</v>
      </c>
      <c r="J91" s="39">
        <v>108</v>
      </c>
      <c r="K91" s="39" t="s">
        <v>545</v>
      </c>
      <c r="L91" s="39" t="s">
        <v>552</v>
      </c>
      <c r="M91" s="39">
        <v>71</v>
      </c>
      <c r="N91" s="39">
        <v>2013</v>
      </c>
      <c r="O91" s="39">
        <v>71536</v>
      </c>
      <c r="P91" s="39">
        <v>1078025</v>
      </c>
      <c r="Q91" s="39">
        <v>144</v>
      </c>
      <c r="R91" s="39">
        <v>2429.3825622302829</v>
      </c>
      <c r="S91" s="39">
        <v>140.67401043577939</v>
      </c>
      <c r="T91" s="39">
        <v>5.7905252397396936</v>
      </c>
      <c r="U91" s="39">
        <v>97.69028502484683</v>
      </c>
      <c r="V91" s="39">
        <v>14.14451637084381</v>
      </c>
      <c r="W91" s="39">
        <v>124839</v>
      </c>
      <c r="X91" s="39">
        <v>118116</v>
      </c>
      <c r="Y91" s="39">
        <v>134823</v>
      </c>
      <c r="Z91" s="39">
        <v>39461</v>
      </c>
      <c r="AA91" s="39" t="s">
        <v>541</v>
      </c>
    </row>
    <row r="92" spans="1:27" x14ac:dyDescent="0.25">
      <c r="A92" s="39" t="s">
        <v>569</v>
      </c>
      <c r="B92" s="39" t="s">
        <v>570</v>
      </c>
      <c r="C92" s="39" t="s">
        <v>549</v>
      </c>
      <c r="D92" s="39" t="s">
        <v>664</v>
      </c>
      <c r="E92" s="39" t="s">
        <v>557</v>
      </c>
      <c r="F92" s="39" t="s">
        <v>544</v>
      </c>
      <c r="G92" s="39">
        <v>2024</v>
      </c>
      <c r="H92" s="39">
        <v>238635</v>
      </c>
      <c r="I92" s="39">
        <v>500</v>
      </c>
      <c r="J92" s="39">
        <v>175</v>
      </c>
      <c r="K92" s="39" t="s">
        <v>573</v>
      </c>
      <c r="L92" s="39" t="s">
        <v>552</v>
      </c>
      <c r="M92" s="39">
        <v>74</v>
      </c>
      <c r="N92" s="39">
        <v>2024</v>
      </c>
      <c r="O92" s="39">
        <v>17464</v>
      </c>
      <c r="P92" s="39">
        <v>1277919</v>
      </c>
      <c r="Q92" s="39">
        <v>229</v>
      </c>
      <c r="R92" s="39">
        <v>3317.3121080435881</v>
      </c>
      <c r="S92" s="39">
        <v>711.23364959838432</v>
      </c>
      <c r="T92" s="39">
        <v>21.44005828917437</v>
      </c>
      <c r="U92" s="39">
        <v>310.58237973728569</v>
      </c>
      <c r="V92" s="39">
        <v>4.5150261577395314</v>
      </c>
      <c r="W92" s="39">
        <v>191497</v>
      </c>
      <c r="X92" s="39">
        <v>213897</v>
      </c>
      <c r="Y92" s="39">
        <v>223555</v>
      </c>
      <c r="Z92" s="39">
        <v>78096</v>
      </c>
      <c r="AA92" s="39" t="s">
        <v>541</v>
      </c>
    </row>
    <row r="93" spans="1:27" x14ac:dyDescent="0.25">
      <c r="A93" s="39" t="s">
        <v>581</v>
      </c>
      <c r="B93" s="39" t="s">
        <v>582</v>
      </c>
      <c r="C93" s="39" t="s">
        <v>535</v>
      </c>
      <c r="D93" s="39" t="s">
        <v>665</v>
      </c>
      <c r="E93" s="39" t="s">
        <v>537</v>
      </c>
      <c r="F93" s="39" t="s">
        <v>544</v>
      </c>
      <c r="G93" s="39">
        <v>2021</v>
      </c>
      <c r="H93" s="39">
        <v>249441</v>
      </c>
      <c r="I93" s="39">
        <v>125</v>
      </c>
      <c r="J93" s="39">
        <v>108</v>
      </c>
      <c r="K93" s="39" t="s">
        <v>539</v>
      </c>
      <c r="L93" s="39" t="s">
        <v>540</v>
      </c>
      <c r="M93" s="39">
        <v>49</v>
      </c>
      <c r="N93" s="39">
        <v>2021</v>
      </c>
      <c r="O93" s="39">
        <v>25663</v>
      </c>
      <c r="P93" s="39">
        <v>1310859</v>
      </c>
      <c r="Q93" s="39">
        <v>160</v>
      </c>
      <c r="R93" s="39">
        <v>1744.321404245853</v>
      </c>
      <c r="S93" s="39">
        <v>404.69283163550222</v>
      </c>
      <c r="T93" s="39">
        <v>23.200588529753709</v>
      </c>
      <c r="U93" s="39">
        <v>252.93301977218891</v>
      </c>
      <c r="V93" s="39">
        <v>9.855107434345145</v>
      </c>
      <c r="W93" s="39">
        <v>154819</v>
      </c>
      <c r="X93" s="39">
        <v>183954</v>
      </c>
      <c r="Y93" s="39">
        <v>202083</v>
      </c>
      <c r="Z93" s="39">
        <v>19077</v>
      </c>
      <c r="AA93" s="39" t="s">
        <v>63</v>
      </c>
    </row>
    <row r="94" spans="1:27" x14ac:dyDescent="0.25">
      <c r="A94" s="39" t="s">
        <v>534</v>
      </c>
      <c r="B94" s="39" t="s">
        <v>534</v>
      </c>
      <c r="C94" s="39" t="s">
        <v>549</v>
      </c>
      <c r="D94" s="39" t="s">
        <v>666</v>
      </c>
      <c r="E94" s="39" t="s">
        <v>555</v>
      </c>
      <c r="F94" s="39" t="s">
        <v>544</v>
      </c>
      <c r="G94" s="39">
        <v>2017</v>
      </c>
      <c r="H94" s="39">
        <v>120552</v>
      </c>
      <c r="I94" s="39">
        <v>125</v>
      </c>
      <c r="J94" s="39">
        <v>177</v>
      </c>
      <c r="K94" s="39" t="s">
        <v>539</v>
      </c>
      <c r="L94" s="39" t="s">
        <v>540</v>
      </c>
      <c r="M94" s="39">
        <v>75</v>
      </c>
      <c r="N94" s="39">
        <v>2017</v>
      </c>
      <c r="O94" s="39">
        <v>69086</v>
      </c>
      <c r="P94" s="39">
        <v>547630</v>
      </c>
      <c r="Q94" s="39">
        <v>385</v>
      </c>
      <c r="R94" s="39">
        <v>7298.1182940744311</v>
      </c>
      <c r="S94" s="39">
        <v>1351.301814831972</v>
      </c>
      <c r="T94" s="39">
        <v>18.51575653314821</v>
      </c>
      <c r="U94" s="39">
        <v>350.9874843719407</v>
      </c>
      <c r="V94" s="39">
        <v>-5.7290921790803564</v>
      </c>
      <c r="W94" s="39">
        <v>148645</v>
      </c>
      <c r="X94" s="39">
        <v>150013</v>
      </c>
      <c r="Y94" s="39">
        <v>141418</v>
      </c>
      <c r="Z94" s="39">
        <v>52999</v>
      </c>
      <c r="AA94" s="39" t="s">
        <v>546</v>
      </c>
    </row>
    <row r="95" spans="1:27" x14ac:dyDescent="0.25">
      <c r="A95" s="39" t="s">
        <v>562</v>
      </c>
      <c r="B95" s="39" t="s">
        <v>563</v>
      </c>
      <c r="C95" s="39" t="s">
        <v>571</v>
      </c>
      <c r="D95" s="39" t="s">
        <v>667</v>
      </c>
      <c r="E95" s="39" t="s">
        <v>551</v>
      </c>
      <c r="F95" s="39" t="s">
        <v>81</v>
      </c>
      <c r="G95" s="39">
        <v>2021</v>
      </c>
      <c r="H95" s="39">
        <v>108006</v>
      </c>
      <c r="I95" s="39">
        <v>200</v>
      </c>
      <c r="J95" s="39">
        <v>106</v>
      </c>
      <c r="K95" s="39" t="s">
        <v>539</v>
      </c>
      <c r="L95" s="39" t="s">
        <v>552</v>
      </c>
      <c r="M95" s="39">
        <v>62</v>
      </c>
      <c r="N95" s="39">
        <v>2021</v>
      </c>
      <c r="O95" s="39">
        <v>57890</v>
      </c>
      <c r="P95" s="39">
        <v>656830</v>
      </c>
      <c r="Q95" s="39">
        <v>391</v>
      </c>
      <c r="R95" s="39">
        <v>7351.5447402035979</v>
      </c>
      <c r="S95" s="39">
        <v>1351.886042843538</v>
      </c>
      <c r="T95" s="39">
        <v>18.389142562792841</v>
      </c>
      <c r="U95" s="39">
        <v>345.7509060980916</v>
      </c>
      <c r="V95" s="39">
        <v>15.82463228350187</v>
      </c>
      <c r="W95" s="39">
        <v>178877</v>
      </c>
      <c r="X95" s="39">
        <v>190767</v>
      </c>
      <c r="Y95" s="39">
        <v>220955</v>
      </c>
      <c r="Z95" s="39">
        <v>46240</v>
      </c>
      <c r="AA95" s="39" t="s">
        <v>541</v>
      </c>
    </row>
    <row r="96" spans="1:27" x14ac:dyDescent="0.25">
      <c r="A96" s="39" t="s">
        <v>553</v>
      </c>
      <c r="B96" s="39" t="s">
        <v>553</v>
      </c>
      <c r="C96" s="39" t="s">
        <v>549</v>
      </c>
      <c r="D96" s="39" t="s">
        <v>668</v>
      </c>
      <c r="E96" s="39" t="s">
        <v>555</v>
      </c>
      <c r="F96" s="39" t="s">
        <v>81</v>
      </c>
      <c r="G96" s="39">
        <v>2011</v>
      </c>
      <c r="H96" s="39">
        <v>345099</v>
      </c>
      <c r="I96" s="39">
        <v>150</v>
      </c>
      <c r="J96" s="39">
        <v>173</v>
      </c>
      <c r="K96" s="39" t="s">
        <v>568</v>
      </c>
      <c r="L96" s="39" t="s">
        <v>552</v>
      </c>
      <c r="M96" s="39">
        <v>68</v>
      </c>
      <c r="N96" s="39">
        <v>2011</v>
      </c>
      <c r="O96" s="39">
        <v>19605</v>
      </c>
      <c r="P96" s="39">
        <v>826205</v>
      </c>
      <c r="Q96" s="39">
        <v>252</v>
      </c>
      <c r="R96" s="39">
        <v>4018.989998173774</v>
      </c>
      <c r="S96" s="39">
        <v>918.83603483714148</v>
      </c>
      <c r="T96" s="39">
        <v>22.862361818632539</v>
      </c>
      <c r="U96" s="39">
        <v>364.61747414172282</v>
      </c>
      <c r="V96" s="39">
        <v>3.1909342400019818</v>
      </c>
      <c r="W96" s="39">
        <v>118821</v>
      </c>
      <c r="X96" s="39">
        <v>121664</v>
      </c>
      <c r="Y96" s="39">
        <v>125546</v>
      </c>
      <c r="Z96" s="39">
        <v>71915</v>
      </c>
      <c r="AA96" s="39" t="s">
        <v>546</v>
      </c>
    </row>
    <row r="97" spans="1:27" x14ac:dyDescent="0.25">
      <c r="A97" s="39" t="s">
        <v>547</v>
      </c>
      <c r="B97" s="39" t="s">
        <v>548</v>
      </c>
      <c r="C97" s="39" t="s">
        <v>574</v>
      </c>
      <c r="D97" s="39" t="s">
        <v>669</v>
      </c>
      <c r="E97" s="39" t="s">
        <v>551</v>
      </c>
      <c r="F97" s="39" t="s">
        <v>538</v>
      </c>
      <c r="G97" s="39">
        <v>2023</v>
      </c>
      <c r="H97" s="39">
        <v>156753</v>
      </c>
      <c r="I97" s="39">
        <v>180</v>
      </c>
      <c r="J97" s="39">
        <v>127</v>
      </c>
      <c r="K97" s="39" t="s">
        <v>573</v>
      </c>
      <c r="L97" s="39" t="s">
        <v>540</v>
      </c>
      <c r="M97" s="39">
        <v>58</v>
      </c>
      <c r="N97" s="39">
        <v>2023</v>
      </c>
      <c r="O97" s="39">
        <v>76366</v>
      </c>
      <c r="P97" s="39">
        <v>298554</v>
      </c>
      <c r="Q97" s="39">
        <v>74</v>
      </c>
      <c r="R97" s="39">
        <v>1074.775054489945</v>
      </c>
      <c r="S97" s="39">
        <v>261.75021461075579</v>
      </c>
      <c r="T97" s="39">
        <v>24.353953277690689</v>
      </c>
      <c r="U97" s="39">
        <v>353.71650623075112</v>
      </c>
      <c r="V97" s="39">
        <v>9.9376424849824616</v>
      </c>
      <c r="W97" s="39">
        <v>54582</v>
      </c>
      <c r="X97" s="39">
        <v>52100</v>
      </c>
      <c r="Y97" s="39">
        <v>57277</v>
      </c>
      <c r="Z97" s="39">
        <v>73047</v>
      </c>
      <c r="AA97" s="39" t="s">
        <v>546</v>
      </c>
    </row>
    <row r="98" spans="1:27" x14ac:dyDescent="0.25">
      <c r="A98" s="39" t="s">
        <v>576</v>
      </c>
      <c r="B98" s="39" t="s">
        <v>577</v>
      </c>
      <c r="C98" s="39" t="s">
        <v>578</v>
      </c>
      <c r="D98" s="39" t="s">
        <v>670</v>
      </c>
      <c r="E98" s="39" t="s">
        <v>557</v>
      </c>
      <c r="F98" s="39" t="s">
        <v>544</v>
      </c>
      <c r="G98" s="39">
        <v>2019</v>
      </c>
      <c r="H98" s="39">
        <v>347019</v>
      </c>
      <c r="I98" s="39">
        <v>400</v>
      </c>
      <c r="J98" s="39">
        <v>102</v>
      </c>
      <c r="K98" s="39" t="s">
        <v>568</v>
      </c>
      <c r="L98" s="39" t="s">
        <v>540</v>
      </c>
      <c r="M98" s="39">
        <v>44</v>
      </c>
      <c r="N98" s="39">
        <v>2019</v>
      </c>
      <c r="O98" s="39">
        <v>63185</v>
      </c>
      <c r="P98" s="39">
        <v>921083</v>
      </c>
      <c r="Q98" s="39">
        <v>246</v>
      </c>
      <c r="R98" s="39">
        <v>2149.6804778349742</v>
      </c>
      <c r="S98" s="39">
        <v>608.82591485754938</v>
      </c>
      <c r="T98" s="39">
        <v>28.321693439330179</v>
      </c>
      <c r="U98" s="39">
        <v>247.49020929168671</v>
      </c>
      <c r="V98" s="39">
        <v>3.337487824276959</v>
      </c>
      <c r="W98" s="39">
        <v>128625</v>
      </c>
      <c r="X98" s="39">
        <v>137007</v>
      </c>
      <c r="Y98" s="39">
        <v>141579</v>
      </c>
      <c r="Z98" s="39">
        <v>49306</v>
      </c>
      <c r="AA98" s="39" t="s">
        <v>541</v>
      </c>
    </row>
    <row r="99" spans="1:27" x14ac:dyDescent="0.25">
      <c r="A99" s="39" t="s">
        <v>534</v>
      </c>
      <c r="B99" s="39" t="s">
        <v>534</v>
      </c>
      <c r="C99" s="39" t="s">
        <v>594</v>
      </c>
      <c r="D99" s="39" t="s">
        <v>671</v>
      </c>
      <c r="E99" s="39" t="s">
        <v>537</v>
      </c>
      <c r="F99" s="39" t="s">
        <v>538</v>
      </c>
      <c r="G99" s="39">
        <v>2011</v>
      </c>
      <c r="H99" s="39">
        <v>179262</v>
      </c>
      <c r="I99" s="39">
        <v>150</v>
      </c>
      <c r="J99" s="39">
        <v>134</v>
      </c>
      <c r="K99" s="39" t="s">
        <v>539</v>
      </c>
      <c r="L99" s="39" t="s">
        <v>552</v>
      </c>
      <c r="M99" s="39">
        <v>68</v>
      </c>
      <c r="N99" s="39">
        <v>2011</v>
      </c>
      <c r="O99" s="39">
        <v>58272</v>
      </c>
      <c r="P99" s="39">
        <v>1249590</v>
      </c>
      <c r="Q99" s="39">
        <v>264</v>
      </c>
      <c r="R99" s="39">
        <v>3278.6626847028592</v>
      </c>
      <c r="S99" s="39">
        <v>596.94390686346446</v>
      </c>
      <c r="T99" s="39">
        <v>18.206932651187469</v>
      </c>
      <c r="U99" s="39">
        <v>226.11511623616079</v>
      </c>
      <c r="V99" s="39">
        <v>10.96882326033491</v>
      </c>
      <c r="W99" s="39">
        <v>170281</v>
      </c>
      <c r="X99" s="39">
        <v>163545</v>
      </c>
      <c r="Y99" s="39">
        <v>181484</v>
      </c>
      <c r="Z99" s="39">
        <v>57374</v>
      </c>
      <c r="AA99" s="39" t="s">
        <v>541</v>
      </c>
    </row>
    <row r="100" spans="1:27" x14ac:dyDescent="0.25">
      <c r="A100" s="39" t="s">
        <v>558</v>
      </c>
      <c r="B100" s="39" t="s">
        <v>559</v>
      </c>
      <c r="C100" s="39" t="s">
        <v>549</v>
      </c>
      <c r="D100" s="39" t="s">
        <v>672</v>
      </c>
      <c r="E100" s="39" t="s">
        <v>555</v>
      </c>
      <c r="F100" s="39" t="s">
        <v>81</v>
      </c>
      <c r="G100" s="39">
        <v>2023</v>
      </c>
      <c r="H100" s="39">
        <v>324876</v>
      </c>
      <c r="I100" s="39">
        <v>250</v>
      </c>
      <c r="J100" s="39">
        <v>137</v>
      </c>
      <c r="K100" s="39" t="s">
        <v>573</v>
      </c>
      <c r="L100" s="39" t="s">
        <v>552</v>
      </c>
      <c r="M100" s="39">
        <v>48</v>
      </c>
      <c r="N100" s="39">
        <v>2023</v>
      </c>
      <c r="O100" s="39">
        <v>82581</v>
      </c>
      <c r="P100" s="39">
        <v>249427</v>
      </c>
      <c r="Q100" s="39">
        <v>136</v>
      </c>
      <c r="R100" s="39">
        <v>2201.1517529447719</v>
      </c>
      <c r="S100" s="39">
        <v>207.5664620843967</v>
      </c>
      <c r="T100" s="39">
        <v>9.4299024048072813</v>
      </c>
      <c r="U100" s="39">
        <v>152.62239859146811</v>
      </c>
      <c r="V100" s="39">
        <v>2.4733255100020748</v>
      </c>
      <c r="W100" s="39">
        <v>103920</v>
      </c>
      <c r="X100" s="39">
        <v>111749</v>
      </c>
      <c r="Y100" s="39">
        <v>114513</v>
      </c>
      <c r="Z100" s="39">
        <v>26485</v>
      </c>
      <c r="AA100" s="39" t="s">
        <v>63</v>
      </c>
    </row>
    <row r="101" spans="1:27" x14ac:dyDescent="0.25">
      <c r="A101" s="44" t="s">
        <v>581</v>
      </c>
      <c r="B101" s="44" t="s">
        <v>582</v>
      </c>
      <c r="C101" s="44" t="s">
        <v>535</v>
      </c>
      <c r="D101" s="44" t="s">
        <v>673</v>
      </c>
      <c r="E101" s="44" t="s">
        <v>557</v>
      </c>
      <c r="F101" s="44" t="s">
        <v>81</v>
      </c>
      <c r="G101" s="44">
        <v>2013</v>
      </c>
      <c r="H101" s="44">
        <v>262505</v>
      </c>
      <c r="I101" s="44">
        <v>650</v>
      </c>
      <c r="J101" s="44">
        <v>120</v>
      </c>
      <c r="K101" s="44" t="s">
        <v>545</v>
      </c>
      <c r="L101" s="44" t="s">
        <v>552</v>
      </c>
      <c r="M101" s="44">
        <v>67</v>
      </c>
      <c r="N101" s="44">
        <v>2013</v>
      </c>
      <c r="O101" s="44">
        <v>94681</v>
      </c>
      <c r="P101" s="44">
        <v>474734</v>
      </c>
      <c r="Q101" s="44">
        <v>94</v>
      </c>
      <c r="R101" s="44">
        <v>1251.735812223332</v>
      </c>
      <c r="S101" s="44">
        <v>-57.833780977161418</v>
      </c>
      <c r="T101" s="44">
        <v>-4.6202865183218744</v>
      </c>
      <c r="U101" s="44">
        <v>-61.525298911873861</v>
      </c>
      <c r="V101" s="44">
        <v>8.3994202489106886</v>
      </c>
      <c r="W101" s="44">
        <v>112149</v>
      </c>
      <c r="X101" s="44">
        <v>101699</v>
      </c>
      <c r="Y101" s="44">
        <v>110241</v>
      </c>
      <c r="Z101" s="44">
        <v>44504</v>
      </c>
      <c r="AA101" s="44" t="s">
        <v>541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9C4A-B48A-4C9E-86C5-B231A6C17FD0}">
  <sheetPr>
    <tabColor rgb="FFFF0000"/>
  </sheetPr>
  <dimension ref="A1:AA201"/>
  <sheetViews>
    <sheetView workbookViewId="0">
      <pane ySplit="1" topLeftCell="A2" activePane="bottomLeft" state="frozen"/>
      <selection pane="bottomLeft"/>
    </sheetView>
  </sheetViews>
  <sheetFormatPr defaultColWidth="11.85546875" defaultRowHeight="15" x14ac:dyDescent="0.25"/>
  <cols>
    <col min="1" max="1" width="11.85546875" style="12"/>
    <col min="2" max="2" width="16.42578125" style="12" bestFit="1" customWidth="1"/>
    <col min="3" max="3" width="13.140625" style="12" bestFit="1" customWidth="1"/>
    <col min="4" max="4" width="19.42578125" style="12" customWidth="1"/>
    <col min="5" max="5" width="17.140625" style="12" customWidth="1"/>
    <col min="6" max="6" width="12.42578125" style="12" customWidth="1"/>
    <col min="7" max="7" width="12.7109375" style="12" customWidth="1"/>
    <col min="8" max="8" width="13.42578125" style="12" customWidth="1"/>
    <col min="9" max="9" width="15.28515625" style="12" customWidth="1"/>
    <col min="10" max="10" width="16.85546875" style="12" customWidth="1"/>
    <col min="11" max="11" width="16" style="12" customWidth="1"/>
    <col min="12" max="12" width="20.5703125" style="12" customWidth="1"/>
    <col min="13" max="13" width="17.42578125" style="12" customWidth="1"/>
    <col min="14" max="19" width="13.28515625" style="12" customWidth="1"/>
    <col min="20" max="20" width="17.140625" style="12" customWidth="1"/>
    <col min="21" max="21" width="14.7109375" style="12" customWidth="1"/>
    <col min="22" max="22" width="21" style="12" customWidth="1"/>
    <col min="23" max="23" width="20.7109375" style="12" customWidth="1"/>
    <col min="24" max="24" width="13.140625" style="12" bestFit="1" customWidth="1"/>
    <col min="25" max="25" width="19.7109375" style="12" bestFit="1" customWidth="1"/>
    <col min="26" max="26" width="16.42578125" style="12" customWidth="1"/>
    <col min="27" max="27" width="17.28515625" style="12" customWidth="1"/>
    <col min="28" max="16384" width="11.85546875" style="12"/>
  </cols>
  <sheetData>
    <row r="1" spans="1:27" x14ac:dyDescent="0.25">
      <c r="A1" s="12" t="s">
        <v>0</v>
      </c>
      <c r="B1" s="12" t="s">
        <v>675</v>
      </c>
      <c r="C1" s="12" t="s">
        <v>509</v>
      </c>
      <c r="D1" s="12" t="s">
        <v>676</v>
      </c>
      <c r="E1" s="12" t="s">
        <v>677</v>
      </c>
      <c r="F1" s="12" t="s">
        <v>678</v>
      </c>
      <c r="G1" s="12" t="s">
        <v>512</v>
      </c>
      <c r="H1" s="12" t="s">
        <v>514</v>
      </c>
      <c r="I1" s="12" t="s">
        <v>679</v>
      </c>
      <c r="J1" s="12" t="s">
        <v>680</v>
      </c>
      <c r="K1" s="12" t="s">
        <v>681</v>
      </c>
      <c r="L1" s="12" t="s">
        <v>682</v>
      </c>
      <c r="M1" s="12" t="s">
        <v>683</v>
      </c>
      <c r="N1" s="12" t="s">
        <v>684</v>
      </c>
      <c r="O1" s="12" t="s">
        <v>685</v>
      </c>
      <c r="P1" s="12" t="s">
        <v>686</v>
      </c>
      <c r="Q1" s="12" t="s">
        <v>529</v>
      </c>
      <c r="R1" s="12" t="s">
        <v>530</v>
      </c>
      <c r="S1" s="12" t="s">
        <v>531</v>
      </c>
      <c r="T1" s="12" t="s">
        <v>687</v>
      </c>
      <c r="U1" s="12" t="s">
        <v>688</v>
      </c>
      <c r="V1" s="12" t="s">
        <v>689</v>
      </c>
      <c r="W1" s="12" t="s">
        <v>526</v>
      </c>
      <c r="X1" s="12" t="s">
        <v>690</v>
      </c>
      <c r="Y1" s="12" t="s">
        <v>691</v>
      </c>
      <c r="Z1" s="12" t="s">
        <v>44</v>
      </c>
      <c r="AA1" s="12" t="s">
        <v>533</v>
      </c>
    </row>
    <row r="2" spans="1:27" x14ac:dyDescent="0.25">
      <c r="A2" s="37">
        <v>1</v>
      </c>
      <c r="B2" s="37" t="s">
        <v>692</v>
      </c>
      <c r="C2" s="37" t="s">
        <v>693</v>
      </c>
      <c r="D2" s="37">
        <v>2007</v>
      </c>
      <c r="E2" s="37">
        <v>14.8</v>
      </c>
      <c r="F2" s="37">
        <v>2008095</v>
      </c>
      <c r="G2" s="37">
        <v>800</v>
      </c>
      <c r="H2" s="37" t="s">
        <v>694</v>
      </c>
      <c r="I2" s="37" t="s">
        <v>538</v>
      </c>
      <c r="J2" s="37" t="s">
        <v>695</v>
      </c>
      <c r="K2" s="37">
        <v>2</v>
      </c>
      <c r="L2" s="37">
        <v>4</v>
      </c>
      <c r="M2" s="37">
        <v>10.6</v>
      </c>
      <c r="N2" s="37">
        <v>20608</v>
      </c>
      <c r="O2" s="37">
        <v>17456</v>
      </c>
      <c r="P2" s="37">
        <v>13979</v>
      </c>
      <c r="Q2" s="37">
        <v>14232</v>
      </c>
      <c r="R2" s="37">
        <v>12009</v>
      </c>
      <c r="S2" s="37">
        <v>13195</v>
      </c>
      <c r="T2" s="37">
        <v>91479</v>
      </c>
      <c r="U2" s="37">
        <v>18369.851999999999</v>
      </c>
      <c r="V2" s="37">
        <v>-642.94500000000005</v>
      </c>
      <c r="W2" s="37">
        <v>-3.5</v>
      </c>
      <c r="X2" s="37" t="s">
        <v>696</v>
      </c>
      <c r="Y2" s="37" t="s">
        <v>697</v>
      </c>
      <c r="Z2" s="37" t="s">
        <v>698</v>
      </c>
      <c r="AA2" s="37" t="s">
        <v>546</v>
      </c>
    </row>
    <row r="3" spans="1:27" x14ac:dyDescent="0.25">
      <c r="A3" s="37">
        <v>2</v>
      </c>
      <c r="B3" s="37" t="s">
        <v>699</v>
      </c>
      <c r="C3" s="37" t="s">
        <v>700</v>
      </c>
      <c r="D3" s="37">
        <v>2009</v>
      </c>
      <c r="E3" s="37">
        <v>15.3</v>
      </c>
      <c r="F3" s="37">
        <v>389070</v>
      </c>
      <c r="G3" s="37">
        <v>1598</v>
      </c>
      <c r="H3" s="37" t="s">
        <v>701</v>
      </c>
      <c r="I3" s="37" t="s">
        <v>538</v>
      </c>
      <c r="J3" s="37" t="s">
        <v>702</v>
      </c>
      <c r="K3" s="37">
        <v>0</v>
      </c>
      <c r="L3" s="37">
        <v>6</v>
      </c>
      <c r="M3" s="37">
        <v>17</v>
      </c>
      <c r="N3" s="37">
        <v>45386</v>
      </c>
      <c r="O3" s="37">
        <v>53596</v>
      </c>
      <c r="P3" s="37">
        <v>48420</v>
      </c>
      <c r="Q3" s="37">
        <v>53477</v>
      </c>
      <c r="R3" s="37">
        <v>56874</v>
      </c>
      <c r="S3" s="37">
        <v>68514</v>
      </c>
      <c r="T3" s="37">
        <v>326267</v>
      </c>
      <c r="U3" s="37">
        <v>12694.07</v>
      </c>
      <c r="V3" s="37">
        <v>672.78599999999994</v>
      </c>
      <c r="W3" s="37">
        <v>5.3</v>
      </c>
      <c r="X3" s="37" t="s">
        <v>703</v>
      </c>
      <c r="Y3" s="37" t="s">
        <v>542</v>
      </c>
      <c r="Z3" s="37" t="s">
        <v>704</v>
      </c>
      <c r="AA3" s="37" t="s">
        <v>63</v>
      </c>
    </row>
    <row r="4" spans="1:27" x14ac:dyDescent="0.25">
      <c r="A4" s="37">
        <v>3</v>
      </c>
      <c r="B4" s="37" t="s">
        <v>705</v>
      </c>
      <c r="C4" s="37" t="s">
        <v>706</v>
      </c>
      <c r="D4" s="37">
        <v>2021</v>
      </c>
      <c r="E4" s="37">
        <v>17.600000000000001</v>
      </c>
      <c r="F4" s="37">
        <v>3103767</v>
      </c>
      <c r="G4" s="37">
        <v>2498</v>
      </c>
      <c r="H4" s="37" t="s">
        <v>707</v>
      </c>
      <c r="I4" s="37" t="s">
        <v>544</v>
      </c>
      <c r="J4" s="37" t="s">
        <v>708</v>
      </c>
      <c r="K4" s="37">
        <v>5</v>
      </c>
      <c r="L4" s="37">
        <v>4</v>
      </c>
      <c r="M4" s="37">
        <v>37</v>
      </c>
      <c r="N4" s="37">
        <v>8331</v>
      </c>
      <c r="O4" s="37">
        <v>7515</v>
      </c>
      <c r="P4" s="37">
        <v>7481</v>
      </c>
      <c r="Q4" s="37">
        <v>6258</v>
      </c>
      <c r="R4" s="37">
        <v>6435</v>
      </c>
      <c r="S4" s="37">
        <v>6992</v>
      </c>
      <c r="T4" s="37">
        <v>43012</v>
      </c>
      <c r="U4" s="37">
        <v>13349.923000000001</v>
      </c>
      <c r="V4" s="37">
        <v>814.34500000000003</v>
      </c>
      <c r="W4" s="37">
        <v>6.1</v>
      </c>
      <c r="X4" s="37" t="s">
        <v>709</v>
      </c>
      <c r="Y4" s="37" t="s">
        <v>710</v>
      </c>
      <c r="Z4" s="37" t="s">
        <v>711</v>
      </c>
      <c r="AA4" s="37" t="s">
        <v>546</v>
      </c>
    </row>
    <row r="5" spans="1:27" x14ac:dyDescent="0.25">
      <c r="A5" s="37">
        <v>4</v>
      </c>
      <c r="B5" s="37" t="s">
        <v>712</v>
      </c>
      <c r="C5" s="37" t="s">
        <v>713</v>
      </c>
      <c r="D5" s="37">
        <v>2016</v>
      </c>
      <c r="E5" s="37">
        <v>17.3</v>
      </c>
      <c r="F5" s="37">
        <v>1261039</v>
      </c>
      <c r="G5" s="37">
        <v>2498</v>
      </c>
      <c r="H5" s="37" t="s">
        <v>714</v>
      </c>
      <c r="I5" s="37" t="s">
        <v>544</v>
      </c>
      <c r="J5" s="37" t="s">
        <v>715</v>
      </c>
      <c r="K5" s="37">
        <v>5</v>
      </c>
      <c r="L5" s="37">
        <v>6</v>
      </c>
      <c r="M5" s="37">
        <v>39.700000000000003</v>
      </c>
      <c r="N5" s="37">
        <v>4767</v>
      </c>
      <c r="O5" s="37">
        <v>6094</v>
      </c>
      <c r="P5" s="37">
        <v>6794</v>
      </c>
      <c r="Q5" s="37">
        <v>6227</v>
      </c>
      <c r="R5" s="37">
        <v>6487</v>
      </c>
      <c r="S5" s="37">
        <v>5765</v>
      </c>
      <c r="T5" s="37">
        <v>36134</v>
      </c>
      <c r="U5" s="37">
        <v>4556.6379999999999</v>
      </c>
      <c r="V5" s="37">
        <v>1353.3209999999999</v>
      </c>
      <c r="W5" s="37">
        <v>29.7</v>
      </c>
      <c r="X5" s="37" t="s">
        <v>716</v>
      </c>
      <c r="Y5" s="37" t="s">
        <v>717</v>
      </c>
      <c r="Z5" s="37" t="s">
        <v>718</v>
      </c>
      <c r="AA5" s="37" t="s">
        <v>63</v>
      </c>
    </row>
    <row r="6" spans="1:27" x14ac:dyDescent="0.25">
      <c r="A6" s="37">
        <v>5</v>
      </c>
      <c r="B6" s="37" t="s">
        <v>719</v>
      </c>
      <c r="C6" s="37" t="s">
        <v>720</v>
      </c>
      <c r="D6" s="37">
        <v>2011</v>
      </c>
      <c r="E6" s="37">
        <v>14.6</v>
      </c>
      <c r="F6" s="37">
        <v>388117</v>
      </c>
      <c r="G6" s="37">
        <v>1498</v>
      </c>
      <c r="H6" s="37" t="s">
        <v>714</v>
      </c>
      <c r="I6" s="37" t="s">
        <v>538</v>
      </c>
      <c r="J6" s="37" t="s">
        <v>702</v>
      </c>
      <c r="K6" s="37">
        <v>5</v>
      </c>
      <c r="L6" s="37">
        <v>7</v>
      </c>
      <c r="M6" s="37">
        <v>5</v>
      </c>
      <c r="N6" s="37">
        <v>12331</v>
      </c>
      <c r="O6" s="37">
        <v>13862</v>
      </c>
      <c r="P6" s="37">
        <v>11664</v>
      </c>
      <c r="Q6" s="37">
        <v>14565</v>
      </c>
      <c r="R6" s="37">
        <v>17446</v>
      </c>
      <c r="S6" s="37">
        <v>17249</v>
      </c>
      <c r="T6" s="37">
        <v>87117</v>
      </c>
      <c r="U6" s="37">
        <v>3381.1590000000001</v>
      </c>
      <c r="V6" s="37">
        <v>463.21899999999999</v>
      </c>
      <c r="W6" s="37">
        <v>13.7</v>
      </c>
      <c r="X6" s="37" t="s">
        <v>721</v>
      </c>
      <c r="Y6" s="37" t="s">
        <v>722</v>
      </c>
      <c r="Z6" s="37" t="s">
        <v>723</v>
      </c>
      <c r="AA6" s="37" t="s">
        <v>541</v>
      </c>
    </row>
    <row r="7" spans="1:27" x14ac:dyDescent="0.25">
      <c r="A7" s="37">
        <v>6</v>
      </c>
      <c r="B7" s="37" t="s">
        <v>724</v>
      </c>
      <c r="C7" s="37" t="s">
        <v>725</v>
      </c>
      <c r="D7" s="37">
        <v>2006</v>
      </c>
      <c r="E7" s="37">
        <v>20.100000000000001</v>
      </c>
      <c r="F7" s="37">
        <v>3449146</v>
      </c>
      <c r="G7" s="37">
        <v>1598</v>
      </c>
      <c r="H7" s="37" t="s">
        <v>726</v>
      </c>
      <c r="I7" s="37" t="s">
        <v>538</v>
      </c>
      <c r="J7" s="37" t="s">
        <v>708</v>
      </c>
      <c r="K7" s="37">
        <v>3</v>
      </c>
      <c r="L7" s="37">
        <v>4</v>
      </c>
      <c r="M7" s="37">
        <v>30.1</v>
      </c>
      <c r="N7" s="37">
        <v>13905</v>
      </c>
      <c r="O7" s="37">
        <v>15398</v>
      </c>
      <c r="P7" s="37">
        <v>15183</v>
      </c>
      <c r="Q7" s="37">
        <v>13930</v>
      </c>
      <c r="R7" s="37">
        <v>11689</v>
      </c>
      <c r="S7" s="37">
        <v>14487</v>
      </c>
      <c r="T7" s="37">
        <v>84592</v>
      </c>
      <c r="U7" s="37">
        <v>29177.016</v>
      </c>
      <c r="V7" s="37">
        <v>-1137.904</v>
      </c>
      <c r="W7" s="37">
        <v>-3.9</v>
      </c>
      <c r="X7" s="37" t="s">
        <v>727</v>
      </c>
      <c r="Y7" s="37" t="s">
        <v>728</v>
      </c>
      <c r="Z7" s="37" t="s">
        <v>729</v>
      </c>
      <c r="AA7" s="37" t="s">
        <v>63</v>
      </c>
    </row>
    <row r="8" spans="1:27" x14ac:dyDescent="0.25">
      <c r="A8" s="37">
        <v>7</v>
      </c>
      <c r="B8" s="37" t="s">
        <v>730</v>
      </c>
      <c r="C8" s="37" t="s">
        <v>731</v>
      </c>
      <c r="D8" s="37">
        <v>2016</v>
      </c>
      <c r="E8" s="37">
        <v>19.600000000000001</v>
      </c>
      <c r="F8" s="37">
        <v>830453</v>
      </c>
      <c r="G8" s="37">
        <v>1498</v>
      </c>
      <c r="H8" s="37" t="s">
        <v>701</v>
      </c>
      <c r="I8" s="37" t="s">
        <v>538</v>
      </c>
      <c r="J8" s="37" t="s">
        <v>708</v>
      </c>
      <c r="K8" s="37">
        <v>4</v>
      </c>
      <c r="L8" s="37">
        <v>7</v>
      </c>
      <c r="M8" s="37">
        <v>20.100000000000001</v>
      </c>
      <c r="N8" s="37">
        <v>13804</v>
      </c>
      <c r="O8" s="37">
        <v>9833</v>
      </c>
      <c r="P8" s="37">
        <v>10077</v>
      </c>
      <c r="Q8" s="37">
        <v>11782</v>
      </c>
      <c r="R8" s="37">
        <v>13667</v>
      </c>
      <c r="S8" s="37">
        <v>15792</v>
      </c>
      <c r="T8" s="37">
        <v>74955</v>
      </c>
      <c r="U8" s="37">
        <v>6224.66</v>
      </c>
      <c r="V8" s="37">
        <v>634.91499999999996</v>
      </c>
      <c r="W8" s="37">
        <v>10.199999999999999</v>
      </c>
      <c r="X8" s="37" t="s">
        <v>703</v>
      </c>
      <c r="Y8" s="37" t="s">
        <v>732</v>
      </c>
      <c r="Z8" s="37" t="s">
        <v>733</v>
      </c>
      <c r="AA8" s="37" t="s">
        <v>63</v>
      </c>
    </row>
    <row r="9" spans="1:27" x14ac:dyDescent="0.25">
      <c r="A9" s="37">
        <v>8</v>
      </c>
      <c r="B9" s="37" t="s">
        <v>734</v>
      </c>
      <c r="C9" s="37" t="s">
        <v>735</v>
      </c>
      <c r="D9" s="37">
        <v>2022</v>
      </c>
      <c r="E9" s="37">
        <v>16.2</v>
      </c>
      <c r="F9" s="37">
        <v>876177</v>
      </c>
      <c r="G9" s="37">
        <v>1000</v>
      </c>
      <c r="H9" s="37" t="s">
        <v>701</v>
      </c>
      <c r="I9" s="37" t="s">
        <v>736</v>
      </c>
      <c r="J9" s="37" t="s">
        <v>708</v>
      </c>
      <c r="K9" s="37">
        <v>4</v>
      </c>
      <c r="L9" s="37">
        <v>6</v>
      </c>
      <c r="M9" s="37">
        <v>8.1999999999999993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12</v>
      </c>
      <c r="X9" s="37" t="s">
        <v>709</v>
      </c>
      <c r="Y9" s="37" t="s">
        <v>710</v>
      </c>
      <c r="Z9" s="37" t="s">
        <v>737</v>
      </c>
      <c r="AA9" s="37" t="s">
        <v>546</v>
      </c>
    </row>
    <row r="10" spans="1:27" x14ac:dyDescent="0.25">
      <c r="A10" s="37">
        <v>9</v>
      </c>
      <c r="B10" s="37" t="s">
        <v>738</v>
      </c>
      <c r="C10" s="37" t="s">
        <v>739</v>
      </c>
      <c r="D10" s="37">
        <v>2013</v>
      </c>
      <c r="E10" s="37">
        <v>14.2</v>
      </c>
      <c r="F10" s="37">
        <v>2668206</v>
      </c>
      <c r="G10" s="37">
        <v>2997</v>
      </c>
      <c r="H10" s="37" t="s">
        <v>726</v>
      </c>
      <c r="I10" s="37" t="s">
        <v>538</v>
      </c>
      <c r="J10" s="37" t="s">
        <v>708</v>
      </c>
      <c r="K10" s="37">
        <v>4</v>
      </c>
      <c r="L10" s="37">
        <v>5</v>
      </c>
      <c r="M10" s="37">
        <v>32.5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8.1999999999999993</v>
      </c>
      <c r="X10" s="37" t="s">
        <v>709</v>
      </c>
      <c r="Y10" s="37" t="s">
        <v>710</v>
      </c>
      <c r="Z10" s="37" t="s">
        <v>740</v>
      </c>
      <c r="AA10" s="37" t="s">
        <v>63</v>
      </c>
    </row>
    <row r="11" spans="1:27" x14ac:dyDescent="0.25">
      <c r="A11" s="37">
        <v>10</v>
      </c>
      <c r="B11" s="37" t="s">
        <v>738</v>
      </c>
      <c r="C11" s="37" t="s">
        <v>741</v>
      </c>
      <c r="D11" s="37">
        <v>2024</v>
      </c>
      <c r="E11" s="37">
        <v>16.2</v>
      </c>
      <c r="F11" s="37">
        <v>2373976</v>
      </c>
      <c r="G11" s="37">
        <v>2997</v>
      </c>
      <c r="H11" s="37" t="s">
        <v>707</v>
      </c>
      <c r="I11" s="37" t="s">
        <v>736</v>
      </c>
      <c r="J11" s="37" t="s">
        <v>695</v>
      </c>
      <c r="K11" s="37">
        <v>3</v>
      </c>
      <c r="L11" s="37">
        <v>6</v>
      </c>
      <c r="M11" s="37">
        <v>38.5</v>
      </c>
      <c r="N11" s="37">
        <v>18259</v>
      </c>
      <c r="O11" s="37">
        <v>22156</v>
      </c>
      <c r="P11" s="37">
        <v>21219</v>
      </c>
      <c r="Q11" s="37">
        <v>19273</v>
      </c>
      <c r="R11" s="37">
        <v>19745</v>
      </c>
      <c r="S11" s="37">
        <v>23807</v>
      </c>
      <c r="T11" s="37">
        <v>124459</v>
      </c>
      <c r="U11" s="37">
        <v>29546.268</v>
      </c>
      <c r="V11" s="37">
        <v>265.916</v>
      </c>
      <c r="W11" s="37">
        <v>0.9</v>
      </c>
      <c r="X11" s="37" t="s">
        <v>742</v>
      </c>
      <c r="Y11" s="37" t="s">
        <v>743</v>
      </c>
      <c r="Z11" s="37" t="s">
        <v>744</v>
      </c>
      <c r="AA11" s="37" t="s">
        <v>546</v>
      </c>
    </row>
    <row r="12" spans="1:27" x14ac:dyDescent="0.25">
      <c r="A12" s="37">
        <v>11</v>
      </c>
      <c r="B12" s="37" t="s">
        <v>745</v>
      </c>
      <c r="C12" s="37" t="s">
        <v>746</v>
      </c>
      <c r="D12" s="37">
        <v>2013</v>
      </c>
      <c r="E12" s="37">
        <v>25.4</v>
      </c>
      <c r="F12" s="37">
        <v>1033494</v>
      </c>
      <c r="G12" s="37">
        <v>1598</v>
      </c>
      <c r="H12" s="37" t="s">
        <v>726</v>
      </c>
      <c r="I12" s="37" t="s">
        <v>538</v>
      </c>
      <c r="J12" s="37" t="s">
        <v>695</v>
      </c>
      <c r="K12" s="37">
        <v>0</v>
      </c>
      <c r="L12" s="37">
        <v>6</v>
      </c>
      <c r="M12" s="37">
        <v>22.6</v>
      </c>
      <c r="N12" s="37">
        <v>24700</v>
      </c>
      <c r="O12" s="37">
        <v>22930</v>
      </c>
      <c r="P12" s="37">
        <v>25062</v>
      </c>
      <c r="Q12" s="37">
        <v>23790</v>
      </c>
      <c r="R12" s="37">
        <v>24569</v>
      </c>
      <c r="S12" s="37">
        <v>29060</v>
      </c>
      <c r="T12" s="37">
        <v>150111</v>
      </c>
      <c r="U12" s="37">
        <v>15513.882</v>
      </c>
      <c r="V12" s="37">
        <v>3009.6930000000002</v>
      </c>
      <c r="W12" s="37">
        <v>19.399999999999999</v>
      </c>
      <c r="X12" s="37" t="s">
        <v>709</v>
      </c>
      <c r="Y12" s="37" t="s">
        <v>710</v>
      </c>
      <c r="Z12" s="37" t="s">
        <v>747</v>
      </c>
      <c r="AA12" s="37" t="s">
        <v>63</v>
      </c>
    </row>
    <row r="13" spans="1:27" x14ac:dyDescent="0.25">
      <c r="A13" s="37">
        <v>12</v>
      </c>
      <c r="B13" s="37" t="s">
        <v>748</v>
      </c>
      <c r="C13" s="37" t="s">
        <v>749</v>
      </c>
      <c r="D13" s="37">
        <v>2012</v>
      </c>
      <c r="E13" s="37">
        <v>18.2</v>
      </c>
      <c r="F13" s="37">
        <v>3196033</v>
      </c>
      <c r="G13" s="37">
        <v>2997</v>
      </c>
      <c r="H13" s="37" t="s">
        <v>726</v>
      </c>
      <c r="I13" s="37" t="s">
        <v>538</v>
      </c>
      <c r="J13" s="37" t="s">
        <v>715</v>
      </c>
      <c r="K13" s="37">
        <v>1</v>
      </c>
      <c r="L13" s="37">
        <v>4</v>
      </c>
      <c r="M13" s="37">
        <v>5.7</v>
      </c>
      <c r="N13" s="37">
        <v>25865</v>
      </c>
      <c r="O13" s="37">
        <v>28351</v>
      </c>
      <c r="P13" s="37">
        <v>33082</v>
      </c>
      <c r="Q13" s="37">
        <v>34360</v>
      </c>
      <c r="R13" s="37">
        <v>28222</v>
      </c>
      <c r="S13" s="37">
        <v>36662</v>
      </c>
      <c r="T13" s="37">
        <v>186542</v>
      </c>
      <c r="U13" s="37">
        <v>59619.438999999998</v>
      </c>
      <c r="V13" s="37">
        <v>-536.57500000000005</v>
      </c>
      <c r="W13" s="37">
        <v>-0.9</v>
      </c>
      <c r="X13" s="37" t="s">
        <v>696</v>
      </c>
      <c r="Y13" s="37" t="s">
        <v>594</v>
      </c>
      <c r="Z13" s="37" t="s">
        <v>750</v>
      </c>
      <c r="AA13" s="37" t="s">
        <v>63</v>
      </c>
    </row>
    <row r="14" spans="1:27" x14ac:dyDescent="0.25">
      <c r="A14" s="37">
        <v>13</v>
      </c>
      <c r="B14" s="37" t="s">
        <v>751</v>
      </c>
      <c r="C14" s="37" t="s">
        <v>752</v>
      </c>
      <c r="D14" s="37">
        <v>2023</v>
      </c>
      <c r="E14" s="37">
        <v>15.8</v>
      </c>
      <c r="F14" s="37">
        <v>358459</v>
      </c>
      <c r="G14" s="37">
        <v>1598</v>
      </c>
      <c r="H14" s="37" t="s">
        <v>753</v>
      </c>
      <c r="I14" s="37" t="s">
        <v>736</v>
      </c>
      <c r="J14" s="37" t="s">
        <v>715</v>
      </c>
      <c r="K14" s="37">
        <v>2</v>
      </c>
      <c r="L14" s="37">
        <v>6</v>
      </c>
      <c r="M14" s="37">
        <v>10.9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21.5</v>
      </c>
      <c r="X14" s="37" t="s">
        <v>727</v>
      </c>
      <c r="Y14" s="37" t="s">
        <v>754</v>
      </c>
      <c r="Z14" s="37" t="s">
        <v>755</v>
      </c>
      <c r="AA14" s="37" t="s">
        <v>63</v>
      </c>
    </row>
    <row r="15" spans="1:27" x14ac:dyDescent="0.25">
      <c r="A15" s="37">
        <v>14</v>
      </c>
      <c r="B15" s="37" t="s">
        <v>748</v>
      </c>
      <c r="C15" s="37" t="s">
        <v>756</v>
      </c>
      <c r="D15" s="37">
        <v>2014</v>
      </c>
      <c r="E15" s="37">
        <v>11.7</v>
      </c>
      <c r="F15" s="37">
        <v>2513797</v>
      </c>
      <c r="G15" s="37">
        <v>1998</v>
      </c>
      <c r="H15" s="37" t="s">
        <v>701</v>
      </c>
      <c r="I15" s="37" t="s">
        <v>538</v>
      </c>
      <c r="J15" s="37" t="s">
        <v>695</v>
      </c>
      <c r="K15" s="37">
        <v>1</v>
      </c>
      <c r="L15" s="37">
        <v>8</v>
      </c>
      <c r="M15" s="37">
        <v>37.9</v>
      </c>
      <c r="N15" s="37">
        <v>40589</v>
      </c>
      <c r="O15" s="37">
        <v>30062</v>
      </c>
      <c r="P15" s="37">
        <v>38169</v>
      </c>
      <c r="Q15" s="37">
        <v>38291</v>
      </c>
      <c r="R15" s="37">
        <v>45786</v>
      </c>
      <c r="S15" s="37">
        <v>39168</v>
      </c>
      <c r="T15" s="37">
        <v>232065</v>
      </c>
      <c r="U15" s="37">
        <v>58336.43</v>
      </c>
      <c r="V15" s="37">
        <v>8458.7819999999992</v>
      </c>
      <c r="W15" s="37">
        <v>14.5</v>
      </c>
      <c r="X15" s="37" t="s">
        <v>721</v>
      </c>
      <c r="Y15" s="37" t="s">
        <v>722</v>
      </c>
      <c r="Z15" s="37" t="s">
        <v>757</v>
      </c>
      <c r="AA15" s="37" t="s">
        <v>63</v>
      </c>
    </row>
    <row r="16" spans="1:27" x14ac:dyDescent="0.25">
      <c r="A16" s="37">
        <v>15</v>
      </c>
      <c r="B16" s="37" t="s">
        <v>758</v>
      </c>
      <c r="C16" s="37" t="s">
        <v>759</v>
      </c>
      <c r="D16" s="37">
        <v>2011</v>
      </c>
      <c r="E16" s="37">
        <v>27.6</v>
      </c>
      <c r="F16" s="37">
        <v>1187640</v>
      </c>
      <c r="G16" s="37">
        <v>800</v>
      </c>
      <c r="H16" s="37" t="s">
        <v>753</v>
      </c>
      <c r="I16" s="37" t="s">
        <v>544</v>
      </c>
      <c r="J16" s="37" t="s">
        <v>715</v>
      </c>
      <c r="K16" s="37">
        <v>3</v>
      </c>
      <c r="L16" s="37">
        <v>4</v>
      </c>
      <c r="M16" s="37">
        <v>5.4</v>
      </c>
      <c r="N16" s="37">
        <v>16013</v>
      </c>
      <c r="O16" s="37">
        <v>11611</v>
      </c>
      <c r="P16" s="37">
        <v>14754</v>
      </c>
      <c r="Q16" s="37">
        <v>17194</v>
      </c>
      <c r="R16" s="37">
        <v>21313</v>
      </c>
      <c r="S16" s="37">
        <v>21693</v>
      </c>
      <c r="T16" s="37">
        <v>102578</v>
      </c>
      <c r="U16" s="37">
        <v>12182.574000000001</v>
      </c>
      <c r="V16" s="37">
        <v>548.21600000000001</v>
      </c>
      <c r="W16" s="37">
        <v>4.5</v>
      </c>
      <c r="X16" s="37" t="s">
        <v>742</v>
      </c>
      <c r="Y16" s="37" t="s">
        <v>743</v>
      </c>
      <c r="Z16" s="37" t="s">
        <v>760</v>
      </c>
      <c r="AA16" s="37" t="s">
        <v>63</v>
      </c>
    </row>
    <row r="17" spans="1:27" x14ac:dyDescent="0.25">
      <c r="A17" s="37">
        <v>16</v>
      </c>
      <c r="B17" s="37" t="s">
        <v>761</v>
      </c>
      <c r="C17" s="37" t="s">
        <v>762</v>
      </c>
      <c r="D17" s="37">
        <v>2021</v>
      </c>
      <c r="E17" s="37">
        <v>23.5</v>
      </c>
      <c r="F17" s="37">
        <v>408910</v>
      </c>
      <c r="G17" s="37">
        <v>1197</v>
      </c>
      <c r="H17" s="37" t="s">
        <v>694</v>
      </c>
      <c r="I17" s="37" t="s">
        <v>538</v>
      </c>
      <c r="J17" s="37" t="s">
        <v>708</v>
      </c>
      <c r="K17" s="37">
        <v>4</v>
      </c>
      <c r="L17" s="37">
        <v>7</v>
      </c>
      <c r="M17" s="37">
        <v>18.7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11.1</v>
      </c>
      <c r="X17" s="37" t="s">
        <v>763</v>
      </c>
      <c r="Y17" s="37" t="s">
        <v>764</v>
      </c>
      <c r="Z17" s="37" t="s">
        <v>765</v>
      </c>
      <c r="AA17" s="37" t="s">
        <v>63</v>
      </c>
    </row>
    <row r="18" spans="1:27" x14ac:dyDescent="0.25">
      <c r="A18" s="37">
        <v>17</v>
      </c>
      <c r="B18" s="37" t="s">
        <v>712</v>
      </c>
      <c r="C18" s="37" t="s">
        <v>713</v>
      </c>
      <c r="D18" s="37">
        <v>2019</v>
      </c>
      <c r="E18" s="37">
        <v>16.399999999999999</v>
      </c>
      <c r="F18" s="37">
        <v>2484696</v>
      </c>
      <c r="G18" s="37">
        <v>1498</v>
      </c>
      <c r="H18" s="37" t="s">
        <v>753</v>
      </c>
      <c r="I18" s="37" t="s">
        <v>538</v>
      </c>
      <c r="J18" s="37" t="s">
        <v>715</v>
      </c>
      <c r="K18" s="37">
        <v>0</v>
      </c>
      <c r="L18" s="37">
        <v>8</v>
      </c>
      <c r="M18" s="37">
        <v>34</v>
      </c>
      <c r="N18" s="37">
        <v>15506</v>
      </c>
      <c r="O18" s="37">
        <v>13876</v>
      </c>
      <c r="P18" s="37">
        <v>11675</v>
      </c>
      <c r="Q18" s="37">
        <v>13243</v>
      </c>
      <c r="R18" s="37">
        <v>16945</v>
      </c>
      <c r="S18" s="37">
        <v>15079</v>
      </c>
      <c r="T18" s="37">
        <v>86324</v>
      </c>
      <c r="U18" s="37">
        <v>21448.89</v>
      </c>
      <c r="V18" s="37">
        <v>-321.733</v>
      </c>
      <c r="W18" s="37">
        <v>-1.5</v>
      </c>
      <c r="X18" s="37" t="s">
        <v>716</v>
      </c>
      <c r="Y18" s="37" t="s">
        <v>766</v>
      </c>
      <c r="Z18" s="37" t="s">
        <v>767</v>
      </c>
      <c r="AA18" s="37" t="s">
        <v>63</v>
      </c>
    </row>
    <row r="19" spans="1:27" x14ac:dyDescent="0.25">
      <c r="A19" s="37">
        <v>18</v>
      </c>
      <c r="B19" s="37" t="s">
        <v>699</v>
      </c>
      <c r="C19" s="37" t="s">
        <v>768</v>
      </c>
      <c r="D19" s="37">
        <v>2006</v>
      </c>
      <c r="E19" s="37">
        <v>12.6</v>
      </c>
      <c r="F19" s="37">
        <v>711928</v>
      </c>
      <c r="G19" s="37">
        <v>1998</v>
      </c>
      <c r="H19" s="37" t="s">
        <v>694</v>
      </c>
      <c r="I19" s="37" t="s">
        <v>544</v>
      </c>
      <c r="J19" s="37" t="s">
        <v>702</v>
      </c>
      <c r="K19" s="37">
        <v>0</v>
      </c>
      <c r="L19" s="37">
        <v>4</v>
      </c>
      <c r="M19" s="37">
        <v>10.3</v>
      </c>
      <c r="N19" s="37">
        <v>3194</v>
      </c>
      <c r="O19" s="37">
        <v>3119</v>
      </c>
      <c r="P19" s="37">
        <v>2636</v>
      </c>
      <c r="Q19" s="37">
        <v>2989</v>
      </c>
      <c r="R19" s="37">
        <v>2927</v>
      </c>
      <c r="S19" s="37">
        <v>3740</v>
      </c>
      <c r="T19" s="37">
        <v>18605</v>
      </c>
      <c r="U19" s="37">
        <v>1324.5419999999999</v>
      </c>
      <c r="V19" s="37">
        <v>311.267</v>
      </c>
      <c r="W19" s="37">
        <v>23.5</v>
      </c>
      <c r="X19" s="37" t="s">
        <v>709</v>
      </c>
      <c r="Y19" s="37" t="s">
        <v>578</v>
      </c>
      <c r="Z19" s="37" t="s">
        <v>769</v>
      </c>
      <c r="AA19" s="37" t="s">
        <v>63</v>
      </c>
    </row>
    <row r="20" spans="1:27" x14ac:dyDescent="0.25">
      <c r="A20" s="37">
        <v>19</v>
      </c>
      <c r="B20" s="37" t="s">
        <v>719</v>
      </c>
      <c r="C20" s="37" t="s">
        <v>770</v>
      </c>
      <c r="D20" s="37">
        <v>2010</v>
      </c>
      <c r="E20" s="37">
        <v>15.3</v>
      </c>
      <c r="F20" s="37">
        <v>340019</v>
      </c>
      <c r="G20" s="37">
        <v>1598</v>
      </c>
      <c r="H20" s="37" t="s">
        <v>726</v>
      </c>
      <c r="I20" s="37" t="s">
        <v>771</v>
      </c>
      <c r="J20" s="37" t="s">
        <v>715</v>
      </c>
      <c r="K20" s="37">
        <v>0</v>
      </c>
      <c r="L20" s="37">
        <v>8</v>
      </c>
      <c r="M20" s="37">
        <v>7.3</v>
      </c>
      <c r="N20" s="37">
        <v>44679</v>
      </c>
      <c r="O20" s="37">
        <v>34629</v>
      </c>
      <c r="P20" s="37">
        <v>41427</v>
      </c>
      <c r="Q20" s="37">
        <v>49401</v>
      </c>
      <c r="R20" s="37">
        <v>54457</v>
      </c>
      <c r="S20" s="37">
        <v>64461</v>
      </c>
      <c r="T20" s="37">
        <v>289054</v>
      </c>
      <c r="U20" s="37">
        <v>9828.3850000000002</v>
      </c>
      <c r="V20" s="37">
        <v>2447.268</v>
      </c>
      <c r="W20" s="37">
        <v>24.9</v>
      </c>
      <c r="X20" s="37" t="s">
        <v>727</v>
      </c>
      <c r="Y20" s="37" t="s">
        <v>728</v>
      </c>
      <c r="Z20" s="37" t="s">
        <v>772</v>
      </c>
      <c r="AA20" s="37" t="s">
        <v>541</v>
      </c>
    </row>
    <row r="21" spans="1:27" x14ac:dyDescent="0.25">
      <c r="A21" s="37">
        <v>20</v>
      </c>
      <c r="B21" s="37" t="s">
        <v>705</v>
      </c>
      <c r="C21" s="37" t="s">
        <v>706</v>
      </c>
      <c r="D21" s="37">
        <v>2016</v>
      </c>
      <c r="E21" s="37">
        <v>12.3</v>
      </c>
      <c r="F21" s="37">
        <v>2926006</v>
      </c>
      <c r="G21" s="37">
        <v>1598</v>
      </c>
      <c r="H21" s="37" t="s">
        <v>707</v>
      </c>
      <c r="I21" s="37" t="s">
        <v>736</v>
      </c>
      <c r="J21" s="37" t="s">
        <v>695</v>
      </c>
      <c r="K21" s="37">
        <v>2</v>
      </c>
      <c r="L21" s="37">
        <v>4</v>
      </c>
      <c r="M21" s="37">
        <v>33</v>
      </c>
      <c r="N21" s="37">
        <v>7494</v>
      </c>
      <c r="O21" s="37">
        <v>7522</v>
      </c>
      <c r="P21" s="37">
        <v>6028</v>
      </c>
      <c r="Q21" s="37">
        <v>5708</v>
      </c>
      <c r="R21" s="37">
        <v>5646</v>
      </c>
      <c r="S21" s="37">
        <v>5035</v>
      </c>
      <c r="T21" s="37">
        <v>37433</v>
      </c>
      <c r="U21" s="37">
        <v>10952.918</v>
      </c>
      <c r="V21" s="37">
        <v>624.31600000000003</v>
      </c>
      <c r="W21" s="37">
        <v>5.7</v>
      </c>
      <c r="X21" s="37" t="s">
        <v>773</v>
      </c>
      <c r="Y21" s="37" t="s">
        <v>774</v>
      </c>
      <c r="Z21" s="37" t="s">
        <v>775</v>
      </c>
      <c r="AA21" s="37" t="s">
        <v>63</v>
      </c>
    </row>
    <row r="22" spans="1:27" x14ac:dyDescent="0.25">
      <c r="A22" s="37">
        <v>21</v>
      </c>
      <c r="B22" s="37" t="s">
        <v>699</v>
      </c>
      <c r="C22" s="37" t="s">
        <v>776</v>
      </c>
      <c r="D22" s="37">
        <v>2011</v>
      </c>
      <c r="E22" s="37">
        <v>16.399999999999999</v>
      </c>
      <c r="F22" s="37">
        <v>3329535</v>
      </c>
      <c r="G22" s="37">
        <v>1998</v>
      </c>
      <c r="H22" s="37" t="s">
        <v>726</v>
      </c>
      <c r="I22" s="37" t="s">
        <v>736</v>
      </c>
      <c r="J22" s="37" t="s">
        <v>708</v>
      </c>
      <c r="K22" s="37">
        <v>3</v>
      </c>
      <c r="L22" s="37">
        <v>4</v>
      </c>
      <c r="M22" s="37">
        <v>14.1</v>
      </c>
      <c r="N22" s="37">
        <v>73432</v>
      </c>
      <c r="O22" s="37">
        <v>78956</v>
      </c>
      <c r="P22" s="37">
        <v>69534</v>
      </c>
      <c r="Q22" s="37">
        <v>62325</v>
      </c>
      <c r="R22" s="37">
        <v>55593</v>
      </c>
      <c r="S22" s="37">
        <v>48265</v>
      </c>
      <c r="T22" s="37">
        <v>388105</v>
      </c>
      <c r="U22" s="37">
        <v>129220.91800000001</v>
      </c>
      <c r="V22" s="37">
        <v>25456.521000000001</v>
      </c>
      <c r="W22" s="37">
        <v>19.7</v>
      </c>
      <c r="X22" s="37" t="s">
        <v>773</v>
      </c>
      <c r="Y22" s="37" t="s">
        <v>777</v>
      </c>
      <c r="Z22" s="37" t="s">
        <v>778</v>
      </c>
      <c r="AA22" s="37" t="s">
        <v>546</v>
      </c>
    </row>
    <row r="23" spans="1:27" x14ac:dyDescent="0.25">
      <c r="A23" s="37">
        <v>22</v>
      </c>
      <c r="B23" s="37" t="s">
        <v>699</v>
      </c>
      <c r="C23" s="37" t="s">
        <v>768</v>
      </c>
      <c r="D23" s="37">
        <v>2006</v>
      </c>
      <c r="E23" s="37">
        <v>16.5</v>
      </c>
      <c r="F23" s="37">
        <v>1368922</v>
      </c>
      <c r="G23" s="37">
        <v>1396</v>
      </c>
      <c r="H23" s="37" t="s">
        <v>694</v>
      </c>
      <c r="I23" s="37" t="s">
        <v>538</v>
      </c>
      <c r="J23" s="37" t="s">
        <v>695</v>
      </c>
      <c r="K23" s="37">
        <v>4</v>
      </c>
      <c r="L23" s="37">
        <v>8</v>
      </c>
      <c r="M23" s="37">
        <v>35.200000000000003</v>
      </c>
      <c r="N23" s="37">
        <v>38601</v>
      </c>
      <c r="O23" s="37">
        <v>42451</v>
      </c>
      <c r="P23" s="37">
        <v>36528</v>
      </c>
      <c r="Q23" s="37">
        <v>45958</v>
      </c>
      <c r="R23" s="37">
        <v>43359</v>
      </c>
      <c r="S23" s="37">
        <v>52052</v>
      </c>
      <c r="T23" s="37">
        <v>258949</v>
      </c>
      <c r="U23" s="37">
        <v>35448.097999999998</v>
      </c>
      <c r="V23" s="37">
        <v>8932.9210000000003</v>
      </c>
      <c r="W23" s="37">
        <v>25.2</v>
      </c>
      <c r="X23" s="37" t="s">
        <v>721</v>
      </c>
      <c r="Y23" s="37" t="s">
        <v>722</v>
      </c>
      <c r="Z23" s="37" t="s">
        <v>779</v>
      </c>
      <c r="AA23" s="37" t="s">
        <v>541</v>
      </c>
    </row>
    <row r="24" spans="1:27" x14ac:dyDescent="0.25">
      <c r="A24" s="37">
        <v>23</v>
      </c>
      <c r="B24" s="37" t="s">
        <v>738</v>
      </c>
      <c r="C24" s="37" t="s">
        <v>780</v>
      </c>
      <c r="D24" s="37">
        <v>2008</v>
      </c>
      <c r="E24" s="37">
        <v>11.8</v>
      </c>
      <c r="F24" s="37">
        <v>2897606</v>
      </c>
      <c r="G24" s="37">
        <v>1998</v>
      </c>
      <c r="H24" s="37" t="s">
        <v>694</v>
      </c>
      <c r="I24" s="37" t="s">
        <v>544</v>
      </c>
      <c r="J24" s="37" t="s">
        <v>695</v>
      </c>
      <c r="K24" s="37">
        <v>5</v>
      </c>
      <c r="L24" s="37">
        <v>5</v>
      </c>
      <c r="M24" s="37">
        <v>33.700000000000003</v>
      </c>
      <c r="N24" s="37">
        <v>30355</v>
      </c>
      <c r="O24" s="37">
        <v>25066</v>
      </c>
      <c r="P24" s="37">
        <v>31530</v>
      </c>
      <c r="Q24" s="37">
        <v>37956</v>
      </c>
      <c r="R24" s="37">
        <v>32825</v>
      </c>
      <c r="S24" s="37">
        <v>40164</v>
      </c>
      <c r="T24" s="37">
        <v>197896</v>
      </c>
      <c r="U24" s="37">
        <v>57342.464</v>
      </c>
      <c r="V24" s="37">
        <v>172.02699999999999</v>
      </c>
      <c r="W24" s="37">
        <v>0.3</v>
      </c>
      <c r="X24" s="37" t="s">
        <v>781</v>
      </c>
      <c r="Y24" s="37" t="s">
        <v>571</v>
      </c>
      <c r="Z24" s="37" t="s">
        <v>782</v>
      </c>
      <c r="AA24" s="37" t="s">
        <v>546</v>
      </c>
    </row>
    <row r="25" spans="1:27" x14ac:dyDescent="0.25">
      <c r="A25" s="37">
        <v>24</v>
      </c>
      <c r="B25" s="37" t="s">
        <v>745</v>
      </c>
      <c r="C25" s="37" t="s">
        <v>783</v>
      </c>
      <c r="D25" s="37">
        <v>2007</v>
      </c>
      <c r="E25" s="37">
        <v>12.2</v>
      </c>
      <c r="F25" s="37">
        <v>399939</v>
      </c>
      <c r="G25" s="37">
        <v>2997</v>
      </c>
      <c r="H25" s="37" t="s">
        <v>694</v>
      </c>
      <c r="I25" s="37" t="s">
        <v>538</v>
      </c>
      <c r="J25" s="37" t="s">
        <v>715</v>
      </c>
      <c r="K25" s="37">
        <v>5</v>
      </c>
      <c r="L25" s="37">
        <v>8</v>
      </c>
      <c r="M25" s="37">
        <v>30</v>
      </c>
      <c r="N25" s="37">
        <v>30390</v>
      </c>
      <c r="O25" s="37">
        <v>37228</v>
      </c>
      <c r="P25" s="37">
        <v>35578</v>
      </c>
      <c r="Q25" s="37">
        <v>38200</v>
      </c>
      <c r="R25" s="37">
        <v>43200</v>
      </c>
      <c r="S25" s="37">
        <v>56010</v>
      </c>
      <c r="T25" s="37">
        <v>240606</v>
      </c>
      <c r="U25" s="37">
        <v>9622.7720000000008</v>
      </c>
      <c r="V25" s="37">
        <v>1732.0989999999999</v>
      </c>
      <c r="W25" s="37">
        <v>18</v>
      </c>
      <c r="X25" s="37" t="s">
        <v>781</v>
      </c>
      <c r="Y25" s="37" t="s">
        <v>571</v>
      </c>
      <c r="Z25" s="37" t="s">
        <v>784</v>
      </c>
      <c r="AA25" s="37" t="s">
        <v>63</v>
      </c>
    </row>
    <row r="26" spans="1:27" x14ac:dyDescent="0.25">
      <c r="A26" s="37">
        <v>25</v>
      </c>
      <c r="B26" s="37" t="s">
        <v>758</v>
      </c>
      <c r="C26" s="37" t="s">
        <v>785</v>
      </c>
      <c r="D26" s="37">
        <v>2018</v>
      </c>
      <c r="E26" s="37">
        <v>25.6</v>
      </c>
      <c r="F26" s="37">
        <v>575407</v>
      </c>
      <c r="G26" s="37">
        <v>1197</v>
      </c>
      <c r="H26" s="37" t="s">
        <v>753</v>
      </c>
      <c r="I26" s="37" t="s">
        <v>736</v>
      </c>
      <c r="J26" s="37" t="s">
        <v>708</v>
      </c>
      <c r="K26" s="37">
        <v>0</v>
      </c>
      <c r="L26" s="37">
        <v>7</v>
      </c>
      <c r="M26" s="37">
        <v>25.2</v>
      </c>
      <c r="N26" s="37">
        <v>24584</v>
      </c>
      <c r="O26" s="37">
        <v>29262</v>
      </c>
      <c r="P26" s="37">
        <v>29759</v>
      </c>
      <c r="Q26" s="37">
        <v>31764</v>
      </c>
      <c r="R26" s="37">
        <v>31210</v>
      </c>
      <c r="S26" s="37">
        <v>39712</v>
      </c>
      <c r="T26" s="37">
        <v>186291</v>
      </c>
      <c r="U26" s="37">
        <v>10719.315000000001</v>
      </c>
      <c r="V26" s="37">
        <v>2679.8290000000002</v>
      </c>
      <c r="W26" s="37">
        <v>25</v>
      </c>
      <c r="X26" s="37" t="s">
        <v>773</v>
      </c>
      <c r="Y26" s="37" t="s">
        <v>777</v>
      </c>
      <c r="Z26" s="37" t="s">
        <v>786</v>
      </c>
      <c r="AA26" s="37" t="s">
        <v>546</v>
      </c>
    </row>
    <row r="27" spans="1:27" x14ac:dyDescent="0.25">
      <c r="A27" s="37">
        <v>26</v>
      </c>
      <c r="B27" s="37" t="s">
        <v>730</v>
      </c>
      <c r="C27" s="37" t="s">
        <v>787</v>
      </c>
      <c r="D27" s="37">
        <v>2005</v>
      </c>
      <c r="E27" s="37">
        <v>22.2</v>
      </c>
      <c r="F27" s="37">
        <v>1173391</v>
      </c>
      <c r="G27" s="37">
        <v>1197</v>
      </c>
      <c r="H27" s="37" t="s">
        <v>714</v>
      </c>
      <c r="I27" s="37" t="s">
        <v>538</v>
      </c>
      <c r="J27" s="37" t="s">
        <v>715</v>
      </c>
      <c r="K27" s="37">
        <v>3</v>
      </c>
      <c r="L27" s="37">
        <v>7</v>
      </c>
      <c r="M27" s="37">
        <v>26.5</v>
      </c>
      <c r="N27" s="37">
        <v>54126</v>
      </c>
      <c r="O27" s="37">
        <v>48727</v>
      </c>
      <c r="P27" s="37">
        <v>43426</v>
      </c>
      <c r="Q27" s="37">
        <v>49024</v>
      </c>
      <c r="R27" s="37">
        <v>63100</v>
      </c>
      <c r="S27" s="37">
        <v>71242</v>
      </c>
      <c r="T27" s="37">
        <v>329645</v>
      </c>
      <c r="U27" s="37">
        <v>38680.248</v>
      </c>
      <c r="V27" s="37">
        <v>-889.64599999999996</v>
      </c>
      <c r="W27" s="37">
        <v>-2.2999999999999998</v>
      </c>
      <c r="X27" s="37" t="s">
        <v>788</v>
      </c>
      <c r="Y27" s="37" t="s">
        <v>535</v>
      </c>
      <c r="Z27" s="37" t="s">
        <v>789</v>
      </c>
      <c r="AA27" s="37" t="s">
        <v>63</v>
      </c>
    </row>
    <row r="28" spans="1:27" x14ac:dyDescent="0.25">
      <c r="A28" s="37">
        <v>27</v>
      </c>
      <c r="B28" s="37" t="s">
        <v>719</v>
      </c>
      <c r="C28" s="37" t="s">
        <v>790</v>
      </c>
      <c r="D28" s="37">
        <v>2023</v>
      </c>
      <c r="E28" s="37">
        <v>16.600000000000001</v>
      </c>
      <c r="F28" s="37">
        <v>1566523</v>
      </c>
      <c r="G28" s="37">
        <v>1598</v>
      </c>
      <c r="H28" s="37" t="s">
        <v>714</v>
      </c>
      <c r="I28" s="37" t="s">
        <v>538</v>
      </c>
      <c r="J28" s="37" t="s">
        <v>702</v>
      </c>
      <c r="K28" s="37">
        <v>1</v>
      </c>
      <c r="L28" s="37">
        <v>8</v>
      </c>
      <c r="M28" s="37">
        <v>23.5</v>
      </c>
      <c r="N28" s="37">
        <v>1571</v>
      </c>
      <c r="O28" s="37">
        <v>2034</v>
      </c>
      <c r="P28" s="37">
        <v>2567</v>
      </c>
      <c r="Q28" s="37">
        <v>3196</v>
      </c>
      <c r="R28" s="37">
        <v>3521</v>
      </c>
      <c r="S28" s="37">
        <v>3070</v>
      </c>
      <c r="T28" s="37">
        <v>15959</v>
      </c>
      <c r="U28" s="37">
        <v>2500.0140000000001</v>
      </c>
      <c r="V28" s="37">
        <v>532.50300000000004</v>
      </c>
      <c r="W28" s="37">
        <v>21.3</v>
      </c>
      <c r="X28" s="37" t="s">
        <v>721</v>
      </c>
      <c r="Y28" s="37" t="s">
        <v>791</v>
      </c>
      <c r="Z28" s="37" t="s">
        <v>792</v>
      </c>
      <c r="AA28" s="37" t="s">
        <v>546</v>
      </c>
    </row>
    <row r="29" spans="1:27" x14ac:dyDescent="0.25">
      <c r="A29" s="37">
        <v>28</v>
      </c>
      <c r="B29" s="37" t="s">
        <v>793</v>
      </c>
      <c r="C29" s="37" t="s">
        <v>794</v>
      </c>
      <c r="D29" s="37">
        <v>2005</v>
      </c>
      <c r="E29" s="37">
        <v>15.3</v>
      </c>
      <c r="F29" s="37">
        <v>1858870</v>
      </c>
      <c r="G29" s="37">
        <v>1998</v>
      </c>
      <c r="H29" s="37" t="s">
        <v>726</v>
      </c>
      <c r="I29" s="37" t="s">
        <v>736</v>
      </c>
      <c r="J29" s="37" t="s">
        <v>695</v>
      </c>
      <c r="K29" s="37">
        <v>4</v>
      </c>
      <c r="L29" s="37">
        <v>8</v>
      </c>
      <c r="M29" s="37">
        <v>39.9</v>
      </c>
      <c r="N29" s="37">
        <v>8598</v>
      </c>
      <c r="O29" s="37">
        <v>9383</v>
      </c>
      <c r="P29" s="37">
        <v>12060</v>
      </c>
      <c r="Q29" s="37">
        <v>10846</v>
      </c>
      <c r="R29" s="37">
        <v>8891</v>
      </c>
      <c r="S29" s="37">
        <v>7345</v>
      </c>
      <c r="T29" s="37">
        <v>57123</v>
      </c>
      <c r="U29" s="37">
        <v>10618.423000000001</v>
      </c>
      <c r="V29" s="37">
        <v>-265.46100000000001</v>
      </c>
      <c r="W29" s="37">
        <v>-2.5</v>
      </c>
      <c r="X29" s="37" t="s">
        <v>696</v>
      </c>
      <c r="Y29" s="37" t="s">
        <v>697</v>
      </c>
      <c r="Z29" s="37" t="s">
        <v>795</v>
      </c>
      <c r="AA29" s="37" t="s">
        <v>546</v>
      </c>
    </row>
    <row r="30" spans="1:27" x14ac:dyDescent="0.25">
      <c r="A30" s="37">
        <v>29</v>
      </c>
      <c r="B30" s="37" t="s">
        <v>751</v>
      </c>
      <c r="C30" s="37" t="s">
        <v>796</v>
      </c>
      <c r="D30" s="37">
        <v>2012</v>
      </c>
      <c r="E30" s="37">
        <v>16.899999999999999</v>
      </c>
      <c r="F30" s="37">
        <v>2706766</v>
      </c>
      <c r="G30" s="37">
        <v>1197</v>
      </c>
      <c r="H30" s="37" t="s">
        <v>701</v>
      </c>
      <c r="I30" s="37" t="s">
        <v>736</v>
      </c>
      <c r="J30" s="37" t="s">
        <v>715</v>
      </c>
      <c r="K30" s="37">
        <v>3</v>
      </c>
      <c r="L30" s="37">
        <v>8</v>
      </c>
      <c r="M30" s="37">
        <v>31.5</v>
      </c>
      <c r="N30" s="37">
        <v>55922</v>
      </c>
      <c r="O30" s="37">
        <v>55839</v>
      </c>
      <c r="P30" s="37">
        <v>53474</v>
      </c>
      <c r="Q30" s="37">
        <v>58947</v>
      </c>
      <c r="R30" s="37">
        <v>72038</v>
      </c>
      <c r="S30" s="37">
        <v>85920</v>
      </c>
      <c r="T30" s="37">
        <v>382140</v>
      </c>
      <c r="U30" s="37">
        <v>103436.356</v>
      </c>
      <c r="V30" s="37">
        <v>27203.761999999999</v>
      </c>
      <c r="W30" s="37">
        <v>26.3</v>
      </c>
      <c r="X30" s="37" t="s">
        <v>721</v>
      </c>
      <c r="Y30" s="37" t="s">
        <v>722</v>
      </c>
      <c r="Z30" s="37" t="s">
        <v>797</v>
      </c>
      <c r="AA30" s="37" t="s">
        <v>63</v>
      </c>
    </row>
    <row r="31" spans="1:27" x14ac:dyDescent="0.25">
      <c r="A31" s="37">
        <v>30</v>
      </c>
      <c r="B31" s="37" t="s">
        <v>798</v>
      </c>
      <c r="C31" s="37" t="s">
        <v>799</v>
      </c>
      <c r="D31" s="37">
        <v>2008</v>
      </c>
      <c r="E31" s="37">
        <v>22.8</v>
      </c>
      <c r="F31" s="37">
        <v>3356791</v>
      </c>
      <c r="G31" s="37">
        <v>800</v>
      </c>
      <c r="H31" s="37" t="s">
        <v>714</v>
      </c>
      <c r="I31" s="37" t="s">
        <v>538</v>
      </c>
      <c r="J31" s="37" t="s">
        <v>708</v>
      </c>
      <c r="K31" s="37">
        <v>2</v>
      </c>
      <c r="L31" s="37">
        <v>4</v>
      </c>
      <c r="M31" s="37">
        <v>9.9</v>
      </c>
      <c r="N31" s="37">
        <v>5534</v>
      </c>
      <c r="O31" s="37">
        <v>6554</v>
      </c>
      <c r="P31" s="37">
        <v>5791</v>
      </c>
      <c r="Q31" s="37">
        <v>6618</v>
      </c>
      <c r="R31" s="37">
        <v>7757</v>
      </c>
      <c r="S31" s="37">
        <v>6899</v>
      </c>
      <c r="T31" s="37">
        <v>39153</v>
      </c>
      <c r="U31" s="37">
        <v>13142.843999999999</v>
      </c>
      <c r="V31" s="37">
        <v>1853.1410000000001</v>
      </c>
      <c r="W31" s="37">
        <v>14.1</v>
      </c>
      <c r="X31" s="37" t="s">
        <v>709</v>
      </c>
      <c r="Y31" s="37" t="s">
        <v>710</v>
      </c>
      <c r="Z31" s="37" t="s">
        <v>740</v>
      </c>
      <c r="AA31" s="37" t="s">
        <v>546</v>
      </c>
    </row>
    <row r="32" spans="1:27" x14ac:dyDescent="0.25">
      <c r="A32" s="37">
        <v>31</v>
      </c>
      <c r="B32" s="37" t="s">
        <v>758</v>
      </c>
      <c r="C32" s="37" t="s">
        <v>785</v>
      </c>
      <c r="D32" s="37">
        <v>2020</v>
      </c>
      <c r="E32" s="37">
        <v>15</v>
      </c>
      <c r="F32" s="37">
        <v>953332</v>
      </c>
      <c r="G32" s="37">
        <v>2498</v>
      </c>
      <c r="H32" s="37" t="s">
        <v>714</v>
      </c>
      <c r="I32" s="37" t="s">
        <v>538</v>
      </c>
      <c r="J32" s="37" t="s">
        <v>715</v>
      </c>
      <c r="K32" s="37">
        <v>3</v>
      </c>
      <c r="L32" s="37">
        <v>7</v>
      </c>
      <c r="M32" s="37">
        <v>18.899999999999999</v>
      </c>
      <c r="N32" s="37">
        <v>35257</v>
      </c>
      <c r="O32" s="37">
        <v>33489</v>
      </c>
      <c r="P32" s="37">
        <v>28268</v>
      </c>
      <c r="Q32" s="37">
        <v>27240</v>
      </c>
      <c r="R32" s="37">
        <v>28109</v>
      </c>
      <c r="S32" s="37">
        <v>24056</v>
      </c>
      <c r="T32" s="37">
        <v>176419</v>
      </c>
      <c r="U32" s="37">
        <v>16818.588</v>
      </c>
      <c r="V32" s="37">
        <v>3313.2620000000002</v>
      </c>
      <c r="W32" s="37">
        <v>19.7</v>
      </c>
      <c r="X32" s="37" t="s">
        <v>696</v>
      </c>
      <c r="Y32" s="37" t="s">
        <v>697</v>
      </c>
      <c r="Z32" s="37" t="s">
        <v>800</v>
      </c>
      <c r="AA32" s="37" t="s">
        <v>546</v>
      </c>
    </row>
    <row r="33" spans="1:27" x14ac:dyDescent="0.25">
      <c r="A33" s="37">
        <v>32</v>
      </c>
      <c r="B33" s="37" t="s">
        <v>705</v>
      </c>
      <c r="C33" s="37" t="s">
        <v>706</v>
      </c>
      <c r="D33" s="37">
        <v>2023</v>
      </c>
      <c r="E33" s="37">
        <v>16.100000000000001</v>
      </c>
      <c r="F33" s="37">
        <v>3215829</v>
      </c>
      <c r="G33" s="37">
        <v>1248</v>
      </c>
      <c r="H33" s="37" t="s">
        <v>707</v>
      </c>
      <c r="I33" s="37" t="s">
        <v>538</v>
      </c>
      <c r="J33" s="37" t="s">
        <v>702</v>
      </c>
      <c r="K33" s="37">
        <v>1</v>
      </c>
      <c r="L33" s="37">
        <v>7</v>
      </c>
      <c r="M33" s="37">
        <v>20</v>
      </c>
      <c r="N33" s="37">
        <v>21201</v>
      </c>
      <c r="O33" s="37">
        <v>25499</v>
      </c>
      <c r="P33" s="37">
        <v>24838</v>
      </c>
      <c r="Q33" s="37">
        <v>27930</v>
      </c>
      <c r="R33" s="37">
        <v>24090</v>
      </c>
      <c r="S33" s="37">
        <v>30768</v>
      </c>
      <c r="T33" s="37">
        <v>154326</v>
      </c>
      <c r="U33" s="37">
        <v>49628.603000000003</v>
      </c>
      <c r="V33" s="37">
        <v>3374.7449999999999</v>
      </c>
      <c r="W33" s="37">
        <v>6.8</v>
      </c>
      <c r="X33" s="37" t="s">
        <v>781</v>
      </c>
      <c r="Y33" s="37" t="s">
        <v>542</v>
      </c>
      <c r="Z33" s="37" t="s">
        <v>801</v>
      </c>
      <c r="AA33" s="37" t="s">
        <v>63</v>
      </c>
    </row>
    <row r="34" spans="1:27" x14ac:dyDescent="0.25">
      <c r="A34" s="37">
        <v>33</v>
      </c>
      <c r="B34" s="37" t="s">
        <v>692</v>
      </c>
      <c r="C34" s="37" t="s">
        <v>802</v>
      </c>
      <c r="D34" s="37">
        <v>2022</v>
      </c>
      <c r="E34" s="37">
        <v>27.6</v>
      </c>
      <c r="F34" s="37">
        <v>839126</v>
      </c>
      <c r="G34" s="37">
        <v>800</v>
      </c>
      <c r="H34" s="37" t="s">
        <v>701</v>
      </c>
      <c r="I34" s="37" t="s">
        <v>538</v>
      </c>
      <c r="J34" s="37" t="s">
        <v>702</v>
      </c>
      <c r="K34" s="37">
        <v>3</v>
      </c>
      <c r="L34" s="37">
        <v>7</v>
      </c>
      <c r="M34" s="37">
        <v>7.2</v>
      </c>
      <c r="N34" s="37">
        <v>21991</v>
      </c>
      <c r="O34" s="37">
        <v>19735</v>
      </c>
      <c r="P34" s="37">
        <v>19880</v>
      </c>
      <c r="Q34" s="37">
        <v>20757</v>
      </c>
      <c r="R34" s="37">
        <v>20714</v>
      </c>
      <c r="S34" s="37">
        <v>20290</v>
      </c>
      <c r="T34" s="37">
        <v>123367</v>
      </c>
      <c r="U34" s="37">
        <v>10352.046</v>
      </c>
      <c r="V34" s="37">
        <v>2877.8690000000001</v>
      </c>
      <c r="W34" s="37">
        <v>27.8</v>
      </c>
      <c r="X34" s="37" t="s">
        <v>773</v>
      </c>
      <c r="Y34" s="37" t="s">
        <v>803</v>
      </c>
      <c r="Z34" s="37" t="s">
        <v>804</v>
      </c>
      <c r="AA34" s="37" t="s">
        <v>63</v>
      </c>
    </row>
    <row r="35" spans="1:27" x14ac:dyDescent="0.25">
      <c r="A35" s="37">
        <v>34</v>
      </c>
      <c r="B35" s="37" t="s">
        <v>805</v>
      </c>
      <c r="C35" s="37" t="s">
        <v>806</v>
      </c>
      <c r="D35" s="37">
        <v>2010</v>
      </c>
      <c r="E35" s="37">
        <v>11.5</v>
      </c>
      <c r="F35" s="37">
        <v>1097006</v>
      </c>
      <c r="G35" s="37">
        <v>1000</v>
      </c>
      <c r="H35" s="37" t="s">
        <v>694</v>
      </c>
      <c r="I35" s="37" t="s">
        <v>544</v>
      </c>
      <c r="J35" s="37" t="s">
        <v>702</v>
      </c>
      <c r="K35" s="37">
        <v>5</v>
      </c>
      <c r="L35" s="37">
        <v>7</v>
      </c>
      <c r="M35" s="37">
        <v>38.200000000000003</v>
      </c>
      <c r="N35" s="37">
        <v>47164</v>
      </c>
      <c r="O35" s="37">
        <v>53237</v>
      </c>
      <c r="P35" s="37">
        <v>53625</v>
      </c>
      <c r="Q35" s="37">
        <v>45418</v>
      </c>
      <c r="R35" s="37">
        <v>43127</v>
      </c>
      <c r="S35" s="37">
        <v>45445</v>
      </c>
      <c r="T35" s="37">
        <v>288016</v>
      </c>
      <c r="U35" s="37">
        <v>31595.527999999998</v>
      </c>
      <c r="V35" s="37">
        <v>2401.2600000000002</v>
      </c>
      <c r="W35" s="37">
        <v>7.6</v>
      </c>
      <c r="X35" s="37" t="s">
        <v>763</v>
      </c>
      <c r="Y35" s="37" t="s">
        <v>807</v>
      </c>
      <c r="Z35" s="37" t="s">
        <v>808</v>
      </c>
      <c r="AA35" s="37" t="s">
        <v>63</v>
      </c>
    </row>
    <row r="36" spans="1:27" x14ac:dyDescent="0.25">
      <c r="A36" s="37">
        <v>35</v>
      </c>
      <c r="B36" s="37" t="s">
        <v>761</v>
      </c>
      <c r="C36" s="37" t="s">
        <v>762</v>
      </c>
      <c r="D36" s="37">
        <v>2008</v>
      </c>
      <c r="E36" s="37">
        <v>18</v>
      </c>
      <c r="F36" s="37">
        <v>413091</v>
      </c>
      <c r="G36" s="37">
        <v>2498</v>
      </c>
      <c r="H36" s="37" t="s">
        <v>726</v>
      </c>
      <c r="I36" s="37" t="s">
        <v>538</v>
      </c>
      <c r="J36" s="37" t="s">
        <v>708</v>
      </c>
      <c r="K36" s="37">
        <v>2</v>
      </c>
      <c r="L36" s="37">
        <v>6</v>
      </c>
      <c r="M36" s="37">
        <v>29.6</v>
      </c>
      <c r="N36" s="37">
        <v>45784</v>
      </c>
      <c r="O36" s="37">
        <v>41957</v>
      </c>
      <c r="P36" s="37">
        <v>44776</v>
      </c>
      <c r="Q36" s="37">
        <v>55201</v>
      </c>
      <c r="R36" s="37">
        <v>61152</v>
      </c>
      <c r="S36" s="37">
        <v>74555</v>
      </c>
      <c r="T36" s="37">
        <v>323425</v>
      </c>
      <c r="U36" s="37">
        <v>13360.396000000001</v>
      </c>
      <c r="V36" s="37">
        <v>200.40600000000001</v>
      </c>
      <c r="W36" s="37">
        <v>1.5</v>
      </c>
      <c r="X36" s="37" t="s">
        <v>709</v>
      </c>
      <c r="Y36" s="37" t="s">
        <v>710</v>
      </c>
      <c r="Z36" s="37" t="s">
        <v>747</v>
      </c>
      <c r="AA36" s="37" t="s">
        <v>63</v>
      </c>
    </row>
    <row r="37" spans="1:27" x14ac:dyDescent="0.25">
      <c r="A37" s="37">
        <v>36</v>
      </c>
      <c r="B37" s="37" t="s">
        <v>730</v>
      </c>
      <c r="C37" s="37" t="s">
        <v>809</v>
      </c>
      <c r="D37" s="37">
        <v>2011</v>
      </c>
      <c r="E37" s="37">
        <v>18.7</v>
      </c>
      <c r="F37" s="37">
        <v>2244268</v>
      </c>
      <c r="G37" s="37">
        <v>1498</v>
      </c>
      <c r="H37" s="37" t="s">
        <v>694</v>
      </c>
      <c r="I37" s="37" t="s">
        <v>736</v>
      </c>
      <c r="J37" s="37" t="s">
        <v>702</v>
      </c>
      <c r="K37" s="37">
        <v>2</v>
      </c>
      <c r="L37" s="37">
        <v>7</v>
      </c>
      <c r="M37" s="37">
        <v>30.2</v>
      </c>
      <c r="N37" s="37">
        <v>52223</v>
      </c>
      <c r="O37" s="37">
        <v>45750</v>
      </c>
      <c r="P37" s="37">
        <v>51498</v>
      </c>
      <c r="Q37" s="37">
        <v>63506</v>
      </c>
      <c r="R37" s="37">
        <v>82026</v>
      </c>
      <c r="S37" s="37">
        <v>102797</v>
      </c>
      <c r="T37" s="37">
        <v>397800</v>
      </c>
      <c r="U37" s="37">
        <v>89276.981</v>
      </c>
      <c r="V37" s="37">
        <v>14284.316999999999</v>
      </c>
      <c r="W37" s="37">
        <v>16</v>
      </c>
      <c r="X37" s="37" t="s">
        <v>696</v>
      </c>
      <c r="Y37" s="37" t="s">
        <v>697</v>
      </c>
      <c r="Z37" s="37" t="s">
        <v>810</v>
      </c>
      <c r="AA37" s="37" t="s">
        <v>63</v>
      </c>
    </row>
    <row r="38" spans="1:27" x14ac:dyDescent="0.25">
      <c r="A38" s="37">
        <v>37</v>
      </c>
      <c r="B38" s="37" t="s">
        <v>692</v>
      </c>
      <c r="C38" s="37" t="s">
        <v>811</v>
      </c>
      <c r="D38" s="37">
        <v>2018</v>
      </c>
      <c r="E38" s="37">
        <v>18</v>
      </c>
      <c r="F38" s="37">
        <v>2435879</v>
      </c>
      <c r="G38" s="37">
        <v>2997</v>
      </c>
      <c r="H38" s="37" t="s">
        <v>726</v>
      </c>
      <c r="I38" s="37" t="s">
        <v>736</v>
      </c>
      <c r="J38" s="37" t="s">
        <v>695</v>
      </c>
      <c r="K38" s="37">
        <v>1</v>
      </c>
      <c r="L38" s="37">
        <v>8</v>
      </c>
      <c r="M38" s="37">
        <v>13.3</v>
      </c>
      <c r="N38" s="37">
        <v>3235</v>
      </c>
      <c r="O38" s="37">
        <v>4162</v>
      </c>
      <c r="P38" s="37">
        <v>4543</v>
      </c>
      <c r="Q38" s="37">
        <v>4878</v>
      </c>
      <c r="R38" s="37">
        <v>4800</v>
      </c>
      <c r="S38" s="37">
        <v>5506</v>
      </c>
      <c r="T38" s="37">
        <v>27124</v>
      </c>
      <c r="U38" s="37">
        <v>6607.0780000000004</v>
      </c>
      <c r="V38" s="37">
        <v>1830.1610000000001</v>
      </c>
      <c r="W38" s="37">
        <v>27.7</v>
      </c>
      <c r="X38" s="37" t="s">
        <v>742</v>
      </c>
      <c r="Y38" s="37" t="s">
        <v>743</v>
      </c>
      <c r="Z38" s="37" t="s">
        <v>812</v>
      </c>
      <c r="AA38" s="37" t="s">
        <v>63</v>
      </c>
    </row>
    <row r="39" spans="1:27" x14ac:dyDescent="0.25">
      <c r="A39" s="37">
        <v>38</v>
      </c>
      <c r="B39" s="37" t="s">
        <v>730</v>
      </c>
      <c r="C39" s="37" t="s">
        <v>731</v>
      </c>
      <c r="D39" s="37">
        <v>2009</v>
      </c>
      <c r="E39" s="37">
        <v>18.2</v>
      </c>
      <c r="F39" s="37">
        <v>972385</v>
      </c>
      <c r="G39" s="37">
        <v>2997</v>
      </c>
      <c r="H39" s="37" t="s">
        <v>753</v>
      </c>
      <c r="I39" s="37" t="s">
        <v>736</v>
      </c>
      <c r="J39" s="37" t="s">
        <v>708</v>
      </c>
      <c r="K39" s="37">
        <v>2</v>
      </c>
      <c r="L39" s="37">
        <v>5</v>
      </c>
      <c r="M39" s="37">
        <v>25.6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-5.0999999999999996</v>
      </c>
      <c r="X39" s="37" t="s">
        <v>742</v>
      </c>
      <c r="Y39" s="37" t="s">
        <v>743</v>
      </c>
      <c r="Z39" s="37" t="s">
        <v>812</v>
      </c>
      <c r="AA39" s="37" t="s">
        <v>63</v>
      </c>
    </row>
    <row r="40" spans="1:27" x14ac:dyDescent="0.25">
      <c r="A40" s="37">
        <v>39</v>
      </c>
      <c r="B40" s="37" t="s">
        <v>805</v>
      </c>
      <c r="C40" s="37" t="s">
        <v>813</v>
      </c>
      <c r="D40" s="37">
        <v>2006</v>
      </c>
      <c r="E40" s="37">
        <v>13.9</v>
      </c>
      <c r="F40" s="37">
        <v>1757225</v>
      </c>
      <c r="G40" s="37">
        <v>1197</v>
      </c>
      <c r="H40" s="37" t="s">
        <v>694</v>
      </c>
      <c r="I40" s="37" t="s">
        <v>538</v>
      </c>
      <c r="J40" s="37" t="s">
        <v>715</v>
      </c>
      <c r="K40" s="37">
        <v>4</v>
      </c>
      <c r="L40" s="37">
        <v>8</v>
      </c>
      <c r="M40" s="37">
        <v>6.8</v>
      </c>
      <c r="N40" s="37">
        <v>13926</v>
      </c>
      <c r="O40" s="37">
        <v>13211</v>
      </c>
      <c r="P40" s="37">
        <v>11597</v>
      </c>
      <c r="Q40" s="37">
        <v>13173</v>
      </c>
      <c r="R40" s="37">
        <v>11663</v>
      </c>
      <c r="S40" s="37">
        <v>13790</v>
      </c>
      <c r="T40" s="37">
        <v>77360</v>
      </c>
      <c r="U40" s="37">
        <v>13593.893</v>
      </c>
      <c r="V40" s="37">
        <v>2025.49</v>
      </c>
      <c r="W40" s="37">
        <v>14.9</v>
      </c>
      <c r="X40" s="37" t="s">
        <v>763</v>
      </c>
      <c r="Y40" s="37" t="s">
        <v>807</v>
      </c>
      <c r="Z40" s="37" t="s">
        <v>814</v>
      </c>
      <c r="AA40" s="37" t="s">
        <v>63</v>
      </c>
    </row>
    <row r="41" spans="1:27" x14ac:dyDescent="0.25">
      <c r="A41" s="37">
        <v>40</v>
      </c>
      <c r="B41" s="37" t="s">
        <v>730</v>
      </c>
      <c r="C41" s="37" t="s">
        <v>731</v>
      </c>
      <c r="D41" s="37">
        <v>2018</v>
      </c>
      <c r="E41" s="37">
        <v>20.8</v>
      </c>
      <c r="F41" s="37">
        <v>3343074</v>
      </c>
      <c r="G41" s="37">
        <v>2997</v>
      </c>
      <c r="H41" s="37" t="s">
        <v>753</v>
      </c>
      <c r="I41" s="37" t="s">
        <v>538</v>
      </c>
      <c r="J41" s="37" t="s">
        <v>695</v>
      </c>
      <c r="K41" s="37">
        <v>5</v>
      </c>
      <c r="L41" s="37">
        <v>7</v>
      </c>
      <c r="M41" s="37">
        <v>22.7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0</v>
      </c>
      <c r="W41" s="37">
        <v>2.4</v>
      </c>
      <c r="X41" s="37" t="s">
        <v>763</v>
      </c>
      <c r="Y41" s="37" t="s">
        <v>764</v>
      </c>
      <c r="Z41" s="37" t="s">
        <v>815</v>
      </c>
      <c r="AA41" s="37" t="s">
        <v>63</v>
      </c>
    </row>
    <row r="42" spans="1:27" x14ac:dyDescent="0.25">
      <c r="A42" s="37">
        <v>41</v>
      </c>
      <c r="B42" s="37" t="s">
        <v>798</v>
      </c>
      <c r="C42" s="37" t="s">
        <v>816</v>
      </c>
      <c r="D42" s="37">
        <v>2020</v>
      </c>
      <c r="E42" s="37">
        <v>23.8</v>
      </c>
      <c r="F42" s="37">
        <v>3315753</v>
      </c>
      <c r="G42" s="37">
        <v>1598</v>
      </c>
      <c r="H42" s="37" t="s">
        <v>753</v>
      </c>
      <c r="I42" s="37" t="s">
        <v>736</v>
      </c>
      <c r="J42" s="37" t="s">
        <v>708</v>
      </c>
      <c r="K42" s="37">
        <v>4</v>
      </c>
      <c r="L42" s="37">
        <v>7</v>
      </c>
      <c r="M42" s="37">
        <v>37.200000000000003</v>
      </c>
      <c r="N42" s="37">
        <v>23056</v>
      </c>
      <c r="O42" s="37">
        <v>19850</v>
      </c>
      <c r="P42" s="37">
        <v>21454</v>
      </c>
      <c r="Q42" s="37">
        <v>20016</v>
      </c>
      <c r="R42" s="37">
        <v>25674</v>
      </c>
      <c r="S42" s="37">
        <v>28463</v>
      </c>
      <c r="T42" s="37">
        <v>138513</v>
      </c>
      <c r="U42" s="37">
        <v>45927.49</v>
      </c>
      <c r="V42" s="37">
        <v>13456.754999999999</v>
      </c>
      <c r="W42" s="37">
        <v>29.3</v>
      </c>
      <c r="X42" s="37" t="s">
        <v>788</v>
      </c>
      <c r="Y42" s="37" t="s">
        <v>817</v>
      </c>
      <c r="Z42" s="37" t="s">
        <v>818</v>
      </c>
      <c r="AA42" s="37" t="s">
        <v>63</v>
      </c>
    </row>
    <row r="43" spans="1:27" x14ac:dyDescent="0.25">
      <c r="A43" s="37">
        <v>42</v>
      </c>
      <c r="B43" s="37" t="s">
        <v>758</v>
      </c>
      <c r="C43" s="37" t="s">
        <v>785</v>
      </c>
      <c r="D43" s="37">
        <v>2010</v>
      </c>
      <c r="E43" s="37">
        <v>15.8</v>
      </c>
      <c r="F43" s="37">
        <v>2249994</v>
      </c>
      <c r="G43" s="37">
        <v>1000</v>
      </c>
      <c r="H43" s="37" t="s">
        <v>694</v>
      </c>
      <c r="I43" s="37" t="s">
        <v>538</v>
      </c>
      <c r="J43" s="37" t="s">
        <v>715</v>
      </c>
      <c r="K43" s="37">
        <v>3</v>
      </c>
      <c r="L43" s="37">
        <v>4</v>
      </c>
      <c r="M43" s="37">
        <v>9.9</v>
      </c>
      <c r="N43" s="37">
        <v>29753</v>
      </c>
      <c r="O43" s="37">
        <v>26792</v>
      </c>
      <c r="P43" s="37">
        <v>27341</v>
      </c>
      <c r="Q43" s="37">
        <v>32104</v>
      </c>
      <c r="R43" s="37">
        <v>33191</v>
      </c>
      <c r="S43" s="37">
        <v>31571</v>
      </c>
      <c r="T43" s="37">
        <v>180752</v>
      </c>
      <c r="U43" s="37">
        <v>40669.091999999997</v>
      </c>
      <c r="V43" s="37">
        <v>7767.7969999999996</v>
      </c>
      <c r="W43" s="37">
        <v>19.100000000000001</v>
      </c>
      <c r="X43" s="37" t="s">
        <v>716</v>
      </c>
      <c r="Y43" s="37" t="s">
        <v>717</v>
      </c>
      <c r="Z43" s="37" t="s">
        <v>819</v>
      </c>
      <c r="AA43" s="37" t="s">
        <v>546</v>
      </c>
    </row>
    <row r="44" spans="1:27" x14ac:dyDescent="0.25">
      <c r="A44" s="37">
        <v>43</v>
      </c>
      <c r="B44" s="37" t="s">
        <v>793</v>
      </c>
      <c r="C44" s="37" t="s">
        <v>820</v>
      </c>
      <c r="D44" s="37">
        <v>2013</v>
      </c>
      <c r="E44" s="37">
        <v>20.3</v>
      </c>
      <c r="F44" s="37">
        <v>1421547</v>
      </c>
      <c r="G44" s="37">
        <v>1000</v>
      </c>
      <c r="H44" s="37" t="s">
        <v>707</v>
      </c>
      <c r="I44" s="37" t="s">
        <v>538</v>
      </c>
      <c r="J44" s="37" t="s">
        <v>695</v>
      </c>
      <c r="K44" s="37">
        <v>2</v>
      </c>
      <c r="L44" s="37">
        <v>7</v>
      </c>
      <c r="M44" s="37">
        <v>20.7</v>
      </c>
      <c r="N44" s="37">
        <v>38671</v>
      </c>
      <c r="O44" s="37">
        <v>42119</v>
      </c>
      <c r="P44" s="37">
        <v>40694</v>
      </c>
      <c r="Q44" s="37">
        <v>47227</v>
      </c>
      <c r="R44" s="37">
        <v>55628</v>
      </c>
      <c r="S44" s="37">
        <v>67198</v>
      </c>
      <c r="T44" s="37">
        <v>291537</v>
      </c>
      <c r="U44" s="37">
        <v>41443.355000000003</v>
      </c>
      <c r="V44" s="37">
        <v>7584.134</v>
      </c>
      <c r="W44" s="37">
        <v>18.3</v>
      </c>
      <c r="X44" s="37" t="s">
        <v>709</v>
      </c>
      <c r="Y44" s="37" t="s">
        <v>710</v>
      </c>
      <c r="Z44" s="37" t="s">
        <v>821</v>
      </c>
      <c r="AA44" s="37" t="s">
        <v>63</v>
      </c>
    </row>
    <row r="45" spans="1:27" x14ac:dyDescent="0.25">
      <c r="A45" s="37">
        <v>44</v>
      </c>
      <c r="B45" s="37" t="s">
        <v>798</v>
      </c>
      <c r="C45" s="37" t="s">
        <v>822</v>
      </c>
      <c r="D45" s="37">
        <v>2023</v>
      </c>
      <c r="E45" s="37">
        <v>25</v>
      </c>
      <c r="F45" s="37">
        <v>1836103</v>
      </c>
      <c r="G45" s="37">
        <v>1598</v>
      </c>
      <c r="H45" s="37" t="s">
        <v>701</v>
      </c>
      <c r="I45" s="37" t="s">
        <v>736</v>
      </c>
      <c r="J45" s="37" t="s">
        <v>715</v>
      </c>
      <c r="K45" s="37">
        <v>5</v>
      </c>
      <c r="L45" s="37">
        <v>5</v>
      </c>
      <c r="M45" s="37">
        <v>39.4</v>
      </c>
      <c r="N45" s="37">
        <v>27026</v>
      </c>
      <c r="O45" s="37">
        <v>22574</v>
      </c>
      <c r="P45" s="37">
        <v>24806</v>
      </c>
      <c r="Q45" s="37">
        <v>21764</v>
      </c>
      <c r="R45" s="37">
        <v>23930</v>
      </c>
      <c r="S45" s="37">
        <v>24466</v>
      </c>
      <c r="T45" s="37">
        <v>144566</v>
      </c>
      <c r="U45" s="37">
        <v>26543.807000000001</v>
      </c>
      <c r="V45" s="37">
        <v>5229.13</v>
      </c>
      <c r="W45" s="37">
        <v>19.7</v>
      </c>
      <c r="X45" s="37" t="s">
        <v>696</v>
      </c>
      <c r="Y45" s="37" t="s">
        <v>594</v>
      </c>
      <c r="Z45" s="37" t="s">
        <v>823</v>
      </c>
      <c r="AA45" s="37" t="s">
        <v>63</v>
      </c>
    </row>
    <row r="46" spans="1:27" x14ac:dyDescent="0.25">
      <c r="A46" s="37">
        <v>45</v>
      </c>
      <c r="B46" s="37" t="s">
        <v>692</v>
      </c>
      <c r="C46" s="37" t="s">
        <v>824</v>
      </c>
      <c r="D46" s="37">
        <v>2005</v>
      </c>
      <c r="E46" s="37">
        <v>12.4</v>
      </c>
      <c r="F46" s="37">
        <v>1388509</v>
      </c>
      <c r="G46" s="37">
        <v>1396</v>
      </c>
      <c r="H46" s="37" t="s">
        <v>753</v>
      </c>
      <c r="I46" s="37" t="s">
        <v>538</v>
      </c>
      <c r="J46" s="37" t="s">
        <v>708</v>
      </c>
      <c r="K46" s="37">
        <v>1</v>
      </c>
      <c r="L46" s="37">
        <v>8</v>
      </c>
      <c r="M46" s="37">
        <v>9.4</v>
      </c>
      <c r="N46" s="37">
        <v>8449</v>
      </c>
      <c r="O46" s="37">
        <v>8687</v>
      </c>
      <c r="P46" s="37">
        <v>7194</v>
      </c>
      <c r="Q46" s="37">
        <v>7781</v>
      </c>
      <c r="R46" s="37">
        <v>7234</v>
      </c>
      <c r="S46" s="37">
        <v>8613</v>
      </c>
      <c r="T46" s="37">
        <v>47958</v>
      </c>
      <c r="U46" s="37">
        <v>6659.0110000000004</v>
      </c>
      <c r="V46" s="37">
        <v>1185.3040000000001</v>
      </c>
      <c r="W46" s="37">
        <v>17.8</v>
      </c>
      <c r="X46" s="37" t="s">
        <v>742</v>
      </c>
      <c r="Y46" s="37" t="s">
        <v>574</v>
      </c>
      <c r="Z46" s="37" t="s">
        <v>825</v>
      </c>
      <c r="AA46" s="37" t="s">
        <v>546</v>
      </c>
    </row>
    <row r="47" spans="1:27" x14ac:dyDescent="0.25">
      <c r="A47" s="37">
        <v>46</v>
      </c>
      <c r="B47" s="37" t="s">
        <v>748</v>
      </c>
      <c r="C47" s="37" t="s">
        <v>749</v>
      </c>
      <c r="D47" s="37">
        <v>2007</v>
      </c>
      <c r="E47" s="37">
        <v>13</v>
      </c>
      <c r="F47" s="37">
        <v>1836948</v>
      </c>
      <c r="G47" s="37">
        <v>1598</v>
      </c>
      <c r="H47" s="37" t="s">
        <v>726</v>
      </c>
      <c r="I47" s="37" t="s">
        <v>544</v>
      </c>
      <c r="J47" s="37" t="s">
        <v>702</v>
      </c>
      <c r="K47" s="37">
        <v>4</v>
      </c>
      <c r="L47" s="37">
        <v>7</v>
      </c>
      <c r="M47" s="37">
        <v>26.7</v>
      </c>
      <c r="N47" s="37">
        <v>2455</v>
      </c>
      <c r="O47" s="37">
        <v>1800</v>
      </c>
      <c r="P47" s="37">
        <v>1573</v>
      </c>
      <c r="Q47" s="37">
        <v>1862</v>
      </c>
      <c r="R47" s="37">
        <v>1702</v>
      </c>
      <c r="S47" s="37">
        <v>1802</v>
      </c>
      <c r="T47" s="37">
        <v>11194</v>
      </c>
      <c r="U47" s="37">
        <v>2056.2800000000002</v>
      </c>
      <c r="V47" s="37">
        <v>-92.533000000000001</v>
      </c>
      <c r="W47" s="37">
        <v>-4.5</v>
      </c>
      <c r="X47" s="37" t="s">
        <v>826</v>
      </c>
      <c r="Y47" s="37" t="s">
        <v>827</v>
      </c>
      <c r="Z47" s="37" t="s">
        <v>828</v>
      </c>
      <c r="AA47" s="37" t="s">
        <v>546</v>
      </c>
    </row>
    <row r="48" spans="1:27" x14ac:dyDescent="0.25">
      <c r="A48" s="37">
        <v>47</v>
      </c>
      <c r="B48" s="37" t="s">
        <v>793</v>
      </c>
      <c r="C48" s="37" t="s">
        <v>829</v>
      </c>
      <c r="D48" s="37">
        <v>2007</v>
      </c>
      <c r="E48" s="37">
        <v>19.2</v>
      </c>
      <c r="F48" s="37">
        <v>603678</v>
      </c>
      <c r="G48" s="37">
        <v>2498</v>
      </c>
      <c r="H48" s="37" t="s">
        <v>694</v>
      </c>
      <c r="I48" s="37" t="s">
        <v>538</v>
      </c>
      <c r="J48" s="37" t="s">
        <v>702</v>
      </c>
      <c r="K48" s="37">
        <v>2</v>
      </c>
      <c r="L48" s="37">
        <v>5</v>
      </c>
      <c r="M48" s="37">
        <v>16.399999999999999</v>
      </c>
      <c r="N48" s="37">
        <v>8079</v>
      </c>
      <c r="O48" s="37">
        <v>6619</v>
      </c>
      <c r="P48" s="37">
        <v>7354</v>
      </c>
      <c r="Q48" s="37">
        <v>8922</v>
      </c>
      <c r="R48" s="37">
        <v>7293</v>
      </c>
      <c r="S48" s="37">
        <v>8305</v>
      </c>
      <c r="T48" s="37">
        <v>46572</v>
      </c>
      <c r="U48" s="37">
        <v>2811.4490000000001</v>
      </c>
      <c r="V48" s="37">
        <v>722.54200000000003</v>
      </c>
      <c r="W48" s="37">
        <v>25.7</v>
      </c>
      <c r="X48" s="37" t="s">
        <v>721</v>
      </c>
      <c r="Y48" s="37" t="s">
        <v>722</v>
      </c>
      <c r="Z48" s="37" t="s">
        <v>830</v>
      </c>
      <c r="AA48" s="37" t="s">
        <v>546</v>
      </c>
    </row>
    <row r="49" spans="1:27" x14ac:dyDescent="0.25">
      <c r="A49" s="37">
        <v>48</v>
      </c>
      <c r="B49" s="37" t="s">
        <v>730</v>
      </c>
      <c r="C49" s="37" t="s">
        <v>809</v>
      </c>
      <c r="D49" s="37">
        <v>2022</v>
      </c>
      <c r="E49" s="37">
        <v>15.8</v>
      </c>
      <c r="F49" s="37">
        <v>1940346</v>
      </c>
      <c r="G49" s="37">
        <v>1248</v>
      </c>
      <c r="H49" s="37" t="s">
        <v>753</v>
      </c>
      <c r="I49" s="37" t="s">
        <v>538</v>
      </c>
      <c r="J49" s="37" t="s">
        <v>695</v>
      </c>
      <c r="K49" s="37">
        <v>5</v>
      </c>
      <c r="L49" s="37">
        <v>5</v>
      </c>
      <c r="M49" s="37">
        <v>38.5</v>
      </c>
      <c r="N49" s="37">
        <v>32610</v>
      </c>
      <c r="O49" s="37">
        <v>24907</v>
      </c>
      <c r="P49" s="37">
        <v>25380</v>
      </c>
      <c r="Q49" s="37">
        <v>21016</v>
      </c>
      <c r="R49" s="37">
        <v>24708</v>
      </c>
      <c r="S49" s="37">
        <v>24336</v>
      </c>
      <c r="T49" s="37">
        <v>152957</v>
      </c>
      <c r="U49" s="37">
        <v>29678.95</v>
      </c>
      <c r="V49" s="37">
        <v>6321.616</v>
      </c>
      <c r="W49" s="37">
        <v>21.3</v>
      </c>
      <c r="X49" s="37" t="s">
        <v>826</v>
      </c>
      <c r="Y49" s="37" t="s">
        <v>831</v>
      </c>
      <c r="Z49" s="37" t="s">
        <v>832</v>
      </c>
      <c r="AA49" s="37" t="s">
        <v>541</v>
      </c>
    </row>
    <row r="50" spans="1:27" x14ac:dyDescent="0.25">
      <c r="A50" s="37">
        <v>49</v>
      </c>
      <c r="B50" s="37" t="s">
        <v>761</v>
      </c>
      <c r="C50" s="37" t="s">
        <v>762</v>
      </c>
      <c r="D50" s="37">
        <v>2010</v>
      </c>
      <c r="E50" s="37">
        <v>13.5</v>
      </c>
      <c r="F50" s="37">
        <v>2964782</v>
      </c>
      <c r="G50" s="37">
        <v>1396</v>
      </c>
      <c r="H50" s="37" t="s">
        <v>714</v>
      </c>
      <c r="I50" s="37" t="s">
        <v>538</v>
      </c>
      <c r="J50" s="37" t="s">
        <v>702</v>
      </c>
      <c r="K50" s="37">
        <v>4</v>
      </c>
      <c r="L50" s="37">
        <v>6</v>
      </c>
      <c r="M50" s="37">
        <v>12.1</v>
      </c>
      <c r="N50" s="37">
        <v>8063</v>
      </c>
      <c r="O50" s="37">
        <v>8467</v>
      </c>
      <c r="P50" s="37">
        <v>10016</v>
      </c>
      <c r="Q50" s="37">
        <v>9287</v>
      </c>
      <c r="R50" s="37">
        <v>10336</v>
      </c>
      <c r="S50" s="37">
        <v>10176</v>
      </c>
      <c r="T50" s="37">
        <v>56345</v>
      </c>
      <c r="U50" s="37">
        <v>16705.063999999998</v>
      </c>
      <c r="V50" s="37">
        <v>2505.7600000000002</v>
      </c>
      <c r="W50" s="37">
        <v>15</v>
      </c>
      <c r="X50" s="37" t="s">
        <v>742</v>
      </c>
      <c r="Y50" s="37" t="s">
        <v>743</v>
      </c>
      <c r="Z50" s="37" t="s">
        <v>833</v>
      </c>
      <c r="AA50" s="37" t="s">
        <v>63</v>
      </c>
    </row>
    <row r="51" spans="1:27" x14ac:dyDescent="0.25">
      <c r="A51" s="37">
        <v>50</v>
      </c>
      <c r="B51" s="37" t="s">
        <v>719</v>
      </c>
      <c r="C51" s="37" t="s">
        <v>834</v>
      </c>
      <c r="D51" s="37">
        <v>2018</v>
      </c>
      <c r="E51" s="37">
        <v>10.9</v>
      </c>
      <c r="F51" s="37">
        <v>3405361</v>
      </c>
      <c r="G51" s="37">
        <v>1498</v>
      </c>
      <c r="H51" s="37" t="s">
        <v>694</v>
      </c>
      <c r="I51" s="37" t="s">
        <v>736</v>
      </c>
      <c r="J51" s="37" t="s">
        <v>708</v>
      </c>
      <c r="K51" s="37">
        <v>1</v>
      </c>
      <c r="L51" s="37">
        <v>6</v>
      </c>
      <c r="M51" s="37">
        <v>5.9</v>
      </c>
      <c r="N51" s="37">
        <v>54563</v>
      </c>
      <c r="O51" s="37">
        <v>59492</v>
      </c>
      <c r="P51" s="37">
        <v>52684</v>
      </c>
      <c r="Q51" s="37">
        <v>58329</v>
      </c>
      <c r="R51" s="37">
        <v>54307</v>
      </c>
      <c r="S51" s="37">
        <v>55268</v>
      </c>
      <c r="T51" s="37">
        <v>334643</v>
      </c>
      <c r="U51" s="37">
        <v>113958.022</v>
      </c>
      <c r="V51" s="37">
        <v>30882.624</v>
      </c>
      <c r="W51" s="37">
        <v>27.1</v>
      </c>
      <c r="X51" s="37" t="s">
        <v>727</v>
      </c>
      <c r="Y51" s="37" t="s">
        <v>728</v>
      </c>
      <c r="Z51" s="37" t="s">
        <v>772</v>
      </c>
      <c r="AA51" s="37" t="s">
        <v>546</v>
      </c>
    </row>
    <row r="52" spans="1:27" x14ac:dyDescent="0.25">
      <c r="A52" s="37">
        <v>51</v>
      </c>
      <c r="B52" s="37" t="s">
        <v>738</v>
      </c>
      <c r="C52" s="37" t="s">
        <v>780</v>
      </c>
      <c r="D52" s="37">
        <v>2023</v>
      </c>
      <c r="E52" s="37">
        <v>20.9</v>
      </c>
      <c r="F52" s="37">
        <v>3260987</v>
      </c>
      <c r="G52" s="37">
        <v>1248</v>
      </c>
      <c r="H52" s="37" t="s">
        <v>714</v>
      </c>
      <c r="I52" s="37" t="s">
        <v>538</v>
      </c>
      <c r="J52" s="37" t="s">
        <v>715</v>
      </c>
      <c r="K52" s="37">
        <v>3</v>
      </c>
      <c r="L52" s="37">
        <v>6</v>
      </c>
      <c r="M52" s="37">
        <v>16.8</v>
      </c>
      <c r="N52" s="37">
        <v>5532</v>
      </c>
      <c r="O52" s="37">
        <v>7068</v>
      </c>
      <c r="P52" s="37">
        <v>5882</v>
      </c>
      <c r="Q52" s="37">
        <v>7573</v>
      </c>
      <c r="R52" s="37">
        <v>8514</v>
      </c>
      <c r="S52" s="37">
        <v>8430</v>
      </c>
      <c r="T52" s="37">
        <v>42999</v>
      </c>
      <c r="U52" s="37">
        <v>14021.918</v>
      </c>
      <c r="V52" s="37">
        <v>3968.203</v>
      </c>
      <c r="W52" s="37">
        <v>28.3</v>
      </c>
      <c r="X52" s="37" t="s">
        <v>742</v>
      </c>
      <c r="Y52" s="37" t="s">
        <v>835</v>
      </c>
      <c r="Z52" s="37" t="s">
        <v>836</v>
      </c>
      <c r="AA52" s="37" t="s">
        <v>63</v>
      </c>
    </row>
    <row r="53" spans="1:27" x14ac:dyDescent="0.25">
      <c r="A53" s="37">
        <v>52</v>
      </c>
      <c r="B53" s="37" t="s">
        <v>793</v>
      </c>
      <c r="C53" s="37" t="s">
        <v>820</v>
      </c>
      <c r="D53" s="37">
        <v>2022</v>
      </c>
      <c r="E53" s="37">
        <v>20.5</v>
      </c>
      <c r="F53" s="37">
        <v>3337677</v>
      </c>
      <c r="G53" s="37">
        <v>800</v>
      </c>
      <c r="H53" s="37" t="s">
        <v>753</v>
      </c>
      <c r="I53" s="37" t="s">
        <v>771</v>
      </c>
      <c r="J53" s="37" t="s">
        <v>695</v>
      </c>
      <c r="K53" s="37">
        <v>3</v>
      </c>
      <c r="L53" s="37">
        <v>4</v>
      </c>
      <c r="M53" s="37">
        <v>5.6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37">
        <v>-2.6</v>
      </c>
      <c r="X53" s="37" t="s">
        <v>696</v>
      </c>
      <c r="Y53" s="37" t="s">
        <v>594</v>
      </c>
      <c r="Z53" s="37" t="s">
        <v>837</v>
      </c>
      <c r="AA53" s="37" t="s">
        <v>63</v>
      </c>
    </row>
    <row r="54" spans="1:27" x14ac:dyDescent="0.25">
      <c r="A54" s="37">
        <v>53</v>
      </c>
      <c r="B54" s="37" t="s">
        <v>793</v>
      </c>
      <c r="C54" s="37" t="s">
        <v>794</v>
      </c>
      <c r="D54" s="37">
        <v>2005</v>
      </c>
      <c r="E54" s="37">
        <v>11.3</v>
      </c>
      <c r="F54" s="37">
        <v>452037</v>
      </c>
      <c r="G54" s="37">
        <v>1248</v>
      </c>
      <c r="H54" s="37" t="s">
        <v>694</v>
      </c>
      <c r="I54" s="37" t="s">
        <v>538</v>
      </c>
      <c r="J54" s="37" t="s">
        <v>708</v>
      </c>
      <c r="K54" s="37">
        <v>5</v>
      </c>
      <c r="L54" s="37">
        <v>5</v>
      </c>
      <c r="M54" s="37">
        <v>30.7</v>
      </c>
      <c r="N54" s="37">
        <v>7171</v>
      </c>
      <c r="O54" s="37">
        <v>9263</v>
      </c>
      <c r="P54" s="37">
        <v>10291</v>
      </c>
      <c r="Q54" s="37">
        <v>8824</v>
      </c>
      <c r="R54" s="37">
        <v>7539</v>
      </c>
      <c r="S54" s="37">
        <v>6270</v>
      </c>
      <c r="T54" s="37">
        <v>49358</v>
      </c>
      <c r="U54" s="37">
        <v>2231.1640000000002</v>
      </c>
      <c r="V54" s="37">
        <v>461.851</v>
      </c>
      <c r="W54" s="37">
        <v>20.7</v>
      </c>
      <c r="X54" s="37" t="s">
        <v>721</v>
      </c>
      <c r="Y54" s="37" t="s">
        <v>791</v>
      </c>
      <c r="Z54" s="37" t="s">
        <v>838</v>
      </c>
      <c r="AA54" s="37" t="s">
        <v>546</v>
      </c>
    </row>
    <row r="55" spans="1:27" x14ac:dyDescent="0.25">
      <c r="A55" s="37">
        <v>54</v>
      </c>
      <c r="B55" s="37" t="s">
        <v>839</v>
      </c>
      <c r="C55" s="37" t="s">
        <v>840</v>
      </c>
      <c r="D55" s="37">
        <v>2022</v>
      </c>
      <c r="E55" s="37">
        <v>14.5</v>
      </c>
      <c r="F55" s="37">
        <v>886776</v>
      </c>
      <c r="G55" s="37">
        <v>1248</v>
      </c>
      <c r="H55" s="37" t="s">
        <v>753</v>
      </c>
      <c r="I55" s="37" t="s">
        <v>538</v>
      </c>
      <c r="J55" s="37" t="s">
        <v>695</v>
      </c>
      <c r="K55" s="37">
        <v>4</v>
      </c>
      <c r="L55" s="37">
        <v>6</v>
      </c>
      <c r="M55" s="37">
        <v>8.3000000000000007</v>
      </c>
      <c r="N55" s="37">
        <v>15316</v>
      </c>
      <c r="O55" s="37">
        <v>12880</v>
      </c>
      <c r="P55" s="37">
        <v>14691</v>
      </c>
      <c r="Q55" s="37">
        <v>14490</v>
      </c>
      <c r="R55" s="37">
        <v>14220</v>
      </c>
      <c r="S55" s="37">
        <v>17622</v>
      </c>
      <c r="T55" s="37">
        <v>89219</v>
      </c>
      <c r="U55" s="37">
        <v>7911.7269999999999</v>
      </c>
      <c r="V55" s="37">
        <v>205.70500000000001</v>
      </c>
      <c r="W55" s="37">
        <v>2.6</v>
      </c>
      <c r="X55" s="37" t="s">
        <v>781</v>
      </c>
      <c r="Y55" s="37" t="s">
        <v>592</v>
      </c>
      <c r="Z55" s="37" t="s">
        <v>841</v>
      </c>
      <c r="AA55" s="37" t="s">
        <v>546</v>
      </c>
    </row>
    <row r="56" spans="1:27" x14ac:dyDescent="0.25">
      <c r="A56" s="37">
        <v>55</v>
      </c>
      <c r="B56" s="37" t="s">
        <v>724</v>
      </c>
      <c r="C56" s="37" t="s">
        <v>842</v>
      </c>
      <c r="D56" s="37">
        <v>2021</v>
      </c>
      <c r="E56" s="37">
        <v>24.3</v>
      </c>
      <c r="F56" s="37">
        <v>3032666</v>
      </c>
      <c r="G56" s="37">
        <v>1598</v>
      </c>
      <c r="H56" s="37" t="s">
        <v>753</v>
      </c>
      <c r="I56" s="37" t="s">
        <v>538</v>
      </c>
      <c r="J56" s="37" t="s">
        <v>695</v>
      </c>
      <c r="K56" s="37">
        <v>3</v>
      </c>
      <c r="L56" s="37">
        <v>8</v>
      </c>
      <c r="M56" s="37">
        <v>12.3</v>
      </c>
      <c r="N56" s="37">
        <v>9816</v>
      </c>
      <c r="O56" s="37">
        <v>11479</v>
      </c>
      <c r="P56" s="37">
        <v>9499</v>
      </c>
      <c r="Q56" s="37">
        <v>8111</v>
      </c>
      <c r="R56" s="37">
        <v>10139</v>
      </c>
      <c r="S56" s="37">
        <v>10092</v>
      </c>
      <c r="T56" s="37">
        <v>59136</v>
      </c>
      <c r="U56" s="37">
        <v>17933.973999999998</v>
      </c>
      <c r="V56" s="37">
        <v>2295.549</v>
      </c>
      <c r="W56" s="37">
        <v>12.8</v>
      </c>
      <c r="X56" s="37" t="s">
        <v>763</v>
      </c>
      <c r="Y56" s="37" t="s">
        <v>764</v>
      </c>
      <c r="Z56" s="37" t="s">
        <v>843</v>
      </c>
      <c r="AA56" s="37" t="s">
        <v>546</v>
      </c>
    </row>
    <row r="57" spans="1:27" x14ac:dyDescent="0.25">
      <c r="A57" s="37">
        <v>56</v>
      </c>
      <c r="B57" s="37" t="s">
        <v>582</v>
      </c>
      <c r="C57" s="37" t="s">
        <v>844</v>
      </c>
      <c r="D57" s="37">
        <v>2009</v>
      </c>
      <c r="E57" s="37">
        <v>27.2</v>
      </c>
      <c r="F57" s="37">
        <v>842200</v>
      </c>
      <c r="G57" s="37">
        <v>2997</v>
      </c>
      <c r="H57" s="37" t="s">
        <v>753</v>
      </c>
      <c r="I57" s="37" t="s">
        <v>736</v>
      </c>
      <c r="J57" s="37" t="s">
        <v>695</v>
      </c>
      <c r="K57" s="37">
        <v>2</v>
      </c>
      <c r="L57" s="37">
        <v>4</v>
      </c>
      <c r="M57" s="37">
        <v>37.6</v>
      </c>
      <c r="N57" s="37">
        <v>32171</v>
      </c>
      <c r="O57" s="37">
        <v>39193</v>
      </c>
      <c r="P57" s="37">
        <v>31711</v>
      </c>
      <c r="Q57" s="37">
        <v>26795</v>
      </c>
      <c r="R57" s="37">
        <v>32835</v>
      </c>
      <c r="S57" s="37">
        <v>27535</v>
      </c>
      <c r="T57" s="37">
        <v>190240</v>
      </c>
      <c r="U57" s="37">
        <v>16022.013000000001</v>
      </c>
      <c r="V57" s="37">
        <v>1409.9369999999999</v>
      </c>
      <c r="W57" s="37">
        <v>8.8000000000000007</v>
      </c>
      <c r="X57" s="37" t="s">
        <v>763</v>
      </c>
      <c r="Y57" s="37" t="s">
        <v>807</v>
      </c>
      <c r="Z57" s="37" t="s">
        <v>808</v>
      </c>
      <c r="AA57" s="37" t="s">
        <v>63</v>
      </c>
    </row>
    <row r="58" spans="1:27" x14ac:dyDescent="0.25">
      <c r="A58" s="37">
        <v>57</v>
      </c>
      <c r="B58" s="37" t="s">
        <v>748</v>
      </c>
      <c r="C58" s="37" t="s">
        <v>756</v>
      </c>
      <c r="D58" s="37">
        <v>2024</v>
      </c>
      <c r="E58" s="37">
        <v>26.6</v>
      </c>
      <c r="F58" s="37">
        <v>2552768</v>
      </c>
      <c r="G58" s="37">
        <v>2997</v>
      </c>
      <c r="H58" s="37" t="s">
        <v>726</v>
      </c>
      <c r="I58" s="37" t="s">
        <v>538</v>
      </c>
      <c r="J58" s="37" t="s">
        <v>695</v>
      </c>
      <c r="K58" s="37">
        <v>3</v>
      </c>
      <c r="L58" s="37">
        <v>8</v>
      </c>
      <c r="M58" s="37">
        <v>37.9</v>
      </c>
      <c r="N58" s="37">
        <v>31858</v>
      </c>
      <c r="O58" s="37">
        <v>37276</v>
      </c>
      <c r="P58" s="37">
        <v>38296</v>
      </c>
      <c r="Q58" s="37">
        <v>32014</v>
      </c>
      <c r="R58" s="37">
        <v>33153</v>
      </c>
      <c r="S58" s="37">
        <v>40872</v>
      </c>
      <c r="T58" s="37">
        <v>213469</v>
      </c>
      <c r="U58" s="37">
        <v>54493.682999999997</v>
      </c>
      <c r="V58" s="37">
        <v>5449.3680000000004</v>
      </c>
      <c r="W58" s="37">
        <v>10</v>
      </c>
      <c r="X58" s="37" t="s">
        <v>709</v>
      </c>
      <c r="Y58" s="37" t="s">
        <v>710</v>
      </c>
      <c r="Z58" s="37" t="s">
        <v>821</v>
      </c>
      <c r="AA58" s="37" t="s">
        <v>63</v>
      </c>
    </row>
    <row r="59" spans="1:27" x14ac:dyDescent="0.25">
      <c r="A59" s="37">
        <v>58</v>
      </c>
      <c r="B59" s="37" t="s">
        <v>705</v>
      </c>
      <c r="C59" s="37" t="s">
        <v>706</v>
      </c>
      <c r="D59" s="37">
        <v>2022</v>
      </c>
      <c r="E59" s="37">
        <v>19.899999999999999</v>
      </c>
      <c r="F59" s="37">
        <v>2780736</v>
      </c>
      <c r="G59" s="37">
        <v>800</v>
      </c>
      <c r="H59" s="37" t="s">
        <v>714</v>
      </c>
      <c r="I59" s="37" t="s">
        <v>538</v>
      </c>
      <c r="J59" s="37" t="s">
        <v>702</v>
      </c>
      <c r="K59" s="37">
        <v>5</v>
      </c>
      <c r="L59" s="37">
        <v>5</v>
      </c>
      <c r="M59" s="37">
        <v>9.9</v>
      </c>
      <c r="N59" s="37">
        <v>45320</v>
      </c>
      <c r="O59" s="37">
        <v>55817</v>
      </c>
      <c r="P59" s="37">
        <v>48526</v>
      </c>
      <c r="Q59" s="37">
        <v>55104</v>
      </c>
      <c r="R59" s="37">
        <v>56786</v>
      </c>
      <c r="S59" s="37">
        <v>72602</v>
      </c>
      <c r="T59" s="37">
        <v>334155</v>
      </c>
      <c r="U59" s="37">
        <v>92919.683999999994</v>
      </c>
      <c r="V59" s="37">
        <v>23229.920999999998</v>
      </c>
      <c r="W59" s="37">
        <v>25</v>
      </c>
      <c r="X59" s="37" t="s">
        <v>781</v>
      </c>
      <c r="Y59" s="37" t="s">
        <v>592</v>
      </c>
      <c r="Z59" s="37" t="s">
        <v>845</v>
      </c>
      <c r="AA59" s="37" t="s">
        <v>63</v>
      </c>
    </row>
    <row r="60" spans="1:27" x14ac:dyDescent="0.25">
      <c r="A60" s="37">
        <v>59</v>
      </c>
      <c r="B60" s="37" t="s">
        <v>751</v>
      </c>
      <c r="C60" s="37" t="s">
        <v>752</v>
      </c>
      <c r="D60" s="37">
        <v>2015</v>
      </c>
      <c r="E60" s="37">
        <v>15.7</v>
      </c>
      <c r="F60" s="37">
        <v>874189</v>
      </c>
      <c r="G60" s="37">
        <v>1598</v>
      </c>
      <c r="H60" s="37" t="s">
        <v>726</v>
      </c>
      <c r="I60" s="37" t="s">
        <v>538</v>
      </c>
      <c r="J60" s="37" t="s">
        <v>715</v>
      </c>
      <c r="K60" s="37">
        <v>4</v>
      </c>
      <c r="L60" s="37">
        <v>7</v>
      </c>
      <c r="M60" s="37">
        <v>18</v>
      </c>
      <c r="N60" s="37">
        <v>18941</v>
      </c>
      <c r="O60" s="37">
        <v>16235</v>
      </c>
      <c r="P60" s="37">
        <v>19842</v>
      </c>
      <c r="Q60" s="37">
        <v>18789</v>
      </c>
      <c r="R60" s="37">
        <v>21326</v>
      </c>
      <c r="S60" s="37">
        <v>19356</v>
      </c>
      <c r="T60" s="37">
        <v>114489</v>
      </c>
      <c r="U60" s="37">
        <v>10008.502</v>
      </c>
      <c r="V60" s="37">
        <v>-340.28899999999999</v>
      </c>
      <c r="W60" s="37">
        <v>-3.4</v>
      </c>
      <c r="X60" s="37" t="s">
        <v>709</v>
      </c>
      <c r="Y60" s="37" t="s">
        <v>710</v>
      </c>
      <c r="Z60" s="37" t="s">
        <v>740</v>
      </c>
      <c r="AA60" s="37" t="s">
        <v>63</v>
      </c>
    </row>
    <row r="61" spans="1:27" x14ac:dyDescent="0.25">
      <c r="A61" s="37">
        <v>60</v>
      </c>
      <c r="B61" s="37" t="s">
        <v>730</v>
      </c>
      <c r="C61" s="37" t="s">
        <v>809</v>
      </c>
      <c r="D61" s="37">
        <v>2015</v>
      </c>
      <c r="E61" s="37">
        <v>15.1</v>
      </c>
      <c r="F61" s="37">
        <v>1073827</v>
      </c>
      <c r="G61" s="37">
        <v>1598</v>
      </c>
      <c r="H61" s="37" t="s">
        <v>726</v>
      </c>
      <c r="I61" s="37" t="s">
        <v>544</v>
      </c>
      <c r="J61" s="37" t="s">
        <v>702</v>
      </c>
      <c r="K61" s="37">
        <v>5</v>
      </c>
      <c r="L61" s="37">
        <v>7</v>
      </c>
      <c r="M61" s="37">
        <v>31.3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37">
        <v>0.2</v>
      </c>
      <c r="X61" s="37" t="s">
        <v>781</v>
      </c>
      <c r="Y61" s="37" t="s">
        <v>571</v>
      </c>
      <c r="Z61" s="37" t="s">
        <v>846</v>
      </c>
      <c r="AA61" s="37" t="s">
        <v>546</v>
      </c>
    </row>
    <row r="62" spans="1:27" x14ac:dyDescent="0.25">
      <c r="A62" s="37">
        <v>61</v>
      </c>
      <c r="B62" s="37" t="s">
        <v>692</v>
      </c>
      <c r="C62" s="37" t="s">
        <v>824</v>
      </c>
      <c r="D62" s="37">
        <v>2019</v>
      </c>
      <c r="E62" s="37">
        <v>10</v>
      </c>
      <c r="F62" s="37">
        <v>1246346</v>
      </c>
      <c r="G62" s="37">
        <v>800</v>
      </c>
      <c r="H62" s="37" t="s">
        <v>726</v>
      </c>
      <c r="I62" s="37" t="s">
        <v>538</v>
      </c>
      <c r="J62" s="37" t="s">
        <v>708</v>
      </c>
      <c r="K62" s="37">
        <v>3</v>
      </c>
      <c r="L62" s="37">
        <v>8</v>
      </c>
      <c r="M62" s="37">
        <v>7.2</v>
      </c>
      <c r="N62" s="37">
        <v>18568</v>
      </c>
      <c r="O62" s="37">
        <v>13244</v>
      </c>
      <c r="P62" s="37">
        <v>14251</v>
      </c>
      <c r="Q62" s="37">
        <v>12276</v>
      </c>
      <c r="R62" s="37">
        <v>10913</v>
      </c>
      <c r="S62" s="37">
        <v>13013</v>
      </c>
      <c r="T62" s="37">
        <v>82265</v>
      </c>
      <c r="U62" s="37">
        <v>10253.065000000001</v>
      </c>
      <c r="V62" s="37">
        <v>2532.5070000000001</v>
      </c>
      <c r="W62" s="37">
        <v>24.7</v>
      </c>
      <c r="X62" s="37" t="s">
        <v>727</v>
      </c>
      <c r="Y62" s="37" t="s">
        <v>754</v>
      </c>
      <c r="Z62" s="37" t="s">
        <v>847</v>
      </c>
      <c r="AA62" s="37" t="s">
        <v>546</v>
      </c>
    </row>
    <row r="63" spans="1:27" x14ac:dyDescent="0.25">
      <c r="A63" s="37">
        <v>62</v>
      </c>
      <c r="B63" s="37" t="s">
        <v>793</v>
      </c>
      <c r="C63" s="37" t="s">
        <v>794</v>
      </c>
      <c r="D63" s="37">
        <v>2020</v>
      </c>
      <c r="E63" s="37">
        <v>24.8</v>
      </c>
      <c r="F63" s="37">
        <v>3104761</v>
      </c>
      <c r="G63" s="37">
        <v>2498</v>
      </c>
      <c r="H63" s="37" t="s">
        <v>701</v>
      </c>
      <c r="I63" s="37" t="s">
        <v>538</v>
      </c>
      <c r="J63" s="37" t="s">
        <v>702</v>
      </c>
      <c r="K63" s="37">
        <v>3</v>
      </c>
      <c r="L63" s="37">
        <v>4</v>
      </c>
      <c r="M63" s="37">
        <v>5.9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37">
        <v>0</v>
      </c>
      <c r="T63" s="37">
        <v>0</v>
      </c>
      <c r="U63" s="37">
        <v>0</v>
      </c>
      <c r="V63" s="37">
        <v>0</v>
      </c>
      <c r="W63" s="37">
        <v>16.7</v>
      </c>
      <c r="X63" s="37" t="s">
        <v>763</v>
      </c>
      <c r="Y63" s="37" t="s">
        <v>764</v>
      </c>
      <c r="Z63" s="37" t="s">
        <v>843</v>
      </c>
      <c r="AA63" s="37" t="s">
        <v>63</v>
      </c>
    </row>
    <row r="64" spans="1:27" x14ac:dyDescent="0.25">
      <c r="A64" s="37">
        <v>63</v>
      </c>
      <c r="B64" s="37" t="s">
        <v>582</v>
      </c>
      <c r="C64" s="37" t="s">
        <v>844</v>
      </c>
      <c r="D64" s="37">
        <v>2010</v>
      </c>
      <c r="E64" s="37">
        <v>10.3</v>
      </c>
      <c r="F64" s="37">
        <v>2395214</v>
      </c>
      <c r="G64" s="37">
        <v>1197</v>
      </c>
      <c r="H64" s="37" t="s">
        <v>726</v>
      </c>
      <c r="I64" s="37" t="s">
        <v>736</v>
      </c>
      <c r="J64" s="37" t="s">
        <v>702</v>
      </c>
      <c r="K64" s="37">
        <v>5</v>
      </c>
      <c r="L64" s="37">
        <v>6</v>
      </c>
      <c r="M64" s="37">
        <v>34.299999999999997</v>
      </c>
      <c r="N64" s="37">
        <v>41100</v>
      </c>
      <c r="O64" s="37">
        <v>48559</v>
      </c>
      <c r="P64" s="37">
        <v>50301</v>
      </c>
      <c r="Q64" s="37">
        <v>48422</v>
      </c>
      <c r="R64" s="37">
        <v>40569</v>
      </c>
      <c r="S64" s="37">
        <v>36607</v>
      </c>
      <c r="T64" s="37">
        <v>265558</v>
      </c>
      <c r="U64" s="37">
        <v>63606.824000000001</v>
      </c>
      <c r="V64" s="37">
        <v>11576.441999999999</v>
      </c>
      <c r="W64" s="37">
        <v>18.2</v>
      </c>
      <c r="X64" s="37" t="s">
        <v>788</v>
      </c>
      <c r="Y64" s="37" t="s">
        <v>535</v>
      </c>
      <c r="Z64" s="37" t="s">
        <v>848</v>
      </c>
      <c r="AA64" s="37" t="s">
        <v>63</v>
      </c>
    </row>
    <row r="65" spans="1:27" x14ac:dyDescent="0.25">
      <c r="A65" s="37">
        <v>64</v>
      </c>
      <c r="B65" s="37" t="s">
        <v>849</v>
      </c>
      <c r="C65" s="37" t="s">
        <v>850</v>
      </c>
      <c r="D65" s="37">
        <v>2024</v>
      </c>
      <c r="E65" s="37">
        <v>27</v>
      </c>
      <c r="F65" s="37">
        <v>3459238</v>
      </c>
      <c r="G65" s="37">
        <v>1998</v>
      </c>
      <c r="H65" s="37" t="s">
        <v>694</v>
      </c>
      <c r="I65" s="37" t="s">
        <v>538</v>
      </c>
      <c r="J65" s="37" t="s">
        <v>702</v>
      </c>
      <c r="K65" s="37">
        <v>0</v>
      </c>
      <c r="L65" s="37">
        <v>8</v>
      </c>
      <c r="M65" s="37">
        <v>24.3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37">
        <v>23.9</v>
      </c>
      <c r="X65" s="37" t="s">
        <v>727</v>
      </c>
      <c r="Y65" s="37" t="s">
        <v>754</v>
      </c>
      <c r="Z65" s="37" t="s">
        <v>851</v>
      </c>
      <c r="AA65" s="37" t="s">
        <v>63</v>
      </c>
    </row>
    <row r="66" spans="1:27" x14ac:dyDescent="0.25">
      <c r="A66" s="37">
        <v>65</v>
      </c>
      <c r="B66" s="37" t="s">
        <v>730</v>
      </c>
      <c r="C66" s="37" t="s">
        <v>787</v>
      </c>
      <c r="D66" s="37">
        <v>2010</v>
      </c>
      <c r="E66" s="37">
        <v>11.9</v>
      </c>
      <c r="F66" s="37">
        <v>2751775</v>
      </c>
      <c r="G66" s="37">
        <v>1396</v>
      </c>
      <c r="H66" s="37" t="s">
        <v>701</v>
      </c>
      <c r="I66" s="37" t="s">
        <v>538</v>
      </c>
      <c r="J66" s="37" t="s">
        <v>715</v>
      </c>
      <c r="K66" s="37">
        <v>0</v>
      </c>
      <c r="L66" s="37">
        <v>6</v>
      </c>
      <c r="M66" s="37">
        <v>28.3</v>
      </c>
      <c r="N66" s="37">
        <v>0</v>
      </c>
      <c r="O66" s="37">
        <v>0</v>
      </c>
      <c r="P66" s="37">
        <v>0</v>
      </c>
      <c r="Q66" s="37">
        <v>0</v>
      </c>
      <c r="R66" s="37">
        <v>0</v>
      </c>
      <c r="S66" s="37">
        <v>0</v>
      </c>
      <c r="T66" s="37">
        <v>0</v>
      </c>
      <c r="U66" s="37">
        <v>0</v>
      </c>
      <c r="V66" s="37">
        <v>0</v>
      </c>
      <c r="W66" s="37">
        <v>28.5</v>
      </c>
      <c r="X66" s="37" t="s">
        <v>703</v>
      </c>
      <c r="Y66" s="37" t="s">
        <v>732</v>
      </c>
      <c r="Z66" s="37" t="s">
        <v>733</v>
      </c>
      <c r="AA66" s="37" t="s">
        <v>546</v>
      </c>
    </row>
    <row r="67" spans="1:27" x14ac:dyDescent="0.25">
      <c r="A67" s="37">
        <v>66</v>
      </c>
      <c r="B67" s="37" t="s">
        <v>849</v>
      </c>
      <c r="C67" s="37" t="s">
        <v>850</v>
      </c>
      <c r="D67" s="37">
        <v>2016</v>
      </c>
      <c r="E67" s="37">
        <v>26.2</v>
      </c>
      <c r="F67" s="37">
        <v>1167951</v>
      </c>
      <c r="G67" s="37">
        <v>800</v>
      </c>
      <c r="H67" s="37" t="s">
        <v>714</v>
      </c>
      <c r="I67" s="37" t="s">
        <v>544</v>
      </c>
      <c r="J67" s="37" t="s">
        <v>715</v>
      </c>
      <c r="K67" s="37">
        <v>3</v>
      </c>
      <c r="L67" s="37">
        <v>5</v>
      </c>
      <c r="M67" s="37">
        <v>26.2</v>
      </c>
      <c r="N67" s="37">
        <v>35448</v>
      </c>
      <c r="O67" s="37">
        <v>44530</v>
      </c>
      <c r="P67" s="37">
        <v>37870</v>
      </c>
      <c r="Q67" s="37">
        <v>36166</v>
      </c>
      <c r="R67" s="37">
        <v>35552</v>
      </c>
      <c r="S67" s="37">
        <v>41792</v>
      </c>
      <c r="T67" s="37">
        <v>231358</v>
      </c>
      <c r="U67" s="37">
        <v>27021.481</v>
      </c>
      <c r="V67" s="37">
        <v>3945.136</v>
      </c>
      <c r="W67" s="37">
        <v>14.6</v>
      </c>
      <c r="X67" s="37" t="s">
        <v>781</v>
      </c>
      <c r="Y67" s="37" t="s">
        <v>542</v>
      </c>
      <c r="Z67" s="37" t="s">
        <v>852</v>
      </c>
      <c r="AA67" s="37" t="s">
        <v>63</v>
      </c>
    </row>
    <row r="68" spans="1:27" x14ac:dyDescent="0.25">
      <c r="A68" s="37">
        <v>67</v>
      </c>
      <c r="B68" s="37" t="s">
        <v>705</v>
      </c>
      <c r="C68" s="37" t="s">
        <v>853</v>
      </c>
      <c r="D68" s="37">
        <v>2014</v>
      </c>
      <c r="E68" s="37">
        <v>15.1</v>
      </c>
      <c r="F68" s="37">
        <v>1505017</v>
      </c>
      <c r="G68" s="37">
        <v>800</v>
      </c>
      <c r="H68" s="37" t="s">
        <v>714</v>
      </c>
      <c r="I68" s="37" t="s">
        <v>538</v>
      </c>
      <c r="J68" s="37" t="s">
        <v>715</v>
      </c>
      <c r="K68" s="37">
        <v>2</v>
      </c>
      <c r="L68" s="37">
        <v>4</v>
      </c>
      <c r="M68" s="37">
        <v>38</v>
      </c>
      <c r="N68" s="37">
        <v>50814</v>
      </c>
      <c r="O68" s="37">
        <v>36892</v>
      </c>
      <c r="P68" s="37">
        <v>47323</v>
      </c>
      <c r="Q68" s="37">
        <v>61413</v>
      </c>
      <c r="R68" s="37">
        <v>64731</v>
      </c>
      <c r="S68" s="37">
        <v>71568</v>
      </c>
      <c r="T68" s="37">
        <v>332741</v>
      </c>
      <c r="U68" s="37">
        <v>50078.086000000003</v>
      </c>
      <c r="V68" s="37">
        <v>6359.9170000000004</v>
      </c>
      <c r="W68" s="37">
        <v>12.7</v>
      </c>
      <c r="X68" s="37" t="s">
        <v>742</v>
      </c>
      <c r="Y68" s="37" t="s">
        <v>743</v>
      </c>
      <c r="Z68" s="37" t="s">
        <v>854</v>
      </c>
      <c r="AA68" s="37" t="s">
        <v>546</v>
      </c>
    </row>
    <row r="69" spans="1:27" x14ac:dyDescent="0.25">
      <c r="A69" s="37">
        <v>68</v>
      </c>
      <c r="B69" s="37" t="s">
        <v>705</v>
      </c>
      <c r="C69" s="37" t="s">
        <v>706</v>
      </c>
      <c r="D69" s="37">
        <v>2013</v>
      </c>
      <c r="E69" s="37">
        <v>13.2</v>
      </c>
      <c r="F69" s="37">
        <v>2918183</v>
      </c>
      <c r="G69" s="37">
        <v>1248</v>
      </c>
      <c r="H69" s="37" t="s">
        <v>753</v>
      </c>
      <c r="I69" s="37" t="s">
        <v>544</v>
      </c>
      <c r="J69" s="37" t="s">
        <v>702</v>
      </c>
      <c r="K69" s="37">
        <v>3</v>
      </c>
      <c r="L69" s="37">
        <v>5</v>
      </c>
      <c r="M69" s="37">
        <v>5.7</v>
      </c>
      <c r="N69" s="37">
        <v>16222</v>
      </c>
      <c r="O69" s="37">
        <v>20329</v>
      </c>
      <c r="P69" s="37">
        <v>20486</v>
      </c>
      <c r="Q69" s="37">
        <v>21504</v>
      </c>
      <c r="R69" s="37">
        <v>27776</v>
      </c>
      <c r="S69" s="37">
        <v>26174</v>
      </c>
      <c r="T69" s="37">
        <v>132491</v>
      </c>
      <c r="U69" s="37">
        <v>38663.298000000003</v>
      </c>
      <c r="V69" s="37">
        <v>7655.3329999999996</v>
      </c>
      <c r="W69" s="37">
        <v>19.8</v>
      </c>
      <c r="X69" s="37" t="s">
        <v>709</v>
      </c>
      <c r="Y69" s="37" t="s">
        <v>855</v>
      </c>
      <c r="Z69" s="37" t="s">
        <v>856</v>
      </c>
      <c r="AA69" s="37" t="s">
        <v>546</v>
      </c>
    </row>
    <row r="70" spans="1:27" x14ac:dyDescent="0.25">
      <c r="A70" s="37">
        <v>69</v>
      </c>
      <c r="B70" s="37" t="s">
        <v>712</v>
      </c>
      <c r="C70" s="37" t="s">
        <v>857</v>
      </c>
      <c r="D70" s="37">
        <v>2016</v>
      </c>
      <c r="E70" s="37">
        <v>25.6</v>
      </c>
      <c r="F70" s="37">
        <v>1656018</v>
      </c>
      <c r="G70" s="37">
        <v>1498</v>
      </c>
      <c r="H70" s="37" t="s">
        <v>701</v>
      </c>
      <c r="I70" s="37" t="s">
        <v>81</v>
      </c>
      <c r="J70" s="37" t="s">
        <v>715</v>
      </c>
      <c r="K70" s="37">
        <v>0</v>
      </c>
      <c r="L70" s="37">
        <v>8</v>
      </c>
      <c r="M70" s="37">
        <v>11.2</v>
      </c>
      <c r="N70" s="37">
        <v>30165</v>
      </c>
      <c r="O70" s="37">
        <v>30387</v>
      </c>
      <c r="P70" s="37">
        <v>29396</v>
      </c>
      <c r="Q70" s="37">
        <v>33316</v>
      </c>
      <c r="R70" s="37">
        <v>37676</v>
      </c>
      <c r="S70" s="37">
        <v>39041</v>
      </c>
      <c r="T70" s="37">
        <v>199981</v>
      </c>
      <c r="U70" s="37">
        <v>33117.214</v>
      </c>
      <c r="V70" s="37">
        <v>6457.857</v>
      </c>
      <c r="W70" s="37">
        <v>19.5</v>
      </c>
      <c r="X70" s="37" t="s">
        <v>727</v>
      </c>
      <c r="Y70" s="37" t="s">
        <v>754</v>
      </c>
      <c r="Z70" s="37" t="s">
        <v>858</v>
      </c>
      <c r="AA70" s="37" t="s">
        <v>63</v>
      </c>
    </row>
    <row r="71" spans="1:27" x14ac:dyDescent="0.25">
      <c r="A71" s="37">
        <v>70</v>
      </c>
      <c r="B71" s="37" t="s">
        <v>751</v>
      </c>
      <c r="C71" s="37" t="s">
        <v>752</v>
      </c>
      <c r="D71" s="37">
        <v>2018</v>
      </c>
      <c r="E71" s="37">
        <v>16.399999999999999</v>
      </c>
      <c r="F71" s="37">
        <v>3230035</v>
      </c>
      <c r="G71" s="37">
        <v>1998</v>
      </c>
      <c r="H71" s="37" t="s">
        <v>694</v>
      </c>
      <c r="I71" s="37" t="s">
        <v>544</v>
      </c>
      <c r="J71" s="37" t="s">
        <v>715</v>
      </c>
      <c r="K71" s="37">
        <v>3</v>
      </c>
      <c r="L71" s="37">
        <v>8</v>
      </c>
      <c r="M71" s="37">
        <v>9.9</v>
      </c>
      <c r="N71" s="37">
        <v>12799</v>
      </c>
      <c r="O71" s="37">
        <v>15626</v>
      </c>
      <c r="P71" s="37">
        <v>19979</v>
      </c>
      <c r="Q71" s="37">
        <v>25109</v>
      </c>
      <c r="R71" s="37">
        <v>20949</v>
      </c>
      <c r="S71" s="37">
        <v>19766</v>
      </c>
      <c r="T71" s="37">
        <v>114228</v>
      </c>
      <c r="U71" s="37">
        <v>36896.044000000002</v>
      </c>
      <c r="V71" s="37">
        <v>-553.44100000000003</v>
      </c>
      <c r="W71" s="37">
        <v>-1.5</v>
      </c>
      <c r="X71" s="37" t="s">
        <v>716</v>
      </c>
      <c r="Y71" s="37" t="s">
        <v>717</v>
      </c>
      <c r="Z71" s="37" t="s">
        <v>859</v>
      </c>
      <c r="AA71" s="37" t="s">
        <v>541</v>
      </c>
    </row>
    <row r="72" spans="1:27" x14ac:dyDescent="0.25">
      <c r="A72" s="37">
        <v>71</v>
      </c>
      <c r="B72" s="37" t="s">
        <v>712</v>
      </c>
      <c r="C72" s="37" t="s">
        <v>713</v>
      </c>
      <c r="D72" s="37">
        <v>2011</v>
      </c>
      <c r="E72" s="37">
        <v>11.4</v>
      </c>
      <c r="F72" s="37">
        <v>1794160</v>
      </c>
      <c r="G72" s="37">
        <v>1000</v>
      </c>
      <c r="H72" s="37" t="s">
        <v>714</v>
      </c>
      <c r="I72" s="37" t="s">
        <v>736</v>
      </c>
      <c r="J72" s="37" t="s">
        <v>715</v>
      </c>
      <c r="K72" s="37">
        <v>5</v>
      </c>
      <c r="L72" s="37">
        <v>7</v>
      </c>
      <c r="M72" s="37">
        <v>38.5</v>
      </c>
      <c r="N72" s="37">
        <v>50145</v>
      </c>
      <c r="O72" s="37">
        <v>42288</v>
      </c>
      <c r="P72" s="37">
        <v>54785</v>
      </c>
      <c r="Q72" s="37">
        <v>58154</v>
      </c>
      <c r="R72" s="37">
        <v>51744</v>
      </c>
      <c r="S72" s="37">
        <v>58088</v>
      </c>
      <c r="T72" s="37">
        <v>315204</v>
      </c>
      <c r="U72" s="37">
        <v>56552.641000000003</v>
      </c>
      <c r="V72" s="37">
        <v>-3280.0529999999999</v>
      </c>
      <c r="W72" s="37">
        <v>-5.8</v>
      </c>
      <c r="X72" s="37" t="s">
        <v>727</v>
      </c>
      <c r="Y72" s="37" t="s">
        <v>754</v>
      </c>
      <c r="Z72" s="37" t="s">
        <v>860</v>
      </c>
      <c r="AA72" s="37" t="s">
        <v>63</v>
      </c>
    </row>
    <row r="73" spans="1:27" x14ac:dyDescent="0.25">
      <c r="A73" s="37">
        <v>72</v>
      </c>
      <c r="B73" s="37" t="s">
        <v>692</v>
      </c>
      <c r="C73" s="37" t="s">
        <v>861</v>
      </c>
      <c r="D73" s="37">
        <v>2012</v>
      </c>
      <c r="E73" s="37">
        <v>24.6</v>
      </c>
      <c r="F73" s="37">
        <v>2305634</v>
      </c>
      <c r="G73" s="37">
        <v>1498</v>
      </c>
      <c r="H73" s="37" t="s">
        <v>753</v>
      </c>
      <c r="I73" s="37" t="s">
        <v>538</v>
      </c>
      <c r="J73" s="37" t="s">
        <v>708</v>
      </c>
      <c r="K73" s="37">
        <v>3</v>
      </c>
      <c r="L73" s="37">
        <v>5</v>
      </c>
      <c r="M73" s="37">
        <v>35.1</v>
      </c>
      <c r="N73" s="37">
        <v>68994</v>
      </c>
      <c r="O73" s="37">
        <v>53415</v>
      </c>
      <c r="P73" s="37">
        <v>50013</v>
      </c>
      <c r="Q73" s="37">
        <v>61706</v>
      </c>
      <c r="R73" s="37">
        <v>73152</v>
      </c>
      <c r="S73" s="37">
        <v>94803</v>
      </c>
      <c r="T73" s="37">
        <v>402083</v>
      </c>
      <c r="U73" s="37">
        <v>92705.623999999996</v>
      </c>
      <c r="V73" s="37">
        <v>-3337.402</v>
      </c>
      <c r="W73" s="37">
        <v>-3.6</v>
      </c>
      <c r="X73" s="37" t="s">
        <v>727</v>
      </c>
      <c r="Y73" s="37" t="s">
        <v>754</v>
      </c>
      <c r="Z73" s="37" t="s">
        <v>858</v>
      </c>
      <c r="AA73" s="37" t="s">
        <v>63</v>
      </c>
    </row>
    <row r="74" spans="1:27" x14ac:dyDescent="0.25">
      <c r="A74" s="37">
        <v>73</v>
      </c>
      <c r="B74" s="37" t="s">
        <v>748</v>
      </c>
      <c r="C74" s="37" t="s">
        <v>862</v>
      </c>
      <c r="D74" s="37">
        <v>2019</v>
      </c>
      <c r="E74" s="37">
        <v>10.9</v>
      </c>
      <c r="F74" s="37">
        <v>527868</v>
      </c>
      <c r="G74" s="37">
        <v>1000</v>
      </c>
      <c r="H74" s="37" t="s">
        <v>714</v>
      </c>
      <c r="I74" s="37" t="s">
        <v>538</v>
      </c>
      <c r="J74" s="37" t="s">
        <v>702</v>
      </c>
      <c r="K74" s="37">
        <v>1</v>
      </c>
      <c r="L74" s="37">
        <v>5</v>
      </c>
      <c r="M74" s="37">
        <v>23.1</v>
      </c>
      <c r="N74" s="37">
        <v>20382</v>
      </c>
      <c r="O74" s="37">
        <v>17887</v>
      </c>
      <c r="P74" s="37">
        <v>14797</v>
      </c>
      <c r="Q74" s="37">
        <v>15302</v>
      </c>
      <c r="R74" s="37">
        <v>16367</v>
      </c>
      <c r="S74" s="37">
        <v>16853</v>
      </c>
      <c r="T74" s="37">
        <v>101588</v>
      </c>
      <c r="U74" s="37">
        <v>5362.5050000000001</v>
      </c>
      <c r="V74" s="37">
        <v>278.85000000000002</v>
      </c>
      <c r="W74" s="37">
        <v>5.2</v>
      </c>
      <c r="X74" s="37" t="s">
        <v>773</v>
      </c>
      <c r="Y74" s="37" t="s">
        <v>803</v>
      </c>
      <c r="Z74" s="37" t="s">
        <v>863</v>
      </c>
      <c r="AA74" s="37" t="s">
        <v>63</v>
      </c>
    </row>
    <row r="75" spans="1:27" x14ac:dyDescent="0.25">
      <c r="A75" s="37">
        <v>74</v>
      </c>
      <c r="B75" s="37" t="s">
        <v>793</v>
      </c>
      <c r="C75" s="37" t="s">
        <v>829</v>
      </c>
      <c r="D75" s="37">
        <v>2024</v>
      </c>
      <c r="E75" s="37">
        <v>16.3</v>
      </c>
      <c r="F75" s="37">
        <v>2078376</v>
      </c>
      <c r="G75" s="37">
        <v>1248</v>
      </c>
      <c r="H75" s="37" t="s">
        <v>694</v>
      </c>
      <c r="I75" s="37" t="s">
        <v>538</v>
      </c>
      <c r="J75" s="37" t="s">
        <v>708</v>
      </c>
      <c r="K75" s="37">
        <v>2</v>
      </c>
      <c r="L75" s="37">
        <v>4</v>
      </c>
      <c r="M75" s="37">
        <v>27.4</v>
      </c>
      <c r="N75" s="37">
        <v>8708</v>
      </c>
      <c r="O75" s="37">
        <v>10033</v>
      </c>
      <c r="P75" s="37">
        <v>12168</v>
      </c>
      <c r="Q75" s="37">
        <v>12057</v>
      </c>
      <c r="R75" s="37">
        <v>10144</v>
      </c>
      <c r="S75" s="37">
        <v>10747</v>
      </c>
      <c r="T75" s="37">
        <v>63857</v>
      </c>
      <c r="U75" s="37">
        <v>13271.886</v>
      </c>
      <c r="V75" s="37">
        <v>1778.433</v>
      </c>
      <c r="W75" s="37">
        <v>13.4</v>
      </c>
      <c r="X75" s="37" t="s">
        <v>696</v>
      </c>
      <c r="Y75" s="37" t="s">
        <v>697</v>
      </c>
      <c r="Z75" s="37" t="s">
        <v>698</v>
      </c>
      <c r="AA75" s="37" t="s">
        <v>63</v>
      </c>
    </row>
    <row r="76" spans="1:27" x14ac:dyDescent="0.25">
      <c r="A76" s="37">
        <v>75</v>
      </c>
      <c r="B76" s="37" t="s">
        <v>738</v>
      </c>
      <c r="C76" s="37" t="s">
        <v>864</v>
      </c>
      <c r="D76" s="37">
        <v>2018</v>
      </c>
      <c r="E76" s="37">
        <v>23.3</v>
      </c>
      <c r="F76" s="37">
        <v>2003975</v>
      </c>
      <c r="G76" s="37">
        <v>1598</v>
      </c>
      <c r="H76" s="37" t="s">
        <v>714</v>
      </c>
      <c r="I76" s="37" t="s">
        <v>538</v>
      </c>
      <c r="J76" s="37" t="s">
        <v>695</v>
      </c>
      <c r="K76" s="37">
        <v>2</v>
      </c>
      <c r="L76" s="37">
        <v>6</v>
      </c>
      <c r="M76" s="37">
        <v>37</v>
      </c>
      <c r="N76" s="37">
        <v>0</v>
      </c>
      <c r="O76" s="37">
        <v>0</v>
      </c>
      <c r="P76" s="37">
        <v>0</v>
      </c>
      <c r="Q76" s="37">
        <v>0</v>
      </c>
      <c r="R76" s="37">
        <v>0</v>
      </c>
      <c r="S76" s="37">
        <v>0</v>
      </c>
      <c r="T76" s="37">
        <v>0</v>
      </c>
      <c r="U76" s="37">
        <v>0</v>
      </c>
      <c r="V76" s="37">
        <v>0</v>
      </c>
      <c r="W76" s="37">
        <v>21.7</v>
      </c>
      <c r="X76" s="37" t="s">
        <v>709</v>
      </c>
      <c r="Y76" s="37" t="s">
        <v>710</v>
      </c>
      <c r="Z76" s="37" t="s">
        <v>865</v>
      </c>
      <c r="AA76" s="37" t="s">
        <v>63</v>
      </c>
    </row>
    <row r="77" spans="1:27" x14ac:dyDescent="0.25">
      <c r="A77" s="37">
        <v>76</v>
      </c>
      <c r="B77" s="37" t="s">
        <v>849</v>
      </c>
      <c r="C77" s="37" t="s">
        <v>850</v>
      </c>
      <c r="D77" s="37">
        <v>2020</v>
      </c>
      <c r="E77" s="37">
        <v>13.3</v>
      </c>
      <c r="F77" s="37">
        <v>3474844</v>
      </c>
      <c r="G77" s="37">
        <v>1498</v>
      </c>
      <c r="H77" s="37" t="s">
        <v>707</v>
      </c>
      <c r="I77" s="37" t="s">
        <v>538</v>
      </c>
      <c r="J77" s="37" t="s">
        <v>715</v>
      </c>
      <c r="K77" s="37">
        <v>2</v>
      </c>
      <c r="L77" s="37">
        <v>4</v>
      </c>
      <c r="M77" s="37">
        <v>18.899999999999999</v>
      </c>
      <c r="N77" s="37">
        <v>12544</v>
      </c>
      <c r="O77" s="37">
        <v>9804</v>
      </c>
      <c r="P77" s="37">
        <v>8745</v>
      </c>
      <c r="Q77" s="37">
        <v>8219</v>
      </c>
      <c r="R77" s="37">
        <v>10387</v>
      </c>
      <c r="S77" s="37">
        <v>11730</v>
      </c>
      <c r="T77" s="37">
        <v>61429</v>
      </c>
      <c r="U77" s="37">
        <v>21345.618999999999</v>
      </c>
      <c r="V77" s="37">
        <v>-490.94900000000001</v>
      </c>
      <c r="W77" s="37">
        <v>-2.2999999999999998</v>
      </c>
      <c r="X77" s="37" t="s">
        <v>742</v>
      </c>
      <c r="Y77" s="37" t="s">
        <v>835</v>
      </c>
      <c r="Z77" s="37" t="s">
        <v>866</v>
      </c>
      <c r="AA77" s="37" t="s">
        <v>63</v>
      </c>
    </row>
    <row r="78" spans="1:27" x14ac:dyDescent="0.25">
      <c r="A78" s="37">
        <v>77</v>
      </c>
      <c r="B78" s="37" t="s">
        <v>761</v>
      </c>
      <c r="C78" s="37" t="s">
        <v>762</v>
      </c>
      <c r="D78" s="37">
        <v>2024</v>
      </c>
      <c r="E78" s="37">
        <v>16.8</v>
      </c>
      <c r="F78" s="37">
        <v>2876672</v>
      </c>
      <c r="G78" s="37">
        <v>1998</v>
      </c>
      <c r="H78" s="37" t="s">
        <v>726</v>
      </c>
      <c r="I78" s="37" t="s">
        <v>544</v>
      </c>
      <c r="J78" s="37" t="s">
        <v>715</v>
      </c>
      <c r="K78" s="37">
        <v>2</v>
      </c>
      <c r="L78" s="37">
        <v>6</v>
      </c>
      <c r="M78" s="37">
        <v>9.9</v>
      </c>
      <c r="N78" s="37">
        <v>17821</v>
      </c>
      <c r="O78" s="37">
        <v>21316</v>
      </c>
      <c r="P78" s="37">
        <v>27677</v>
      </c>
      <c r="Q78" s="37">
        <v>22814</v>
      </c>
      <c r="R78" s="37">
        <v>19649</v>
      </c>
      <c r="S78" s="37">
        <v>21814</v>
      </c>
      <c r="T78" s="37">
        <v>131091</v>
      </c>
      <c r="U78" s="37">
        <v>37710.580999999998</v>
      </c>
      <c r="V78" s="37">
        <v>8711.1440000000002</v>
      </c>
      <c r="W78" s="37">
        <v>23.1</v>
      </c>
      <c r="X78" s="37" t="s">
        <v>788</v>
      </c>
      <c r="Y78" s="37" t="s">
        <v>535</v>
      </c>
      <c r="Z78" s="37" t="s">
        <v>789</v>
      </c>
      <c r="AA78" s="37" t="s">
        <v>63</v>
      </c>
    </row>
    <row r="79" spans="1:27" x14ac:dyDescent="0.25">
      <c r="A79" s="37">
        <v>78</v>
      </c>
      <c r="B79" s="37" t="s">
        <v>751</v>
      </c>
      <c r="C79" s="37" t="s">
        <v>796</v>
      </c>
      <c r="D79" s="37">
        <v>2015</v>
      </c>
      <c r="E79" s="37">
        <v>12.1</v>
      </c>
      <c r="F79" s="37">
        <v>2094778</v>
      </c>
      <c r="G79" s="37">
        <v>800</v>
      </c>
      <c r="H79" s="37" t="s">
        <v>707</v>
      </c>
      <c r="I79" s="37" t="s">
        <v>544</v>
      </c>
      <c r="J79" s="37" t="s">
        <v>708</v>
      </c>
      <c r="K79" s="37">
        <v>1</v>
      </c>
      <c r="L79" s="37">
        <v>6</v>
      </c>
      <c r="M79" s="37">
        <v>28.3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37">
        <v>0</v>
      </c>
      <c r="T79" s="37">
        <v>0</v>
      </c>
      <c r="U79" s="37">
        <v>0</v>
      </c>
      <c r="V79" s="37">
        <v>0</v>
      </c>
      <c r="W79" s="37">
        <v>3.6</v>
      </c>
      <c r="X79" s="37" t="s">
        <v>773</v>
      </c>
      <c r="Y79" s="37" t="s">
        <v>803</v>
      </c>
      <c r="Z79" s="37" t="s">
        <v>863</v>
      </c>
      <c r="AA79" s="37" t="s">
        <v>63</v>
      </c>
    </row>
    <row r="80" spans="1:27" x14ac:dyDescent="0.25">
      <c r="A80" s="37">
        <v>79</v>
      </c>
      <c r="B80" s="37" t="s">
        <v>582</v>
      </c>
      <c r="C80" s="37" t="s">
        <v>867</v>
      </c>
      <c r="D80" s="37">
        <v>2013</v>
      </c>
      <c r="E80" s="37">
        <v>12.9</v>
      </c>
      <c r="F80" s="37">
        <v>2066050</v>
      </c>
      <c r="G80" s="37">
        <v>1498</v>
      </c>
      <c r="H80" s="37" t="s">
        <v>694</v>
      </c>
      <c r="I80" s="37" t="s">
        <v>538</v>
      </c>
      <c r="J80" s="37" t="s">
        <v>708</v>
      </c>
      <c r="K80" s="37">
        <v>1</v>
      </c>
      <c r="L80" s="37">
        <v>8</v>
      </c>
      <c r="M80" s="37">
        <v>16.899999999999999</v>
      </c>
      <c r="N80" s="37">
        <v>43985</v>
      </c>
      <c r="O80" s="37">
        <v>42657</v>
      </c>
      <c r="P80" s="37">
        <v>39560</v>
      </c>
      <c r="Q80" s="37">
        <v>48704</v>
      </c>
      <c r="R80" s="37">
        <v>52191</v>
      </c>
      <c r="S80" s="37">
        <v>58167</v>
      </c>
      <c r="T80" s="37">
        <v>285264</v>
      </c>
      <c r="U80" s="37">
        <v>58936.968999999997</v>
      </c>
      <c r="V80" s="37">
        <v>15912.982</v>
      </c>
      <c r="W80" s="37">
        <v>27</v>
      </c>
      <c r="X80" s="37" t="s">
        <v>781</v>
      </c>
      <c r="Y80" s="37" t="s">
        <v>571</v>
      </c>
      <c r="Z80" s="37" t="s">
        <v>868</v>
      </c>
      <c r="AA80" s="37" t="s">
        <v>63</v>
      </c>
    </row>
    <row r="81" spans="1:27" x14ac:dyDescent="0.25">
      <c r="A81" s="37">
        <v>80</v>
      </c>
      <c r="B81" s="37" t="s">
        <v>712</v>
      </c>
      <c r="C81" s="37" t="s">
        <v>713</v>
      </c>
      <c r="D81" s="37">
        <v>2010</v>
      </c>
      <c r="E81" s="37">
        <v>10.8</v>
      </c>
      <c r="F81" s="37">
        <v>2213102</v>
      </c>
      <c r="G81" s="37">
        <v>800</v>
      </c>
      <c r="H81" s="37" t="s">
        <v>707</v>
      </c>
      <c r="I81" s="37" t="s">
        <v>544</v>
      </c>
      <c r="J81" s="37" t="s">
        <v>708</v>
      </c>
      <c r="K81" s="37">
        <v>1</v>
      </c>
      <c r="L81" s="37">
        <v>7</v>
      </c>
      <c r="M81" s="37">
        <v>10.6</v>
      </c>
      <c r="N81" s="37">
        <v>65322</v>
      </c>
      <c r="O81" s="37">
        <v>77421</v>
      </c>
      <c r="P81" s="37">
        <v>90922</v>
      </c>
      <c r="Q81" s="37">
        <v>97095</v>
      </c>
      <c r="R81" s="37">
        <v>102183</v>
      </c>
      <c r="S81" s="37">
        <v>82521</v>
      </c>
      <c r="T81" s="37">
        <v>515464</v>
      </c>
      <c r="U81" s="37">
        <v>114077.44100000001</v>
      </c>
      <c r="V81" s="37">
        <v>32169.838</v>
      </c>
      <c r="W81" s="37">
        <v>28.2</v>
      </c>
      <c r="X81" s="37" t="s">
        <v>742</v>
      </c>
      <c r="Y81" s="37" t="s">
        <v>574</v>
      </c>
      <c r="Z81" s="37" t="s">
        <v>869</v>
      </c>
      <c r="AA81" s="37" t="s">
        <v>63</v>
      </c>
    </row>
    <row r="82" spans="1:27" x14ac:dyDescent="0.25">
      <c r="A82" s="37">
        <v>81</v>
      </c>
      <c r="B82" s="37" t="s">
        <v>839</v>
      </c>
      <c r="C82" s="37" t="s">
        <v>840</v>
      </c>
      <c r="D82" s="37">
        <v>2024</v>
      </c>
      <c r="E82" s="37">
        <v>18.899999999999999</v>
      </c>
      <c r="F82" s="37">
        <v>1129203</v>
      </c>
      <c r="G82" s="37">
        <v>800</v>
      </c>
      <c r="H82" s="37" t="s">
        <v>707</v>
      </c>
      <c r="I82" s="37" t="s">
        <v>538</v>
      </c>
      <c r="J82" s="37" t="s">
        <v>695</v>
      </c>
      <c r="K82" s="37">
        <v>1</v>
      </c>
      <c r="L82" s="37">
        <v>4</v>
      </c>
      <c r="M82" s="37">
        <v>28.2</v>
      </c>
      <c r="N82" s="37">
        <v>16154</v>
      </c>
      <c r="O82" s="37">
        <v>14861</v>
      </c>
      <c r="P82" s="37">
        <v>16438</v>
      </c>
      <c r="Q82" s="37">
        <v>13638</v>
      </c>
      <c r="R82" s="37">
        <v>11031</v>
      </c>
      <c r="S82" s="37">
        <v>13682</v>
      </c>
      <c r="T82" s="37">
        <v>85804</v>
      </c>
      <c r="U82" s="37">
        <v>9689.0130000000008</v>
      </c>
      <c r="V82" s="37">
        <v>2596.6550000000002</v>
      </c>
      <c r="W82" s="37">
        <v>26.8</v>
      </c>
      <c r="X82" s="37" t="s">
        <v>826</v>
      </c>
      <c r="Y82" s="37" t="s">
        <v>827</v>
      </c>
      <c r="Z82" s="37" t="s">
        <v>870</v>
      </c>
      <c r="AA82" s="37" t="s">
        <v>63</v>
      </c>
    </row>
    <row r="83" spans="1:27" x14ac:dyDescent="0.25">
      <c r="A83" s="37">
        <v>82</v>
      </c>
      <c r="B83" s="37" t="s">
        <v>758</v>
      </c>
      <c r="C83" s="37" t="s">
        <v>871</v>
      </c>
      <c r="D83" s="37">
        <v>2017</v>
      </c>
      <c r="E83" s="37">
        <v>10.3</v>
      </c>
      <c r="F83" s="37">
        <v>3370895</v>
      </c>
      <c r="G83" s="37">
        <v>1498</v>
      </c>
      <c r="H83" s="37" t="s">
        <v>753</v>
      </c>
      <c r="I83" s="37" t="s">
        <v>538</v>
      </c>
      <c r="J83" s="37" t="s">
        <v>695</v>
      </c>
      <c r="K83" s="37">
        <v>1</v>
      </c>
      <c r="L83" s="37">
        <v>4</v>
      </c>
      <c r="M83" s="37">
        <v>19.3</v>
      </c>
      <c r="N83" s="37">
        <v>0</v>
      </c>
      <c r="O83" s="37">
        <v>0</v>
      </c>
      <c r="P83" s="37">
        <v>0</v>
      </c>
      <c r="Q83" s="37">
        <v>0</v>
      </c>
      <c r="R83" s="37">
        <v>0</v>
      </c>
      <c r="S83" s="37">
        <v>0</v>
      </c>
      <c r="T83" s="37">
        <v>0</v>
      </c>
      <c r="U83" s="37">
        <v>0</v>
      </c>
      <c r="V83" s="37">
        <v>0</v>
      </c>
      <c r="W83" s="37">
        <v>10.4</v>
      </c>
      <c r="X83" s="37" t="s">
        <v>727</v>
      </c>
      <c r="Y83" s="37" t="s">
        <v>754</v>
      </c>
      <c r="Z83" s="37" t="s">
        <v>872</v>
      </c>
      <c r="AA83" s="37" t="s">
        <v>63</v>
      </c>
    </row>
    <row r="84" spans="1:27" x14ac:dyDescent="0.25">
      <c r="A84" s="37">
        <v>83</v>
      </c>
      <c r="B84" s="37" t="s">
        <v>745</v>
      </c>
      <c r="C84" s="37" t="s">
        <v>746</v>
      </c>
      <c r="D84" s="37">
        <v>2016</v>
      </c>
      <c r="E84" s="37">
        <v>21.1</v>
      </c>
      <c r="F84" s="37">
        <v>3266857</v>
      </c>
      <c r="G84" s="37">
        <v>1998</v>
      </c>
      <c r="H84" s="37" t="s">
        <v>701</v>
      </c>
      <c r="I84" s="37" t="s">
        <v>81</v>
      </c>
      <c r="J84" s="37" t="s">
        <v>695</v>
      </c>
      <c r="K84" s="37">
        <v>2</v>
      </c>
      <c r="L84" s="37">
        <v>8</v>
      </c>
      <c r="M84" s="37">
        <v>15.3</v>
      </c>
      <c r="N84" s="37">
        <v>0</v>
      </c>
      <c r="O84" s="37">
        <v>0</v>
      </c>
      <c r="P84" s="37">
        <v>0</v>
      </c>
      <c r="Q84" s="37">
        <v>0</v>
      </c>
      <c r="R84" s="37">
        <v>0</v>
      </c>
      <c r="S84" s="37">
        <v>0</v>
      </c>
      <c r="T84" s="37">
        <v>0</v>
      </c>
      <c r="U84" s="37">
        <v>0</v>
      </c>
      <c r="V84" s="37">
        <v>0</v>
      </c>
      <c r="W84" s="37">
        <v>14.3</v>
      </c>
      <c r="X84" s="37" t="s">
        <v>826</v>
      </c>
      <c r="Y84" s="37" t="s">
        <v>831</v>
      </c>
      <c r="Z84" s="37" t="s">
        <v>873</v>
      </c>
      <c r="AA84" s="37" t="s">
        <v>546</v>
      </c>
    </row>
    <row r="85" spans="1:27" x14ac:dyDescent="0.25">
      <c r="A85" s="37">
        <v>84</v>
      </c>
      <c r="B85" s="37" t="s">
        <v>761</v>
      </c>
      <c r="C85" s="37" t="s">
        <v>762</v>
      </c>
      <c r="D85" s="37">
        <v>2024</v>
      </c>
      <c r="E85" s="37">
        <v>22.8</v>
      </c>
      <c r="F85" s="37">
        <v>2300302</v>
      </c>
      <c r="G85" s="37">
        <v>1000</v>
      </c>
      <c r="H85" s="37" t="s">
        <v>726</v>
      </c>
      <c r="I85" s="37" t="s">
        <v>538</v>
      </c>
      <c r="J85" s="37" t="s">
        <v>715</v>
      </c>
      <c r="K85" s="37">
        <v>2</v>
      </c>
      <c r="L85" s="37">
        <v>8</v>
      </c>
      <c r="M85" s="37">
        <v>39.200000000000003</v>
      </c>
      <c r="N85" s="37">
        <v>11951</v>
      </c>
      <c r="O85" s="37">
        <v>9502</v>
      </c>
      <c r="P85" s="37">
        <v>10151</v>
      </c>
      <c r="Q85" s="37">
        <v>12341</v>
      </c>
      <c r="R85" s="37">
        <v>9900</v>
      </c>
      <c r="S85" s="37">
        <v>9202</v>
      </c>
      <c r="T85" s="37">
        <v>63047</v>
      </c>
      <c r="U85" s="37">
        <v>14502.714</v>
      </c>
      <c r="V85" s="37">
        <v>-536.6</v>
      </c>
      <c r="W85" s="37">
        <v>-3.7</v>
      </c>
      <c r="X85" s="37" t="s">
        <v>696</v>
      </c>
      <c r="Y85" s="37" t="s">
        <v>594</v>
      </c>
      <c r="Z85" s="37" t="s">
        <v>874</v>
      </c>
      <c r="AA85" s="37" t="s">
        <v>546</v>
      </c>
    </row>
    <row r="86" spans="1:27" x14ac:dyDescent="0.25">
      <c r="A86" s="37">
        <v>85</v>
      </c>
      <c r="B86" s="37" t="s">
        <v>692</v>
      </c>
      <c r="C86" s="37" t="s">
        <v>875</v>
      </c>
      <c r="D86" s="37">
        <v>2018</v>
      </c>
      <c r="E86" s="37">
        <v>11.6</v>
      </c>
      <c r="F86" s="37">
        <v>3074305</v>
      </c>
      <c r="G86" s="37">
        <v>2997</v>
      </c>
      <c r="H86" s="37" t="s">
        <v>726</v>
      </c>
      <c r="I86" s="37" t="s">
        <v>538</v>
      </c>
      <c r="J86" s="37" t="s">
        <v>708</v>
      </c>
      <c r="K86" s="37">
        <v>4</v>
      </c>
      <c r="L86" s="37">
        <v>5</v>
      </c>
      <c r="M86" s="37">
        <v>39.9</v>
      </c>
      <c r="N86" s="37">
        <v>0</v>
      </c>
      <c r="O86" s="37">
        <v>0</v>
      </c>
      <c r="P86" s="37">
        <v>0</v>
      </c>
      <c r="Q86" s="37">
        <v>0</v>
      </c>
      <c r="R86" s="37">
        <v>0</v>
      </c>
      <c r="S86" s="37">
        <v>0</v>
      </c>
      <c r="T86" s="37">
        <v>0</v>
      </c>
      <c r="U86" s="37">
        <v>0</v>
      </c>
      <c r="V86" s="37">
        <v>0</v>
      </c>
      <c r="W86" s="37">
        <v>15</v>
      </c>
      <c r="X86" s="37" t="s">
        <v>826</v>
      </c>
      <c r="Y86" s="37" t="s">
        <v>831</v>
      </c>
      <c r="Z86" s="37" t="s">
        <v>876</v>
      </c>
      <c r="AA86" s="37" t="s">
        <v>546</v>
      </c>
    </row>
    <row r="87" spans="1:27" x14ac:dyDescent="0.25">
      <c r="A87" s="37">
        <v>86</v>
      </c>
      <c r="B87" s="37" t="s">
        <v>761</v>
      </c>
      <c r="C87" s="37" t="s">
        <v>762</v>
      </c>
      <c r="D87" s="37">
        <v>2014</v>
      </c>
      <c r="E87" s="37">
        <v>23.3</v>
      </c>
      <c r="F87" s="37">
        <v>2796869</v>
      </c>
      <c r="G87" s="37">
        <v>1598</v>
      </c>
      <c r="H87" s="37" t="s">
        <v>714</v>
      </c>
      <c r="I87" s="37" t="s">
        <v>538</v>
      </c>
      <c r="J87" s="37" t="s">
        <v>708</v>
      </c>
      <c r="K87" s="37">
        <v>0</v>
      </c>
      <c r="L87" s="37">
        <v>6</v>
      </c>
      <c r="M87" s="37">
        <v>22.6</v>
      </c>
      <c r="N87" s="37">
        <v>34822</v>
      </c>
      <c r="O87" s="37">
        <v>29927</v>
      </c>
      <c r="P87" s="37">
        <v>32942</v>
      </c>
      <c r="Q87" s="37">
        <v>42392</v>
      </c>
      <c r="R87" s="37">
        <v>39930</v>
      </c>
      <c r="S87" s="37">
        <v>38290</v>
      </c>
      <c r="T87" s="37">
        <v>218303</v>
      </c>
      <c r="U87" s="37">
        <v>61056.489000000001</v>
      </c>
      <c r="V87" s="37">
        <v>-732.678</v>
      </c>
      <c r="W87" s="37">
        <v>-1.2</v>
      </c>
      <c r="X87" s="37" t="s">
        <v>763</v>
      </c>
      <c r="Y87" s="37" t="s">
        <v>764</v>
      </c>
      <c r="Z87" s="37" t="s">
        <v>877</v>
      </c>
      <c r="AA87" s="37" t="s">
        <v>63</v>
      </c>
    </row>
    <row r="88" spans="1:27" x14ac:dyDescent="0.25">
      <c r="A88" s="37">
        <v>87</v>
      </c>
      <c r="B88" s="37" t="s">
        <v>692</v>
      </c>
      <c r="C88" s="37" t="s">
        <v>875</v>
      </c>
      <c r="D88" s="37">
        <v>2017</v>
      </c>
      <c r="E88" s="37">
        <v>18.8</v>
      </c>
      <c r="F88" s="37">
        <v>631089</v>
      </c>
      <c r="G88" s="37">
        <v>1248</v>
      </c>
      <c r="H88" s="37" t="s">
        <v>694</v>
      </c>
      <c r="I88" s="37" t="s">
        <v>538</v>
      </c>
      <c r="J88" s="37" t="s">
        <v>715</v>
      </c>
      <c r="K88" s="37">
        <v>1</v>
      </c>
      <c r="L88" s="37">
        <v>8</v>
      </c>
      <c r="M88" s="37">
        <v>15.2</v>
      </c>
      <c r="N88" s="37">
        <v>0</v>
      </c>
      <c r="O88" s="37">
        <v>0</v>
      </c>
      <c r="P88" s="37">
        <v>0</v>
      </c>
      <c r="Q88" s="37">
        <v>0</v>
      </c>
      <c r="R88" s="37">
        <v>0</v>
      </c>
      <c r="S88" s="37">
        <v>0</v>
      </c>
      <c r="T88" s="37">
        <v>0</v>
      </c>
      <c r="U88" s="37">
        <v>0</v>
      </c>
      <c r="V88" s="37">
        <v>0</v>
      </c>
      <c r="W88" s="37">
        <v>29.5</v>
      </c>
      <c r="X88" s="37" t="s">
        <v>703</v>
      </c>
      <c r="Y88" s="37" t="s">
        <v>542</v>
      </c>
      <c r="Z88" s="37" t="s">
        <v>878</v>
      </c>
      <c r="AA88" s="37" t="s">
        <v>63</v>
      </c>
    </row>
    <row r="89" spans="1:27" x14ac:dyDescent="0.25">
      <c r="A89" s="37">
        <v>88</v>
      </c>
      <c r="B89" s="37" t="s">
        <v>699</v>
      </c>
      <c r="C89" s="37" t="s">
        <v>879</v>
      </c>
      <c r="D89" s="37">
        <v>2007</v>
      </c>
      <c r="E89" s="37">
        <v>14</v>
      </c>
      <c r="F89" s="37">
        <v>1521869</v>
      </c>
      <c r="G89" s="37">
        <v>1998</v>
      </c>
      <c r="H89" s="37" t="s">
        <v>714</v>
      </c>
      <c r="I89" s="37" t="s">
        <v>538</v>
      </c>
      <c r="J89" s="37" t="s">
        <v>702</v>
      </c>
      <c r="K89" s="37">
        <v>2</v>
      </c>
      <c r="L89" s="37">
        <v>4</v>
      </c>
      <c r="M89" s="37">
        <v>21.1</v>
      </c>
      <c r="N89" s="37">
        <v>44426</v>
      </c>
      <c r="O89" s="37">
        <v>47288</v>
      </c>
      <c r="P89" s="37">
        <v>44632</v>
      </c>
      <c r="Q89" s="37">
        <v>53683</v>
      </c>
      <c r="R89" s="37">
        <v>58175</v>
      </c>
      <c r="S89" s="37">
        <v>56241</v>
      </c>
      <c r="T89" s="37">
        <v>304445</v>
      </c>
      <c r="U89" s="37">
        <v>46332.540999999997</v>
      </c>
      <c r="V89" s="37">
        <v>-1621.6389999999999</v>
      </c>
      <c r="W89" s="37">
        <v>-3.5</v>
      </c>
      <c r="X89" s="37" t="s">
        <v>826</v>
      </c>
      <c r="Y89" s="37" t="s">
        <v>827</v>
      </c>
      <c r="Z89" s="37" t="s">
        <v>880</v>
      </c>
      <c r="AA89" s="37" t="s">
        <v>63</v>
      </c>
    </row>
    <row r="90" spans="1:27" x14ac:dyDescent="0.25">
      <c r="A90" s="37">
        <v>89</v>
      </c>
      <c r="B90" s="37" t="s">
        <v>805</v>
      </c>
      <c r="C90" s="37" t="s">
        <v>881</v>
      </c>
      <c r="D90" s="37">
        <v>2012</v>
      </c>
      <c r="E90" s="37">
        <v>19.600000000000001</v>
      </c>
      <c r="F90" s="37">
        <v>1148999</v>
      </c>
      <c r="G90" s="37">
        <v>1000</v>
      </c>
      <c r="H90" s="37" t="s">
        <v>753</v>
      </c>
      <c r="I90" s="37" t="s">
        <v>736</v>
      </c>
      <c r="J90" s="37" t="s">
        <v>715</v>
      </c>
      <c r="K90" s="37">
        <v>5</v>
      </c>
      <c r="L90" s="37">
        <v>5</v>
      </c>
      <c r="M90" s="37">
        <v>30.7</v>
      </c>
      <c r="N90" s="37">
        <v>15069</v>
      </c>
      <c r="O90" s="37">
        <v>18419</v>
      </c>
      <c r="P90" s="37">
        <v>22269</v>
      </c>
      <c r="Q90" s="37">
        <v>28114</v>
      </c>
      <c r="R90" s="37">
        <v>28687</v>
      </c>
      <c r="S90" s="37">
        <v>25439</v>
      </c>
      <c r="T90" s="37">
        <v>137997</v>
      </c>
      <c r="U90" s="37">
        <v>15855.842000000001</v>
      </c>
      <c r="V90" s="37">
        <v>-523.24300000000005</v>
      </c>
      <c r="W90" s="37">
        <v>-3.3</v>
      </c>
      <c r="X90" s="37" t="s">
        <v>763</v>
      </c>
      <c r="Y90" s="37" t="s">
        <v>764</v>
      </c>
      <c r="Z90" s="37" t="s">
        <v>882</v>
      </c>
      <c r="AA90" s="37" t="s">
        <v>546</v>
      </c>
    </row>
    <row r="91" spans="1:27" x14ac:dyDescent="0.25">
      <c r="A91" s="37">
        <v>90</v>
      </c>
      <c r="B91" s="37" t="s">
        <v>738</v>
      </c>
      <c r="C91" s="37" t="s">
        <v>883</v>
      </c>
      <c r="D91" s="37">
        <v>2008</v>
      </c>
      <c r="E91" s="37">
        <v>15.6</v>
      </c>
      <c r="F91" s="37">
        <v>1106420</v>
      </c>
      <c r="G91" s="37">
        <v>1396</v>
      </c>
      <c r="H91" s="37" t="s">
        <v>694</v>
      </c>
      <c r="I91" s="37" t="s">
        <v>81</v>
      </c>
      <c r="J91" s="37" t="s">
        <v>715</v>
      </c>
      <c r="K91" s="37">
        <v>0</v>
      </c>
      <c r="L91" s="37">
        <v>5</v>
      </c>
      <c r="M91" s="37">
        <v>28.4</v>
      </c>
      <c r="N91" s="37">
        <v>13534</v>
      </c>
      <c r="O91" s="37">
        <v>12193</v>
      </c>
      <c r="P91" s="37">
        <v>14322</v>
      </c>
      <c r="Q91" s="37">
        <v>14774</v>
      </c>
      <c r="R91" s="37">
        <v>15038</v>
      </c>
      <c r="S91" s="37">
        <v>18985</v>
      </c>
      <c r="T91" s="37">
        <v>88846</v>
      </c>
      <c r="U91" s="37">
        <v>9830.0990000000002</v>
      </c>
      <c r="V91" s="37">
        <v>2201.942</v>
      </c>
      <c r="W91" s="37">
        <v>22.4</v>
      </c>
      <c r="X91" s="37" t="s">
        <v>781</v>
      </c>
      <c r="Y91" s="37" t="s">
        <v>592</v>
      </c>
      <c r="Z91" s="37" t="s">
        <v>845</v>
      </c>
      <c r="AA91" s="37" t="s">
        <v>63</v>
      </c>
    </row>
    <row r="92" spans="1:27" x14ac:dyDescent="0.25">
      <c r="A92" s="37">
        <v>91</v>
      </c>
      <c r="B92" s="37" t="s">
        <v>730</v>
      </c>
      <c r="C92" s="37" t="s">
        <v>809</v>
      </c>
      <c r="D92" s="37">
        <v>2009</v>
      </c>
      <c r="E92" s="37">
        <v>25.5</v>
      </c>
      <c r="F92" s="37">
        <v>2967036</v>
      </c>
      <c r="G92" s="37">
        <v>1598</v>
      </c>
      <c r="H92" s="37" t="s">
        <v>694</v>
      </c>
      <c r="I92" s="37" t="s">
        <v>736</v>
      </c>
      <c r="J92" s="37" t="s">
        <v>702</v>
      </c>
      <c r="K92" s="37">
        <v>1</v>
      </c>
      <c r="L92" s="37">
        <v>7</v>
      </c>
      <c r="M92" s="37">
        <v>15.1</v>
      </c>
      <c r="N92" s="37">
        <v>15201</v>
      </c>
      <c r="O92" s="37">
        <v>12517</v>
      </c>
      <c r="P92" s="37">
        <v>13100</v>
      </c>
      <c r="Q92" s="37">
        <v>13494</v>
      </c>
      <c r="R92" s="37">
        <v>12542</v>
      </c>
      <c r="S92" s="37">
        <v>14812</v>
      </c>
      <c r="T92" s="37">
        <v>81666</v>
      </c>
      <c r="U92" s="37">
        <v>24230.596000000001</v>
      </c>
      <c r="V92" s="37">
        <v>7123.7950000000001</v>
      </c>
      <c r="W92" s="37">
        <v>29.4</v>
      </c>
      <c r="X92" s="37" t="s">
        <v>788</v>
      </c>
      <c r="Y92" s="37" t="s">
        <v>884</v>
      </c>
      <c r="Z92" s="37" t="s">
        <v>885</v>
      </c>
      <c r="AA92" s="37" t="s">
        <v>63</v>
      </c>
    </row>
    <row r="93" spans="1:27" x14ac:dyDescent="0.25">
      <c r="A93" s="37">
        <v>92</v>
      </c>
      <c r="B93" s="37" t="s">
        <v>839</v>
      </c>
      <c r="C93" s="37" t="s">
        <v>886</v>
      </c>
      <c r="D93" s="37">
        <v>2013</v>
      </c>
      <c r="E93" s="37">
        <v>24.2</v>
      </c>
      <c r="F93" s="37">
        <v>1964561</v>
      </c>
      <c r="G93" s="37">
        <v>2498</v>
      </c>
      <c r="H93" s="37" t="s">
        <v>753</v>
      </c>
      <c r="I93" s="37" t="s">
        <v>538</v>
      </c>
      <c r="J93" s="37" t="s">
        <v>702</v>
      </c>
      <c r="K93" s="37">
        <v>0</v>
      </c>
      <c r="L93" s="37">
        <v>5</v>
      </c>
      <c r="M93" s="37">
        <v>23.7</v>
      </c>
      <c r="N93" s="37">
        <v>40631</v>
      </c>
      <c r="O93" s="37">
        <v>32538</v>
      </c>
      <c r="P93" s="37">
        <v>31572</v>
      </c>
      <c r="Q93" s="37">
        <v>28852</v>
      </c>
      <c r="R93" s="37">
        <v>27987</v>
      </c>
      <c r="S93" s="37">
        <v>29339</v>
      </c>
      <c r="T93" s="37">
        <v>190919</v>
      </c>
      <c r="U93" s="37">
        <v>37507.201999999997</v>
      </c>
      <c r="V93" s="37">
        <v>787.65099999999995</v>
      </c>
      <c r="W93" s="37">
        <v>2.1</v>
      </c>
      <c r="X93" s="37" t="s">
        <v>716</v>
      </c>
      <c r="Y93" s="37" t="s">
        <v>717</v>
      </c>
      <c r="Z93" s="37" t="s">
        <v>718</v>
      </c>
      <c r="AA93" s="37" t="s">
        <v>546</v>
      </c>
    </row>
    <row r="94" spans="1:27" x14ac:dyDescent="0.25">
      <c r="A94" s="37">
        <v>93</v>
      </c>
      <c r="B94" s="37" t="s">
        <v>805</v>
      </c>
      <c r="C94" s="37" t="s">
        <v>881</v>
      </c>
      <c r="D94" s="37">
        <v>2024</v>
      </c>
      <c r="E94" s="37">
        <v>21.9</v>
      </c>
      <c r="F94" s="37">
        <v>807056</v>
      </c>
      <c r="G94" s="37">
        <v>1248</v>
      </c>
      <c r="H94" s="37" t="s">
        <v>701</v>
      </c>
      <c r="I94" s="37" t="s">
        <v>736</v>
      </c>
      <c r="J94" s="37" t="s">
        <v>715</v>
      </c>
      <c r="K94" s="37">
        <v>4</v>
      </c>
      <c r="L94" s="37">
        <v>5</v>
      </c>
      <c r="M94" s="37">
        <v>37.700000000000003</v>
      </c>
      <c r="N94" s="37">
        <v>17632</v>
      </c>
      <c r="O94" s="37">
        <v>20044</v>
      </c>
      <c r="P94" s="37">
        <v>23007</v>
      </c>
      <c r="Q94" s="37">
        <v>18549</v>
      </c>
      <c r="R94" s="37">
        <v>22309</v>
      </c>
      <c r="S94" s="37">
        <v>23849</v>
      </c>
      <c r="T94" s="37">
        <v>125390</v>
      </c>
      <c r="U94" s="37">
        <v>10119.674999999999</v>
      </c>
      <c r="V94" s="37">
        <v>2013.8150000000001</v>
      </c>
      <c r="W94" s="37">
        <v>19.899999999999999</v>
      </c>
      <c r="X94" s="37" t="s">
        <v>696</v>
      </c>
      <c r="Y94" s="37" t="s">
        <v>594</v>
      </c>
      <c r="Z94" s="37" t="s">
        <v>837</v>
      </c>
      <c r="AA94" s="37" t="s">
        <v>63</v>
      </c>
    </row>
    <row r="95" spans="1:27" x14ac:dyDescent="0.25">
      <c r="A95" s="37">
        <v>94</v>
      </c>
      <c r="B95" s="37" t="s">
        <v>692</v>
      </c>
      <c r="C95" s="37" t="s">
        <v>887</v>
      </c>
      <c r="D95" s="37">
        <v>2016</v>
      </c>
      <c r="E95" s="37">
        <v>15.8</v>
      </c>
      <c r="F95" s="37">
        <v>1328735</v>
      </c>
      <c r="G95" s="37">
        <v>800</v>
      </c>
      <c r="H95" s="37" t="s">
        <v>694</v>
      </c>
      <c r="I95" s="37" t="s">
        <v>538</v>
      </c>
      <c r="J95" s="37" t="s">
        <v>695</v>
      </c>
      <c r="K95" s="37">
        <v>2</v>
      </c>
      <c r="L95" s="37">
        <v>5</v>
      </c>
      <c r="M95" s="37">
        <v>22.4</v>
      </c>
      <c r="N95" s="37">
        <v>35767</v>
      </c>
      <c r="O95" s="37">
        <v>37434</v>
      </c>
      <c r="P95" s="37">
        <v>35140</v>
      </c>
      <c r="Q95" s="37">
        <v>38902</v>
      </c>
      <c r="R95" s="37">
        <v>33922</v>
      </c>
      <c r="S95" s="37">
        <v>31450</v>
      </c>
      <c r="T95" s="37">
        <v>212615</v>
      </c>
      <c r="U95" s="37">
        <v>28250.899000000001</v>
      </c>
      <c r="V95" s="37">
        <v>-565.01800000000003</v>
      </c>
      <c r="W95" s="37">
        <v>-2</v>
      </c>
      <c r="X95" s="37" t="s">
        <v>716</v>
      </c>
      <c r="Y95" s="37" t="s">
        <v>717</v>
      </c>
      <c r="Z95" s="37" t="s">
        <v>859</v>
      </c>
      <c r="AA95" s="37" t="s">
        <v>63</v>
      </c>
    </row>
    <row r="96" spans="1:27" x14ac:dyDescent="0.25">
      <c r="A96" s="37">
        <v>95</v>
      </c>
      <c r="B96" s="37" t="s">
        <v>839</v>
      </c>
      <c r="C96" s="37" t="s">
        <v>840</v>
      </c>
      <c r="D96" s="37">
        <v>2020</v>
      </c>
      <c r="E96" s="37">
        <v>23.8</v>
      </c>
      <c r="F96" s="37">
        <v>2851508</v>
      </c>
      <c r="G96" s="37">
        <v>800</v>
      </c>
      <c r="H96" s="37" t="s">
        <v>701</v>
      </c>
      <c r="I96" s="37" t="s">
        <v>736</v>
      </c>
      <c r="J96" s="37" t="s">
        <v>708</v>
      </c>
      <c r="K96" s="37">
        <v>4</v>
      </c>
      <c r="L96" s="37">
        <v>7</v>
      </c>
      <c r="M96" s="37">
        <v>20.9</v>
      </c>
      <c r="N96" s="37">
        <v>36249</v>
      </c>
      <c r="O96" s="37">
        <v>39681</v>
      </c>
      <c r="P96" s="37">
        <v>34351</v>
      </c>
      <c r="Q96" s="37">
        <v>39409</v>
      </c>
      <c r="R96" s="37">
        <v>50811</v>
      </c>
      <c r="S96" s="37">
        <v>54545</v>
      </c>
      <c r="T96" s="37">
        <v>255046</v>
      </c>
      <c r="U96" s="37">
        <v>72726.570999999996</v>
      </c>
      <c r="V96" s="37">
        <v>4145.415</v>
      </c>
      <c r="W96" s="37">
        <v>5.7</v>
      </c>
      <c r="X96" s="37" t="s">
        <v>763</v>
      </c>
      <c r="Y96" s="37" t="s">
        <v>764</v>
      </c>
      <c r="Z96" s="37" t="s">
        <v>888</v>
      </c>
      <c r="AA96" s="37" t="s">
        <v>541</v>
      </c>
    </row>
    <row r="97" spans="1:27" x14ac:dyDescent="0.25">
      <c r="A97" s="37">
        <v>96</v>
      </c>
      <c r="B97" s="37" t="s">
        <v>719</v>
      </c>
      <c r="C97" s="37" t="s">
        <v>834</v>
      </c>
      <c r="D97" s="37">
        <v>2013</v>
      </c>
      <c r="E97" s="37">
        <v>26.8</v>
      </c>
      <c r="F97" s="37">
        <v>2963194</v>
      </c>
      <c r="G97" s="37">
        <v>1000</v>
      </c>
      <c r="H97" s="37" t="s">
        <v>707</v>
      </c>
      <c r="I97" s="37" t="s">
        <v>538</v>
      </c>
      <c r="J97" s="37" t="s">
        <v>715</v>
      </c>
      <c r="K97" s="37">
        <v>0</v>
      </c>
      <c r="L97" s="37">
        <v>7</v>
      </c>
      <c r="M97" s="37">
        <v>35.299999999999997</v>
      </c>
      <c r="N97" s="37">
        <v>33938</v>
      </c>
      <c r="O97" s="37">
        <v>36119</v>
      </c>
      <c r="P97" s="37">
        <v>42133</v>
      </c>
      <c r="Q97" s="37">
        <v>46832</v>
      </c>
      <c r="R97" s="37">
        <v>52471</v>
      </c>
      <c r="S97" s="37">
        <v>59328</v>
      </c>
      <c r="T97" s="37">
        <v>270821</v>
      </c>
      <c r="U97" s="37">
        <v>80249.516000000003</v>
      </c>
      <c r="V97" s="37">
        <v>6660.71</v>
      </c>
      <c r="W97" s="37">
        <v>8.3000000000000007</v>
      </c>
      <c r="X97" s="37" t="s">
        <v>742</v>
      </c>
      <c r="Y97" s="37" t="s">
        <v>743</v>
      </c>
      <c r="Z97" s="37" t="s">
        <v>854</v>
      </c>
      <c r="AA97" s="37" t="s">
        <v>63</v>
      </c>
    </row>
    <row r="98" spans="1:27" x14ac:dyDescent="0.25">
      <c r="A98" s="37">
        <v>97</v>
      </c>
      <c r="B98" s="37" t="s">
        <v>705</v>
      </c>
      <c r="C98" s="37" t="s">
        <v>706</v>
      </c>
      <c r="D98" s="37">
        <v>2006</v>
      </c>
      <c r="E98" s="37">
        <v>22.9</v>
      </c>
      <c r="F98" s="37">
        <v>1649693</v>
      </c>
      <c r="G98" s="37">
        <v>1396</v>
      </c>
      <c r="H98" s="37" t="s">
        <v>707</v>
      </c>
      <c r="I98" s="37" t="s">
        <v>544</v>
      </c>
      <c r="J98" s="37" t="s">
        <v>708</v>
      </c>
      <c r="K98" s="37">
        <v>2</v>
      </c>
      <c r="L98" s="37">
        <v>4</v>
      </c>
      <c r="M98" s="37">
        <v>35.299999999999997</v>
      </c>
      <c r="N98" s="37">
        <v>40612</v>
      </c>
      <c r="O98" s="37">
        <v>48609</v>
      </c>
      <c r="P98" s="37">
        <v>42063</v>
      </c>
      <c r="Q98" s="37">
        <v>51263</v>
      </c>
      <c r="R98" s="37">
        <v>50106</v>
      </c>
      <c r="S98" s="37">
        <v>54958</v>
      </c>
      <c r="T98" s="37">
        <v>287611</v>
      </c>
      <c r="U98" s="37">
        <v>47446.985000000001</v>
      </c>
      <c r="V98" s="37">
        <v>10770.466</v>
      </c>
      <c r="W98" s="37">
        <v>22.7</v>
      </c>
      <c r="X98" s="37" t="s">
        <v>763</v>
      </c>
      <c r="Y98" s="37" t="s">
        <v>807</v>
      </c>
      <c r="Z98" s="37" t="s">
        <v>889</v>
      </c>
      <c r="AA98" s="37" t="s">
        <v>546</v>
      </c>
    </row>
    <row r="99" spans="1:27" x14ac:dyDescent="0.25">
      <c r="A99" s="37">
        <v>98</v>
      </c>
      <c r="B99" s="37" t="s">
        <v>692</v>
      </c>
      <c r="C99" s="37" t="s">
        <v>875</v>
      </c>
      <c r="D99" s="37">
        <v>2015</v>
      </c>
      <c r="E99" s="37">
        <v>24.2</v>
      </c>
      <c r="F99" s="37">
        <v>3309730</v>
      </c>
      <c r="G99" s="37">
        <v>1598</v>
      </c>
      <c r="H99" s="37" t="s">
        <v>707</v>
      </c>
      <c r="I99" s="37" t="s">
        <v>81</v>
      </c>
      <c r="J99" s="37" t="s">
        <v>702</v>
      </c>
      <c r="K99" s="37">
        <v>0</v>
      </c>
      <c r="L99" s="37">
        <v>5</v>
      </c>
      <c r="M99" s="37">
        <v>28.8</v>
      </c>
      <c r="N99" s="37">
        <v>0</v>
      </c>
      <c r="O99" s="37">
        <v>0</v>
      </c>
      <c r="P99" s="37">
        <v>0</v>
      </c>
      <c r="Q99" s="37">
        <v>0</v>
      </c>
      <c r="R99" s="37">
        <v>0</v>
      </c>
      <c r="S99" s="37">
        <v>0</v>
      </c>
      <c r="T99" s="37">
        <v>0</v>
      </c>
      <c r="U99" s="37">
        <v>0</v>
      </c>
      <c r="V99" s="37">
        <v>0</v>
      </c>
      <c r="W99" s="37">
        <v>22.1</v>
      </c>
      <c r="X99" s="37" t="s">
        <v>742</v>
      </c>
      <c r="Y99" s="37" t="s">
        <v>835</v>
      </c>
      <c r="Z99" s="37" t="s">
        <v>890</v>
      </c>
      <c r="AA99" s="37" t="s">
        <v>546</v>
      </c>
    </row>
    <row r="100" spans="1:27" x14ac:dyDescent="0.25">
      <c r="A100" s="37">
        <v>99</v>
      </c>
      <c r="B100" s="37" t="s">
        <v>724</v>
      </c>
      <c r="C100" s="37" t="s">
        <v>891</v>
      </c>
      <c r="D100" s="37">
        <v>2024</v>
      </c>
      <c r="E100" s="37">
        <v>14.2</v>
      </c>
      <c r="F100" s="37">
        <v>1387924</v>
      </c>
      <c r="G100" s="37">
        <v>800</v>
      </c>
      <c r="H100" s="37" t="s">
        <v>714</v>
      </c>
      <c r="I100" s="37" t="s">
        <v>538</v>
      </c>
      <c r="J100" s="37" t="s">
        <v>708</v>
      </c>
      <c r="K100" s="37">
        <v>3</v>
      </c>
      <c r="L100" s="37">
        <v>4</v>
      </c>
      <c r="M100" s="37">
        <v>6</v>
      </c>
      <c r="N100" s="37">
        <v>0</v>
      </c>
      <c r="O100" s="37">
        <v>0</v>
      </c>
      <c r="P100" s="37">
        <v>0</v>
      </c>
      <c r="Q100" s="37">
        <v>0</v>
      </c>
      <c r="R100" s="37">
        <v>0</v>
      </c>
      <c r="S100" s="37">
        <v>0</v>
      </c>
      <c r="T100" s="37">
        <v>0</v>
      </c>
      <c r="U100" s="37">
        <v>0</v>
      </c>
      <c r="V100" s="37">
        <v>0</v>
      </c>
      <c r="W100" s="37">
        <v>2</v>
      </c>
      <c r="X100" s="37" t="s">
        <v>763</v>
      </c>
      <c r="Y100" s="37" t="s">
        <v>764</v>
      </c>
      <c r="Z100" s="37" t="s">
        <v>892</v>
      </c>
      <c r="AA100" s="37" t="s">
        <v>63</v>
      </c>
    </row>
    <row r="101" spans="1:27" x14ac:dyDescent="0.25">
      <c r="A101" s="37">
        <v>100</v>
      </c>
      <c r="B101" s="37" t="s">
        <v>719</v>
      </c>
      <c r="C101" s="37" t="s">
        <v>834</v>
      </c>
      <c r="D101" s="37">
        <v>2012</v>
      </c>
      <c r="E101" s="37">
        <v>20.5</v>
      </c>
      <c r="F101" s="37">
        <v>846091</v>
      </c>
      <c r="G101" s="37">
        <v>1248</v>
      </c>
      <c r="H101" s="37" t="s">
        <v>753</v>
      </c>
      <c r="I101" s="37" t="s">
        <v>736</v>
      </c>
      <c r="J101" s="37" t="s">
        <v>715</v>
      </c>
      <c r="K101" s="37">
        <v>5</v>
      </c>
      <c r="L101" s="37">
        <v>8</v>
      </c>
      <c r="M101" s="37">
        <v>27.7</v>
      </c>
      <c r="N101" s="37">
        <v>4306</v>
      </c>
      <c r="O101" s="37">
        <v>3144</v>
      </c>
      <c r="P101" s="37">
        <v>2854</v>
      </c>
      <c r="Q101" s="37">
        <v>2967</v>
      </c>
      <c r="R101" s="37">
        <v>3833</v>
      </c>
      <c r="S101" s="37">
        <v>4467</v>
      </c>
      <c r="T101" s="37">
        <v>21571</v>
      </c>
      <c r="U101" s="37">
        <v>1825.1030000000001</v>
      </c>
      <c r="V101" s="37">
        <v>288.36599999999999</v>
      </c>
      <c r="W101" s="37">
        <v>15.8</v>
      </c>
      <c r="X101" s="37" t="s">
        <v>788</v>
      </c>
      <c r="Y101" s="37" t="s">
        <v>535</v>
      </c>
      <c r="Z101" s="37" t="s">
        <v>848</v>
      </c>
      <c r="AA101" s="37" t="s">
        <v>541</v>
      </c>
    </row>
    <row r="102" spans="1:27" x14ac:dyDescent="0.25">
      <c r="A102" s="37">
        <v>101</v>
      </c>
      <c r="B102" s="37" t="s">
        <v>793</v>
      </c>
      <c r="C102" s="37" t="s">
        <v>794</v>
      </c>
      <c r="D102" s="37">
        <v>2018</v>
      </c>
      <c r="E102" s="37">
        <v>13.8</v>
      </c>
      <c r="F102" s="37">
        <v>2316729</v>
      </c>
      <c r="G102" s="37">
        <v>1000</v>
      </c>
      <c r="H102" s="37" t="s">
        <v>707</v>
      </c>
      <c r="I102" s="37" t="s">
        <v>538</v>
      </c>
      <c r="J102" s="37" t="s">
        <v>695</v>
      </c>
      <c r="K102" s="37">
        <v>4</v>
      </c>
      <c r="L102" s="37">
        <v>7</v>
      </c>
      <c r="M102" s="37">
        <v>8.8000000000000007</v>
      </c>
      <c r="N102" s="37">
        <v>19548</v>
      </c>
      <c r="O102" s="37">
        <v>21946</v>
      </c>
      <c r="P102" s="37">
        <v>26933</v>
      </c>
      <c r="Q102" s="37">
        <v>28486</v>
      </c>
      <c r="R102" s="37">
        <v>35031</v>
      </c>
      <c r="S102" s="37">
        <v>28156</v>
      </c>
      <c r="T102" s="37">
        <v>160100</v>
      </c>
      <c r="U102" s="37">
        <v>37090.830999999998</v>
      </c>
      <c r="V102" s="37">
        <v>9829.07</v>
      </c>
      <c r="W102" s="37">
        <v>26.5</v>
      </c>
      <c r="X102" s="37" t="s">
        <v>742</v>
      </c>
      <c r="Y102" s="37" t="s">
        <v>574</v>
      </c>
      <c r="Z102" s="37" t="s">
        <v>825</v>
      </c>
      <c r="AA102" s="37" t="s">
        <v>63</v>
      </c>
    </row>
    <row r="103" spans="1:27" x14ac:dyDescent="0.25">
      <c r="A103" s="37">
        <v>102</v>
      </c>
      <c r="B103" s="37" t="s">
        <v>805</v>
      </c>
      <c r="C103" s="37" t="s">
        <v>893</v>
      </c>
      <c r="D103" s="37">
        <v>2009</v>
      </c>
      <c r="E103" s="37">
        <v>20.7</v>
      </c>
      <c r="F103" s="37">
        <v>2020459</v>
      </c>
      <c r="G103" s="37">
        <v>1396</v>
      </c>
      <c r="H103" s="37" t="s">
        <v>726</v>
      </c>
      <c r="I103" s="37" t="s">
        <v>538</v>
      </c>
      <c r="J103" s="37" t="s">
        <v>695</v>
      </c>
      <c r="K103" s="37">
        <v>3</v>
      </c>
      <c r="L103" s="37">
        <v>4</v>
      </c>
      <c r="M103" s="37">
        <v>12.5</v>
      </c>
      <c r="N103" s="37">
        <v>15433</v>
      </c>
      <c r="O103" s="37">
        <v>13468</v>
      </c>
      <c r="P103" s="37">
        <v>16098</v>
      </c>
      <c r="Q103" s="37">
        <v>14220</v>
      </c>
      <c r="R103" s="37">
        <v>15574</v>
      </c>
      <c r="S103" s="37">
        <v>13400</v>
      </c>
      <c r="T103" s="37">
        <v>88193</v>
      </c>
      <c r="U103" s="37">
        <v>17819.034</v>
      </c>
      <c r="V103" s="37">
        <v>2583.7600000000002</v>
      </c>
      <c r="W103" s="37">
        <v>14.5</v>
      </c>
      <c r="X103" s="37" t="s">
        <v>781</v>
      </c>
      <c r="Y103" s="37" t="s">
        <v>571</v>
      </c>
      <c r="Z103" s="37" t="s">
        <v>784</v>
      </c>
      <c r="AA103" s="37" t="s">
        <v>63</v>
      </c>
    </row>
    <row r="104" spans="1:27" x14ac:dyDescent="0.25">
      <c r="A104" s="37">
        <v>103</v>
      </c>
      <c r="B104" s="37" t="s">
        <v>738</v>
      </c>
      <c r="C104" s="37" t="s">
        <v>780</v>
      </c>
      <c r="D104" s="37">
        <v>2019</v>
      </c>
      <c r="E104" s="37">
        <v>23</v>
      </c>
      <c r="F104" s="37">
        <v>847717</v>
      </c>
      <c r="G104" s="37">
        <v>2498</v>
      </c>
      <c r="H104" s="37" t="s">
        <v>694</v>
      </c>
      <c r="I104" s="37" t="s">
        <v>538</v>
      </c>
      <c r="J104" s="37" t="s">
        <v>715</v>
      </c>
      <c r="K104" s="37">
        <v>3</v>
      </c>
      <c r="L104" s="37">
        <v>4</v>
      </c>
      <c r="M104" s="37">
        <v>20.7</v>
      </c>
      <c r="N104" s="37">
        <v>24524</v>
      </c>
      <c r="O104" s="37">
        <v>23109</v>
      </c>
      <c r="P104" s="37">
        <v>24972</v>
      </c>
      <c r="Q104" s="37">
        <v>28985</v>
      </c>
      <c r="R104" s="37">
        <v>24177</v>
      </c>
      <c r="S104" s="37">
        <v>25453</v>
      </c>
      <c r="T104" s="37">
        <v>151220</v>
      </c>
      <c r="U104" s="37">
        <v>12819.175999999999</v>
      </c>
      <c r="V104" s="37">
        <v>-76.915000000000006</v>
      </c>
      <c r="W104" s="37">
        <v>-0.6</v>
      </c>
      <c r="X104" s="37" t="s">
        <v>826</v>
      </c>
      <c r="Y104" s="37" t="s">
        <v>827</v>
      </c>
      <c r="Z104" s="37" t="s">
        <v>828</v>
      </c>
      <c r="AA104" s="37" t="s">
        <v>63</v>
      </c>
    </row>
    <row r="105" spans="1:27" x14ac:dyDescent="0.25">
      <c r="A105" s="37">
        <v>104</v>
      </c>
      <c r="B105" s="37" t="s">
        <v>734</v>
      </c>
      <c r="C105" s="37" t="s">
        <v>735</v>
      </c>
      <c r="D105" s="37">
        <v>2018</v>
      </c>
      <c r="E105" s="37">
        <v>12.4</v>
      </c>
      <c r="F105" s="37">
        <v>1180141</v>
      </c>
      <c r="G105" s="37">
        <v>1498</v>
      </c>
      <c r="H105" s="37" t="s">
        <v>714</v>
      </c>
      <c r="I105" s="37" t="s">
        <v>538</v>
      </c>
      <c r="J105" s="37" t="s">
        <v>695</v>
      </c>
      <c r="K105" s="37">
        <v>4</v>
      </c>
      <c r="L105" s="37">
        <v>8</v>
      </c>
      <c r="M105" s="37">
        <v>30.5</v>
      </c>
      <c r="N105" s="37">
        <v>11103</v>
      </c>
      <c r="O105" s="37">
        <v>7894</v>
      </c>
      <c r="P105" s="37">
        <v>6692</v>
      </c>
      <c r="Q105" s="37">
        <v>6067</v>
      </c>
      <c r="R105" s="37">
        <v>5100</v>
      </c>
      <c r="S105" s="37">
        <v>4213</v>
      </c>
      <c r="T105" s="37">
        <v>41069</v>
      </c>
      <c r="U105" s="37">
        <v>4846.7209999999995</v>
      </c>
      <c r="V105" s="37">
        <v>799.70899999999995</v>
      </c>
      <c r="W105" s="37">
        <v>16.5</v>
      </c>
      <c r="X105" s="37" t="s">
        <v>742</v>
      </c>
      <c r="Y105" s="37" t="s">
        <v>835</v>
      </c>
      <c r="Z105" s="37" t="s">
        <v>866</v>
      </c>
      <c r="AA105" s="37" t="s">
        <v>63</v>
      </c>
    </row>
    <row r="106" spans="1:27" x14ac:dyDescent="0.25">
      <c r="A106" s="37">
        <v>105</v>
      </c>
      <c r="B106" s="37" t="s">
        <v>751</v>
      </c>
      <c r="C106" s="37" t="s">
        <v>752</v>
      </c>
      <c r="D106" s="37">
        <v>2011</v>
      </c>
      <c r="E106" s="37">
        <v>17.5</v>
      </c>
      <c r="F106" s="37">
        <v>2557742</v>
      </c>
      <c r="G106" s="37">
        <v>800</v>
      </c>
      <c r="H106" s="37" t="s">
        <v>707</v>
      </c>
      <c r="I106" s="37" t="s">
        <v>538</v>
      </c>
      <c r="J106" s="37" t="s">
        <v>695</v>
      </c>
      <c r="K106" s="37">
        <v>2</v>
      </c>
      <c r="L106" s="37">
        <v>7</v>
      </c>
      <c r="M106" s="37">
        <v>9.8000000000000007</v>
      </c>
      <c r="N106" s="37">
        <v>27482</v>
      </c>
      <c r="O106" s="37">
        <v>22260</v>
      </c>
      <c r="P106" s="37">
        <v>18402</v>
      </c>
      <c r="Q106" s="37">
        <v>17622</v>
      </c>
      <c r="R106" s="37">
        <v>22390</v>
      </c>
      <c r="S106" s="37">
        <v>19638</v>
      </c>
      <c r="T106" s="37">
        <v>127794</v>
      </c>
      <c r="U106" s="37">
        <v>32686.407999999999</v>
      </c>
      <c r="V106" s="37">
        <v>3268.6410000000001</v>
      </c>
      <c r="W106" s="37">
        <v>10</v>
      </c>
      <c r="X106" s="37" t="s">
        <v>696</v>
      </c>
      <c r="Y106" s="37" t="s">
        <v>697</v>
      </c>
      <c r="Z106" s="37" t="s">
        <v>894</v>
      </c>
      <c r="AA106" s="37" t="s">
        <v>63</v>
      </c>
    </row>
    <row r="107" spans="1:27" x14ac:dyDescent="0.25">
      <c r="A107" s="37">
        <v>106</v>
      </c>
      <c r="B107" s="37" t="s">
        <v>734</v>
      </c>
      <c r="C107" s="37" t="s">
        <v>735</v>
      </c>
      <c r="D107" s="37">
        <v>2022</v>
      </c>
      <c r="E107" s="37">
        <v>24.9</v>
      </c>
      <c r="F107" s="37">
        <v>2585280</v>
      </c>
      <c r="G107" s="37">
        <v>1598</v>
      </c>
      <c r="H107" s="37" t="s">
        <v>726</v>
      </c>
      <c r="I107" s="37" t="s">
        <v>544</v>
      </c>
      <c r="J107" s="37" t="s">
        <v>708</v>
      </c>
      <c r="K107" s="37">
        <v>3</v>
      </c>
      <c r="L107" s="37">
        <v>6</v>
      </c>
      <c r="M107" s="37">
        <v>35.4</v>
      </c>
      <c r="N107" s="37">
        <v>0</v>
      </c>
      <c r="O107" s="37">
        <v>0</v>
      </c>
      <c r="P107" s="37">
        <v>0</v>
      </c>
      <c r="Q107" s="37">
        <v>0</v>
      </c>
      <c r="R107" s="37">
        <v>0</v>
      </c>
      <c r="S107" s="37">
        <v>0</v>
      </c>
      <c r="T107" s="37">
        <v>0</v>
      </c>
      <c r="U107" s="37">
        <v>0</v>
      </c>
      <c r="V107" s="37">
        <v>0</v>
      </c>
      <c r="W107" s="37">
        <v>5.7</v>
      </c>
      <c r="X107" s="37" t="s">
        <v>721</v>
      </c>
      <c r="Y107" s="37" t="s">
        <v>722</v>
      </c>
      <c r="Z107" s="37" t="s">
        <v>723</v>
      </c>
      <c r="AA107" s="37" t="s">
        <v>63</v>
      </c>
    </row>
    <row r="108" spans="1:27" x14ac:dyDescent="0.25">
      <c r="A108" s="37">
        <v>107</v>
      </c>
      <c r="B108" s="37" t="s">
        <v>692</v>
      </c>
      <c r="C108" s="37" t="s">
        <v>875</v>
      </c>
      <c r="D108" s="37">
        <v>2006</v>
      </c>
      <c r="E108" s="37">
        <v>12</v>
      </c>
      <c r="F108" s="37">
        <v>3023912</v>
      </c>
      <c r="G108" s="37">
        <v>1598</v>
      </c>
      <c r="H108" s="37" t="s">
        <v>701</v>
      </c>
      <c r="I108" s="37" t="s">
        <v>81</v>
      </c>
      <c r="J108" s="37" t="s">
        <v>715</v>
      </c>
      <c r="K108" s="37">
        <v>4</v>
      </c>
      <c r="L108" s="37">
        <v>5</v>
      </c>
      <c r="M108" s="37">
        <v>23.2</v>
      </c>
      <c r="N108" s="37">
        <v>56817</v>
      </c>
      <c r="O108" s="37">
        <v>41458</v>
      </c>
      <c r="P108" s="37">
        <v>37649</v>
      </c>
      <c r="Q108" s="37">
        <v>44186</v>
      </c>
      <c r="R108" s="37">
        <v>48181</v>
      </c>
      <c r="S108" s="37">
        <v>58811</v>
      </c>
      <c r="T108" s="37">
        <v>287102</v>
      </c>
      <c r="U108" s="37">
        <v>86817.118000000002</v>
      </c>
      <c r="V108" s="37">
        <v>8508.0779999999995</v>
      </c>
      <c r="W108" s="37">
        <v>9.8000000000000007</v>
      </c>
      <c r="X108" s="37" t="s">
        <v>721</v>
      </c>
      <c r="Y108" s="37" t="s">
        <v>722</v>
      </c>
      <c r="Z108" s="37" t="s">
        <v>779</v>
      </c>
      <c r="AA108" s="37" t="s">
        <v>63</v>
      </c>
    </row>
    <row r="109" spans="1:27" x14ac:dyDescent="0.25">
      <c r="A109" s="37">
        <v>108</v>
      </c>
      <c r="B109" s="37" t="s">
        <v>699</v>
      </c>
      <c r="C109" s="37" t="s">
        <v>700</v>
      </c>
      <c r="D109" s="37">
        <v>2017</v>
      </c>
      <c r="E109" s="37">
        <v>21.2</v>
      </c>
      <c r="F109" s="37">
        <v>724419</v>
      </c>
      <c r="G109" s="37">
        <v>1197</v>
      </c>
      <c r="H109" s="37" t="s">
        <v>714</v>
      </c>
      <c r="I109" s="37" t="s">
        <v>544</v>
      </c>
      <c r="J109" s="37" t="s">
        <v>695</v>
      </c>
      <c r="K109" s="37">
        <v>0</v>
      </c>
      <c r="L109" s="37">
        <v>8</v>
      </c>
      <c r="M109" s="37">
        <v>39.6</v>
      </c>
      <c r="N109" s="37">
        <v>49988</v>
      </c>
      <c r="O109" s="37">
        <v>60301</v>
      </c>
      <c r="P109" s="37">
        <v>74660</v>
      </c>
      <c r="Q109" s="37">
        <v>70107</v>
      </c>
      <c r="R109" s="37">
        <v>60372</v>
      </c>
      <c r="S109" s="37">
        <v>71243</v>
      </c>
      <c r="T109" s="37">
        <v>386671</v>
      </c>
      <c r="U109" s="37">
        <v>28011.182000000001</v>
      </c>
      <c r="V109" s="37">
        <v>7310.9189999999999</v>
      </c>
      <c r="W109" s="37">
        <v>26.1</v>
      </c>
      <c r="X109" s="37" t="s">
        <v>703</v>
      </c>
      <c r="Y109" s="37" t="s">
        <v>732</v>
      </c>
      <c r="Z109" s="37" t="s">
        <v>733</v>
      </c>
      <c r="AA109" s="37" t="s">
        <v>63</v>
      </c>
    </row>
    <row r="110" spans="1:27" x14ac:dyDescent="0.25">
      <c r="A110" s="37">
        <v>109</v>
      </c>
      <c r="B110" s="37" t="s">
        <v>734</v>
      </c>
      <c r="C110" s="37" t="s">
        <v>735</v>
      </c>
      <c r="D110" s="37">
        <v>2007</v>
      </c>
      <c r="E110" s="37">
        <v>15.5</v>
      </c>
      <c r="F110" s="37">
        <v>465659</v>
      </c>
      <c r="G110" s="37">
        <v>1598</v>
      </c>
      <c r="H110" s="37" t="s">
        <v>694</v>
      </c>
      <c r="I110" s="37" t="s">
        <v>538</v>
      </c>
      <c r="J110" s="37" t="s">
        <v>695</v>
      </c>
      <c r="K110" s="37">
        <v>3</v>
      </c>
      <c r="L110" s="37">
        <v>6</v>
      </c>
      <c r="M110" s="37">
        <v>33.9</v>
      </c>
      <c r="N110" s="37">
        <v>37215</v>
      </c>
      <c r="O110" s="37">
        <v>40273</v>
      </c>
      <c r="P110" s="37">
        <v>32718</v>
      </c>
      <c r="Q110" s="37">
        <v>27189</v>
      </c>
      <c r="R110" s="37">
        <v>35184</v>
      </c>
      <c r="S110" s="37">
        <v>31670</v>
      </c>
      <c r="T110" s="37">
        <v>204249</v>
      </c>
      <c r="U110" s="37">
        <v>9511.0390000000007</v>
      </c>
      <c r="V110" s="37">
        <v>2567.9810000000002</v>
      </c>
      <c r="W110" s="37">
        <v>27</v>
      </c>
      <c r="X110" s="37" t="s">
        <v>703</v>
      </c>
      <c r="Y110" s="37" t="s">
        <v>895</v>
      </c>
      <c r="Z110" s="37" t="s">
        <v>896</v>
      </c>
      <c r="AA110" s="37" t="s">
        <v>63</v>
      </c>
    </row>
    <row r="111" spans="1:27" x14ac:dyDescent="0.25">
      <c r="A111" s="37">
        <v>110</v>
      </c>
      <c r="B111" s="37" t="s">
        <v>712</v>
      </c>
      <c r="C111" s="37" t="s">
        <v>857</v>
      </c>
      <c r="D111" s="37">
        <v>2017</v>
      </c>
      <c r="E111" s="37">
        <v>19.399999999999999</v>
      </c>
      <c r="F111" s="37">
        <v>3442320</v>
      </c>
      <c r="G111" s="37">
        <v>1396</v>
      </c>
      <c r="H111" s="37" t="s">
        <v>707</v>
      </c>
      <c r="I111" s="37" t="s">
        <v>736</v>
      </c>
      <c r="J111" s="37" t="s">
        <v>708</v>
      </c>
      <c r="K111" s="37">
        <v>4</v>
      </c>
      <c r="L111" s="37">
        <v>5</v>
      </c>
      <c r="M111" s="37">
        <v>9.4</v>
      </c>
      <c r="N111" s="37">
        <v>27692</v>
      </c>
      <c r="O111" s="37">
        <v>26827</v>
      </c>
      <c r="P111" s="37">
        <v>32194</v>
      </c>
      <c r="Q111" s="37">
        <v>25832</v>
      </c>
      <c r="R111" s="37">
        <v>22620</v>
      </c>
      <c r="S111" s="37">
        <v>27422</v>
      </c>
      <c r="T111" s="37">
        <v>162587</v>
      </c>
      <c r="U111" s="37">
        <v>55967.648000000001</v>
      </c>
      <c r="V111" s="37">
        <v>7499.665</v>
      </c>
      <c r="W111" s="37">
        <v>13.4</v>
      </c>
      <c r="X111" s="37" t="s">
        <v>721</v>
      </c>
      <c r="Y111" s="37" t="s">
        <v>722</v>
      </c>
      <c r="Z111" s="37" t="s">
        <v>897</v>
      </c>
      <c r="AA111" s="37" t="s">
        <v>63</v>
      </c>
    </row>
    <row r="112" spans="1:27" x14ac:dyDescent="0.25">
      <c r="A112" s="37">
        <v>111</v>
      </c>
      <c r="B112" s="37" t="s">
        <v>793</v>
      </c>
      <c r="C112" s="37" t="s">
        <v>820</v>
      </c>
      <c r="D112" s="37">
        <v>2019</v>
      </c>
      <c r="E112" s="37">
        <v>24.3</v>
      </c>
      <c r="F112" s="37">
        <v>794852</v>
      </c>
      <c r="G112" s="37">
        <v>2498</v>
      </c>
      <c r="H112" s="37" t="s">
        <v>701</v>
      </c>
      <c r="I112" s="37" t="s">
        <v>538</v>
      </c>
      <c r="J112" s="37" t="s">
        <v>702</v>
      </c>
      <c r="K112" s="37">
        <v>2</v>
      </c>
      <c r="L112" s="37">
        <v>8</v>
      </c>
      <c r="M112" s="37">
        <v>26.9</v>
      </c>
      <c r="N112" s="37">
        <v>20057</v>
      </c>
      <c r="O112" s="37">
        <v>21580</v>
      </c>
      <c r="P112" s="37">
        <v>24968</v>
      </c>
      <c r="Q112" s="37">
        <v>31880</v>
      </c>
      <c r="R112" s="37">
        <v>26259</v>
      </c>
      <c r="S112" s="37">
        <v>30031</v>
      </c>
      <c r="T112" s="37">
        <v>154775</v>
      </c>
      <c r="U112" s="37">
        <v>12302.322</v>
      </c>
      <c r="V112" s="37">
        <v>-602.81399999999996</v>
      </c>
      <c r="W112" s="37">
        <v>-4.9000000000000004</v>
      </c>
      <c r="X112" s="37" t="s">
        <v>773</v>
      </c>
      <c r="Y112" s="37" t="s">
        <v>777</v>
      </c>
      <c r="Z112" s="37" t="s">
        <v>898</v>
      </c>
      <c r="AA112" s="37" t="s">
        <v>63</v>
      </c>
    </row>
    <row r="113" spans="1:27" x14ac:dyDescent="0.25">
      <c r="A113" s="37">
        <v>112</v>
      </c>
      <c r="B113" s="37" t="s">
        <v>849</v>
      </c>
      <c r="C113" s="37" t="s">
        <v>899</v>
      </c>
      <c r="D113" s="37">
        <v>2008</v>
      </c>
      <c r="E113" s="37">
        <v>24</v>
      </c>
      <c r="F113" s="37">
        <v>825223</v>
      </c>
      <c r="G113" s="37">
        <v>1396</v>
      </c>
      <c r="H113" s="37" t="s">
        <v>714</v>
      </c>
      <c r="I113" s="37" t="s">
        <v>538</v>
      </c>
      <c r="J113" s="37" t="s">
        <v>695</v>
      </c>
      <c r="K113" s="37">
        <v>3</v>
      </c>
      <c r="L113" s="37">
        <v>6</v>
      </c>
      <c r="M113" s="37">
        <v>22.3</v>
      </c>
      <c r="N113" s="37">
        <v>26511</v>
      </c>
      <c r="O113" s="37">
        <v>29313</v>
      </c>
      <c r="P113" s="37">
        <v>36383</v>
      </c>
      <c r="Q113" s="37">
        <v>41480</v>
      </c>
      <c r="R113" s="37">
        <v>48086</v>
      </c>
      <c r="S113" s="37">
        <v>59597</v>
      </c>
      <c r="T113" s="37">
        <v>241370</v>
      </c>
      <c r="U113" s="37">
        <v>19918.407999999999</v>
      </c>
      <c r="V113" s="37">
        <v>19.917999999999999</v>
      </c>
      <c r="W113" s="37">
        <v>0.1</v>
      </c>
      <c r="X113" s="37" t="s">
        <v>721</v>
      </c>
      <c r="Y113" s="37" t="s">
        <v>791</v>
      </c>
      <c r="Z113" s="37" t="s">
        <v>900</v>
      </c>
      <c r="AA113" s="37" t="s">
        <v>541</v>
      </c>
    </row>
    <row r="114" spans="1:27" x14ac:dyDescent="0.25">
      <c r="A114" s="37">
        <v>113</v>
      </c>
      <c r="B114" s="37" t="s">
        <v>793</v>
      </c>
      <c r="C114" s="37" t="s">
        <v>820</v>
      </c>
      <c r="D114" s="37">
        <v>2007</v>
      </c>
      <c r="E114" s="37">
        <v>17.2</v>
      </c>
      <c r="F114" s="37">
        <v>1587178</v>
      </c>
      <c r="G114" s="37">
        <v>1248</v>
      </c>
      <c r="H114" s="37" t="s">
        <v>694</v>
      </c>
      <c r="I114" s="37" t="s">
        <v>538</v>
      </c>
      <c r="J114" s="37" t="s">
        <v>702</v>
      </c>
      <c r="K114" s="37">
        <v>2</v>
      </c>
      <c r="L114" s="37">
        <v>4</v>
      </c>
      <c r="M114" s="37">
        <v>20</v>
      </c>
      <c r="N114" s="37">
        <v>39579</v>
      </c>
      <c r="O114" s="37">
        <v>32500</v>
      </c>
      <c r="P114" s="37">
        <v>40155</v>
      </c>
      <c r="Q114" s="37">
        <v>35371</v>
      </c>
      <c r="R114" s="37">
        <v>39014</v>
      </c>
      <c r="S114" s="37">
        <v>50478</v>
      </c>
      <c r="T114" s="37">
        <v>237097</v>
      </c>
      <c r="U114" s="37">
        <v>37631.514000000003</v>
      </c>
      <c r="V114" s="37">
        <v>-1956.8389999999999</v>
      </c>
      <c r="W114" s="37">
        <v>-5.2</v>
      </c>
      <c r="X114" s="37" t="s">
        <v>727</v>
      </c>
      <c r="Y114" s="37" t="s">
        <v>754</v>
      </c>
      <c r="Z114" s="37" t="s">
        <v>860</v>
      </c>
      <c r="AA114" s="37" t="s">
        <v>546</v>
      </c>
    </row>
    <row r="115" spans="1:27" x14ac:dyDescent="0.25">
      <c r="A115" s="37">
        <v>114</v>
      </c>
      <c r="B115" s="37" t="s">
        <v>724</v>
      </c>
      <c r="C115" s="37" t="s">
        <v>842</v>
      </c>
      <c r="D115" s="37">
        <v>2008</v>
      </c>
      <c r="E115" s="37">
        <v>21.4</v>
      </c>
      <c r="F115" s="37">
        <v>829657</v>
      </c>
      <c r="G115" s="37">
        <v>1396</v>
      </c>
      <c r="H115" s="37" t="s">
        <v>714</v>
      </c>
      <c r="I115" s="37" t="s">
        <v>544</v>
      </c>
      <c r="J115" s="37" t="s">
        <v>708</v>
      </c>
      <c r="K115" s="37">
        <v>2</v>
      </c>
      <c r="L115" s="37">
        <v>8</v>
      </c>
      <c r="M115" s="37">
        <v>15.5</v>
      </c>
      <c r="N115" s="37">
        <v>57032</v>
      </c>
      <c r="O115" s="37">
        <v>71272</v>
      </c>
      <c r="P115" s="37">
        <v>88966</v>
      </c>
      <c r="Q115" s="37">
        <v>71402</v>
      </c>
      <c r="R115" s="37">
        <v>89090</v>
      </c>
      <c r="S115" s="37">
        <v>112450</v>
      </c>
      <c r="T115" s="37">
        <v>490212</v>
      </c>
      <c r="U115" s="37">
        <v>40670.781999999999</v>
      </c>
      <c r="V115" s="37">
        <v>5083.848</v>
      </c>
      <c r="W115" s="37">
        <v>12.5</v>
      </c>
      <c r="X115" s="37" t="s">
        <v>721</v>
      </c>
      <c r="Y115" s="37" t="s">
        <v>722</v>
      </c>
      <c r="Z115" s="37" t="s">
        <v>901</v>
      </c>
      <c r="AA115" s="37" t="s">
        <v>63</v>
      </c>
    </row>
    <row r="116" spans="1:27" x14ac:dyDescent="0.25">
      <c r="A116" s="37">
        <v>115</v>
      </c>
      <c r="B116" s="37" t="s">
        <v>724</v>
      </c>
      <c r="C116" s="37" t="s">
        <v>725</v>
      </c>
      <c r="D116" s="37">
        <v>2006</v>
      </c>
      <c r="E116" s="37">
        <v>19.7</v>
      </c>
      <c r="F116" s="37">
        <v>2251953</v>
      </c>
      <c r="G116" s="37">
        <v>2498</v>
      </c>
      <c r="H116" s="37" t="s">
        <v>707</v>
      </c>
      <c r="I116" s="37" t="s">
        <v>736</v>
      </c>
      <c r="J116" s="37" t="s">
        <v>715</v>
      </c>
      <c r="K116" s="37">
        <v>4</v>
      </c>
      <c r="L116" s="37">
        <v>6</v>
      </c>
      <c r="M116" s="37">
        <v>13.8</v>
      </c>
      <c r="N116" s="37">
        <v>47127</v>
      </c>
      <c r="O116" s="37">
        <v>52854</v>
      </c>
      <c r="P116" s="37">
        <v>44088</v>
      </c>
      <c r="Q116" s="37">
        <v>49888</v>
      </c>
      <c r="R116" s="37">
        <v>50722</v>
      </c>
      <c r="S116" s="37">
        <v>42640</v>
      </c>
      <c r="T116" s="37">
        <v>287319</v>
      </c>
      <c r="U116" s="37">
        <v>64702.887999999999</v>
      </c>
      <c r="V116" s="37">
        <v>388.21699999999998</v>
      </c>
      <c r="W116" s="37">
        <v>0.6</v>
      </c>
      <c r="X116" s="37" t="s">
        <v>703</v>
      </c>
      <c r="Y116" s="37" t="s">
        <v>732</v>
      </c>
      <c r="Z116" s="37" t="s">
        <v>902</v>
      </c>
      <c r="AA116" s="37" t="s">
        <v>546</v>
      </c>
    </row>
    <row r="117" spans="1:27" x14ac:dyDescent="0.25">
      <c r="A117" s="37">
        <v>116</v>
      </c>
      <c r="B117" s="37" t="s">
        <v>692</v>
      </c>
      <c r="C117" s="37" t="s">
        <v>903</v>
      </c>
      <c r="D117" s="37">
        <v>2008</v>
      </c>
      <c r="E117" s="37">
        <v>14.8</v>
      </c>
      <c r="F117" s="37">
        <v>1432037</v>
      </c>
      <c r="G117" s="37">
        <v>1998</v>
      </c>
      <c r="H117" s="37" t="s">
        <v>707</v>
      </c>
      <c r="I117" s="37" t="s">
        <v>544</v>
      </c>
      <c r="J117" s="37" t="s">
        <v>702</v>
      </c>
      <c r="K117" s="37">
        <v>5</v>
      </c>
      <c r="L117" s="37">
        <v>7</v>
      </c>
      <c r="M117" s="37">
        <v>32.6</v>
      </c>
      <c r="N117" s="37">
        <v>20074</v>
      </c>
      <c r="O117" s="37">
        <v>14235</v>
      </c>
      <c r="P117" s="37">
        <v>16086</v>
      </c>
      <c r="Q117" s="37">
        <v>14438</v>
      </c>
      <c r="R117" s="37">
        <v>12202</v>
      </c>
      <c r="S117" s="37">
        <v>12355</v>
      </c>
      <c r="T117" s="37">
        <v>89390</v>
      </c>
      <c r="U117" s="37">
        <v>12800.978999999999</v>
      </c>
      <c r="V117" s="37">
        <v>3085.0360000000001</v>
      </c>
      <c r="W117" s="37">
        <v>24.1</v>
      </c>
      <c r="X117" s="37" t="s">
        <v>727</v>
      </c>
      <c r="Y117" s="37" t="s">
        <v>728</v>
      </c>
      <c r="Z117" s="37" t="s">
        <v>904</v>
      </c>
      <c r="AA117" s="37" t="s">
        <v>546</v>
      </c>
    </row>
    <row r="118" spans="1:27" x14ac:dyDescent="0.25">
      <c r="A118" s="37">
        <v>117</v>
      </c>
      <c r="B118" s="37" t="s">
        <v>761</v>
      </c>
      <c r="C118" s="37" t="s">
        <v>905</v>
      </c>
      <c r="D118" s="37">
        <v>2014</v>
      </c>
      <c r="E118" s="37">
        <v>17.100000000000001</v>
      </c>
      <c r="F118" s="37">
        <v>910973</v>
      </c>
      <c r="G118" s="37">
        <v>1498</v>
      </c>
      <c r="H118" s="37" t="s">
        <v>753</v>
      </c>
      <c r="I118" s="37" t="s">
        <v>538</v>
      </c>
      <c r="J118" s="37" t="s">
        <v>715</v>
      </c>
      <c r="K118" s="37">
        <v>3</v>
      </c>
      <c r="L118" s="37">
        <v>5</v>
      </c>
      <c r="M118" s="37">
        <v>24.9</v>
      </c>
      <c r="N118" s="37">
        <v>60691</v>
      </c>
      <c r="O118" s="37">
        <v>57015</v>
      </c>
      <c r="P118" s="37">
        <v>57319</v>
      </c>
      <c r="Q118" s="37">
        <v>50584</v>
      </c>
      <c r="R118" s="37">
        <v>62852</v>
      </c>
      <c r="S118" s="37">
        <v>52056</v>
      </c>
      <c r="T118" s="37">
        <v>340517</v>
      </c>
      <c r="U118" s="37">
        <v>31020.179</v>
      </c>
      <c r="V118" s="37">
        <v>-589.38300000000004</v>
      </c>
      <c r="W118" s="37">
        <v>-1.9</v>
      </c>
      <c r="X118" s="37" t="s">
        <v>763</v>
      </c>
      <c r="Y118" s="37" t="s">
        <v>764</v>
      </c>
      <c r="Z118" s="37" t="s">
        <v>892</v>
      </c>
      <c r="AA118" s="37" t="s">
        <v>546</v>
      </c>
    </row>
    <row r="119" spans="1:27" x14ac:dyDescent="0.25">
      <c r="A119" s="37">
        <v>118</v>
      </c>
      <c r="B119" s="37" t="s">
        <v>745</v>
      </c>
      <c r="C119" s="37" t="s">
        <v>906</v>
      </c>
      <c r="D119" s="37">
        <v>2003</v>
      </c>
      <c r="E119" s="37">
        <v>14.8</v>
      </c>
      <c r="F119" s="37">
        <v>1305559</v>
      </c>
      <c r="G119" s="37">
        <v>1396</v>
      </c>
      <c r="H119" s="37" t="s">
        <v>726</v>
      </c>
      <c r="I119" s="37" t="s">
        <v>81</v>
      </c>
      <c r="J119" s="37" t="s">
        <v>708</v>
      </c>
      <c r="K119" s="37">
        <v>4</v>
      </c>
      <c r="L119" s="37">
        <v>7</v>
      </c>
      <c r="M119" s="37">
        <v>29.5</v>
      </c>
      <c r="N119" s="37">
        <v>32648</v>
      </c>
      <c r="O119" s="37">
        <v>31105</v>
      </c>
      <c r="P119" s="37">
        <v>30726</v>
      </c>
      <c r="Q119" s="37">
        <v>34701</v>
      </c>
      <c r="R119" s="37">
        <v>42708</v>
      </c>
      <c r="S119" s="37">
        <v>46997</v>
      </c>
      <c r="T119" s="37">
        <v>218885</v>
      </c>
      <c r="U119" s="37">
        <v>28576.727999999999</v>
      </c>
      <c r="V119" s="37">
        <v>-1628.873</v>
      </c>
      <c r="W119" s="37">
        <v>-5.7</v>
      </c>
      <c r="X119" s="37" t="s">
        <v>703</v>
      </c>
      <c r="Y119" s="37" t="s">
        <v>732</v>
      </c>
      <c r="Z119" s="37" t="s">
        <v>902</v>
      </c>
      <c r="AA119" s="37" t="s">
        <v>63</v>
      </c>
    </row>
    <row r="120" spans="1:27" x14ac:dyDescent="0.25">
      <c r="A120" s="37">
        <v>119</v>
      </c>
      <c r="B120" s="37" t="s">
        <v>805</v>
      </c>
      <c r="C120" s="37" t="s">
        <v>907</v>
      </c>
      <c r="D120" s="37">
        <v>2013</v>
      </c>
      <c r="E120" s="37">
        <v>14.8</v>
      </c>
      <c r="F120" s="37">
        <v>3220110</v>
      </c>
      <c r="G120" s="37">
        <v>2997</v>
      </c>
      <c r="H120" s="37" t="s">
        <v>707</v>
      </c>
      <c r="I120" s="37" t="s">
        <v>81</v>
      </c>
      <c r="J120" s="37" t="s">
        <v>708</v>
      </c>
      <c r="K120" s="37">
        <v>0</v>
      </c>
      <c r="L120" s="37">
        <v>5</v>
      </c>
      <c r="M120" s="37">
        <v>27.4</v>
      </c>
      <c r="N120" s="37">
        <v>42445</v>
      </c>
      <c r="O120" s="37">
        <v>34553</v>
      </c>
      <c r="P120" s="37">
        <v>36036</v>
      </c>
      <c r="Q120" s="37">
        <v>43871</v>
      </c>
      <c r="R120" s="37">
        <v>37152</v>
      </c>
      <c r="S120" s="37">
        <v>48281</v>
      </c>
      <c r="T120" s="37">
        <v>242338</v>
      </c>
      <c r="U120" s="37">
        <v>78035.501999999993</v>
      </c>
      <c r="V120" s="37">
        <v>18416.378000000001</v>
      </c>
      <c r="W120" s="37">
        <v>23.6</v>
      </c>
      <c r="X120" s="37" t="s">
        <v>703</v>
      </c>
      <c r="Y120" s="37" t="s">
        <v>542</v>
      </c>
      <c r="Z120" s="37" t="s">
        <v>801</v>
      </c>
      <c r="AA120" s="37" t="s">
        <v>546</v>
      </c>
    </row>
    <row r="121" spans="1:27" x14ac:dyDescent="0.25">
      <c r="A121" s="37">
        <v>120</v>
      </c>
      <c r="B121" s="37" t="s">
        <v>758</v>
      </c>
      <c r="C121" s="37" t="s">
        <v>759</v>
      </c>
      <c r="D121" s="37">
        <v>2012</v>
      </c>
      <c r="E121" s="37">
        <v>10.7</v>
      </c>
      <c r="F121" s="37">
        <v>1045419</v>
      </c>
      <c r="G121" s="37">
        <v>1248</v>
      </c>
      <c r="H121" s="37" t="s">
        <v>714</v>
      </c>
      <c r="I121" s="37" t="s">
        <v>736</v>
      </c>
      <c r="J121" s="37" t="s">
        <v>702</v>
      </c>
      <c r="K121" s="37">
        <v>4</v>
      </c>
      <c r="L121" s="37">
        <v>7</v>
      </c>
      <c r="M121" s="37">
        <v>25.8</v>
      </c>
      <c r="N121" s="37">
        <v>17454</v>
      </c>
      <c r="O121" s="37">
        <v>19209</v>
      </c>
      <c r="P121" s="37">
        <v>21808</v>
      </c>
      <c r="Q121" s="37">
        <v>19537</v>
      </c>
      <c r="R121" s="37">
        <v>21262</v>
      </c>
      <c r="S121" s="37">
        <v>22864</v>
      </c>
      <c r="T121" s="37">
        <v>122134</v>
      </c>
      <c r="U121" s="37">
        <v>12768.12</v>
      </c>
      <c r="V121" s="37">
        <v>3766.5949999999998</v>
      </c>
      <c r="W121" s="37">
        <v>29.5</v>
      </c>
      <c r="X121" s="37" t="s">
        <v>788</v>
      </c>
      <c r="Y121" s="37" t="s">
        <v>908</v>
      </c>
      <c r="Z121" s="37" t="s">
        <v>909</v>
      </c>
      <c r="AA121" s="37" t="s">
        <v>63</v>
      </c>
    </row>
    <row r="122" spans="1:27" x14ac:dyDescent="0.25">
      <c r="A122" s="37">
        <v>121</v>
      </c>
      <c r="B122" s="37" t="s">
        <v>798</v>
      </c>
      <c r="C122" s="37" t="s">
        <v>822</v>
      </c>
      <c r="D122" s="37">
        <v>2019</v>
      </c>
      <c r="E122" s="37">
        <v>12.7</v>
      </c>
      <c r="F122" s="37">
        <v>1636485</v>
      </c>
      <c r="G122" s="37">
        <v>2997</v>
      </c>
      <c r="H122" s="37" t="s">
        <v>707</v>
      </c>
      <c r="I122" s="37" t="s">
        <v>538</v>
      </c>
      <c r="J122" s="37" t="s">
        <v>695</v>
      </c>
      <c r="K122" s="37">
        <v>3</v>
      </c>
      <c r="L122" s="37">
        <v>6</v>
      </c>
      <c r="M122" s="37">
        <v>15</v>
      </c>
      <c r="N122" s="37">
        <v>0</v>
      </c>
      <c r="O122" s="37">
        <v>0</v>
      </c>
      <c r="P122" s="37">
        <v>0</v>
      </c>
      <c r="Q122" s="37">
        <v>0</v>
      </c>
      <c r="R122" s="37">
        <v>0</v>
      </c>
      <c r="S122" s="37">
        <v>0</v>
      </c>
      <c r="T122" s="37">
        <v>0</v>
      </c>
      <c r="U122" s="37">
        <v>0</v>
      </c>
      <c r="V122" s="37">
        <v>0</v>
      </c>
      <c r="W122" s="37">
        <v>0.3</v>
      </c>
      <c r="X122" s="37" t="s">
        <v>696</v>
      </c>
      <c r="Y122" s="37" t="s">
        <v>697</v>
      </c>
      <c r="Z122" s="37" t="s">
        <v>910</v>
      </c>
      <c r="AA122" s="37" t="s">
        <v>63</v>
      </c>
    </row>
    <row r="123" spans="1:27" x14ac:dyDescent="0.25">
      <c r="A123" s="37">
        <v>122</v>
      </c>
      <c r="B123" s="37" t="s">
        <v>738</v>
      </c>
      <c r="C123" s="37" t="s">
        <v>911</v>
      </c>
      <c r="D123" s="37">
        <v>2014</v>
      </c>
      <c r="E123" s="37">
        <v>16.5</v>
      </c>
      <c r="F123" s="37">
        <v>2503933</v>
      </c>
      <c r="G123" s="37">
        <v>1197</v>
      </c>
      <c r="H123" s="37" t="s">
        <v>707</v>
      </c>
      <c r="I123" s="37" t="s">
        <v>538</v>
      </c>
      <c r="J123" s="37" t="s">
        <v>702</v>
      </c>
      <c r="K123" s="37">
        <v>2</v>
      </c>
      <c r="L123" s="37">
        <v>7</v>
      </c>
      <c r="M123" s="37">
        <v>36</v>
      </c>
      <c r="N123" s="37">
        <v>44228</v>
      </c>
      <c r="O123" s="37">
        <v>44168</v>
      </c>
      <c r="P123" s="37">
        <v>55890</v>
      </c>
      <c r="Q123" s="37">
        <v>49692</v>
      </c>
      <c r="R123" s="37">
        <v>56488</v>
      </c>
      <c r="S123" s="37">
        <v>69995</v>
      </c>
      <c r="T123" s="37">
        <v>320461</v>
      </c>
      <c r="U123" s="37">
        <v>80241.286999999997</v>
      </c>
      <c r="V123" s="37">
        <v>-1203.6189999999999</v>
      </c>
      <c r="W123" s="37">
        <v>-1.5</v>
      </c>
      <c r="X123" s="37" t="s">
        <v>773</v>
      </c>
      <c r="Y123" s="37" t="s">
        <v>777</v>
      </c>
      <c r="Z123" s="37" t="s">
        <v>912</v>
      </c>
      <c r="AA123" s="37" t="s">
        <v>63</v>
      </c>
    </row>
    <row r="124" spans="1:27" x14ac:dyDescent="0.25">
      <c r="A124" s="37">
        <v>123</v>
      </c>
      <c r="B124" s="37" t="s">
        <v>798</v>
      </c>
      <c r="C124" s="37" t="s">
        <v>816</v>
      </c>
      <c r="D124" s="37">
        <v>2017</v>
      </c>
      <c r="E124" s="37">
        <v>15.7</v>
      </c>
      <c r="F124" s="37">
        <v>2013317</v>
      </c>
      <c r="G124" s="37">
        <v>1248</v>
      </c>
      <c r="H124" s="37" t="s">
        <v>753</v>
      </c>
      <c r="I124" s="37" t="s">
        <v>736</v>
      </c>
      <c r="J124" s="37" t="s">
        <v>695</v>
      </c>
      <c r="K124" s="37">
        <v>2</v>
      </c>
      <c r="L124" s="37">
        <v>5</v>
      </c>
      <c r="M124" s="37">
        <v>12.3</v>
      </c>
      <c r="N124" s="37">
        <v>23238</v>
      </c>
      <c r="O124" s="37">
        <v>30044</v>
      </c>
      <c r="P124" s="37">
        <v>29786</v>
      </c>
      <c r="Q124" s="37">
        <v>33682</v>
      </c>
      <c r="R124" s="37">
        <v>40563</v>
      </c>
      <c r="S124" s="37">
        <v>50753</v>
      </c>
      <c r="T124" s="37">
        <v>208066</v>
      </c>
      <c r="U124" s="37">
        <v>41890.281000000003</v>
      </c>
      <c r="V124" s="37">
        <v>8001.0439999999999</v>
      </c>
      <c r="W124" s="37">
        <v>19.100000000000001</v>
      </c>
      <c r="X124" s="37" t="s">
        <v>763</v>
      </c>
      <c r="Y124" s="37" t="s">
        <v>807</v>
      </c>
      <c r="Z124" s="37" t="s">
        <v>913</v>
      </c>
      <c r="AA124" s="37" t="s">
        <v>63</v>
      </c>
    </row>
    <row r="125" spans="1:27" x14ac:dyDescent="0.25">
      <c r="A125" s="37">
        <v>124</v>
      </c>
      <c r="B125" s="37" t="s">
        <v>849</v>
      </c>
      <c r="C125" s="37" t="s">
        <v>899</v>
      </c>
      <c r="D125" s="37">
        <v>2006</v>
      </c>
      <c r="E125" s="37">
        <v>20.7</v>
      </c>
      <c r="F125" s="37">
        <v>3225619</v>
      </c>
      <c r="G125" s="37">
        <v>1998</v>
      </c>
      <c r="H125" s="37" t="s">
        <v>707</v>
      </c>
      <c r="I125" s="37" t="s">
        <v>736</v>
      </c>
      <c r="J125" s="37" t="s">
        <v>708</v>
      </c>
      <c r="K125" s="37">
        <v>2</v>
      </c>
      <c r="L125" s="37">
        <v>6</v>
      </c>
      <c r="M125" s="37">
        <v>14</v>
      </c>
      <c r="N125" s="37">
        <v>34594</v>
      </c>
      <c r="O125" s="37">
        <v>36369</v>
      </c>
      <c r="P125" s="37">
        <v>42778</v>
      </c>
      <c r="Q125" s="37">
        <v>53663</v>
      </c>
      <c r="R125" s="37">
        <v>48304</v>
      </c>
      <c r="S125" s="37">
        <v>50060</v>
      </c>
      <c r="T125" s="37">
        <v>265768</v>
      </c>
      <c r="U125" s="37">
        <v>85726.630999999994</v>
      </c>
      <c r="V125" s="37">
        <v>-2914.7049999999999</v>
      </c>
      <c r="W125" s="37">
        <v>-3.4</v>
      </c>
      <c r="X125" s="37" t="s">
        <v>716</v>
      </c>
      <c r="Y125" s="37" t="s">
        <v>766</v>
      </c>
      <c r="Z125" s="37" t="s">
        <v>914</v>
      </c>
      <c r="AA125" s="37" t="s">
        <v>63</v>
      </c>
    </row>
    <row r="126" spans="1:27" x14ac:dyDescent="0.25">
      <c r="A126" s="37">
        <v>125</v>
      </c>
      <c r="B126" s="37" t="s">
        <v>761</v>
      </c>
      <c r="C126" s="37" t="s">
        <v>905</v>
      </c>
      <c r="D126" s="37">
        <v>2013</v>
      </c>
      <c r="E126" s="37">
        <v>22.1</v>
      </c>
      <c r="F126" s="37">
        <v>3330799</v>
      </c>
      <c r="G126" s="37">
        <v>1197</v>
      </c>
      <c r="H126" s="37" t="s">
        <v>701</v>
      </c>
      <c r="I126" s="37" t="s">
        <v>538</v>
      </c>
      <c r="J126" s="37" t="s">
        <v>715</v>
      </c>
      <c r="K126" s="37">
        <v>3</v>
      </c>
      <c r="L126" s="37">
        <v>6</v>
      </c>
      <c r="M126" s="37">
        <v>8.6</v>
      </c>
      <c r="N126" s="37">
        <v>18848</v>
      </c>
      <c r="O126" s="37">
        <v>15235</v>
      </c>
      <c r="P126" s="37">
        <v>12520</v>
      </c>
      <c r="Q126" s="37">
        <v>12559</v>
      </c>
      <c r="R126" s="37">
        <v>15899</v>
      </c>
      <c r="S126" s="37">
        <v>14595</v>
      </c>
      <c r="T126" s="37">
        <v>89656</v>
      </c>
      <c r="U126" s="37">
        <v>29862.612000000001</v>
      </c>
      <c r="V126" s="37">
        <v>4449.5290000000005</v>
      </c>
      <c r="W126" s="37">
        <v>14.9</v>
      </c>
      <c r="X126" s="37" t="s">
        <v>696</v>
      </c>
      <c r="Y126" s="37" t="s">
        <v>594</v>
      </c>
      <c r="Z126" s="37" t="s">
        <v>915</v>
      </c>
      <c r="AA126" s="37" t="s">
        <v>63</v>
      </c>
    </row>
    <row r="127" spans="1:27" x14ac:dyDescent="0.25">
      <c r="A127" s="37">
        <v>126</v>
      </c>
      <c r="B127" s="37" t="s">
        <v>798</v>
      </c>
      <c r="C127" s="37" t="s">
        <v>816</v>
      </c>
      <c r="D127" s="37">
        <v>2008</v>
      </c>
      <c r="E127" s="37">
        <v>24.9</v>
      </c>
      <c r="F127" s="37">
        <v>3340821</v>
      </c>
      <c r="G127" s="37">
        <v>2997</v>
      </c>
      <c r="H127" s="37" t="s">
        <v>714</v>
      </c>
      <c r="I127" s="37" t="s">
        <v>538</v>
      </c>
      <c r="J127" s="37" t="s">
        <v>708</v>
      </c>
      <c r="K127" s="37">
        <v>0</v>
      </c>
      <c r="L127" s="37">
        <v>4</v>
      </c>
      <c r="M127" s="37">
        <v>19.899999999999999</v>
      </c>
      <c r="N127" s="37">
        <v>15826</v>
      </c>
      <c r="O127" s="37">
        <v>16733</v>
      </c>
      <c r="P127" s="37">
        <v>14826</v>
      </c>
      <c r="Q127" s="37">
        <v>18361</v>
      </c>
      <c r="R127" s="37">
        <v>22908</v>
      </c>
      <c r="S127" s="37">
        <v>19704</v>
      </c>
      <c r="T127" s="37">
        <v>108358</v>
      </c>
      <c r="U127" s="37">
        <v>36200.468000000001</v>
      </c>
      <c r="V127" s="37">
        <v>3837.25</v>
      </c>
      <c r="W127" s="37">
        <v>10.6</v>
      </c>
      <c r="X127" s="37" t="s">
        <v>703</v>
      </c>
      <c r="Y127" s="37" t="s">
        <v>542</v>
      </c>
      <c r="Z127" s="37" t="s">
        <v>801</v>
      </c>
      <c r="AA127" s="37" t="s">
        <v>546</v>
      </c>
    </row>
    <row r="128" spans="1:27" x14ac:dyDescent="0.25">
      <c r="A128" s="37">
        <v>127</v>
      </c>
      <c r="B128" s="37" t="s">
        <v>730</v>
      </c>
      <c r="C128" s="37" t="s">
        <v>787</v>
      </c>
      <c r="D128" s="37">
        <v>2019</v>
      </c>
      <c r="E128" s="37">
        <v>14.6</v>
      </c>
      <c r="F128" s="37">
        <v>1513246</v>
      </c>
      <c r="G128" s="37">
        <v>1998</v>
      </c>
      <c r="H128" s="37" t="s">
        <v>753</v>
      </c>
      <c r="I128" s="37" t="s">
        <v>538</v>
      </c>
      <c r="J128" s="37" t="s">
        <v>695</v>
      </c>
      <c r="K128" s="37">
        <v>0</v>
      </c>
      <c r="L128" s="37">
        <v>8</v>
      </c>
      <c r="M128" s="37">
        <v>6.4</v>
      </c>
      <c r="N128" s="37">
        <v>14414</v>
      </c>
      <c r="O128" s="37">
        <v>11102</v>
      </c>
      <c r="P128" s="37">
        <v>8968</v>
      </c>
      <c r="Q128" s="37">
        <v>10798</v>
      </c>
      <c r="R128" s="37">
        <v>11507</v>
      </c>
      <c r="S128" s="37">
        <v>10195</v>
      </c>
      <c r="T128" s="37">
        <v>66984</v>
      </c>
      <c r="U128" s="37">
        <v>10136.326999999999</v>
      </c>
      <c r="V128" s="37">
        <v>222.999</v>
      </c>
      <c r="W128" s="37">
        <v>2.2000000000000002</v>
      </c>
      <c r="X128" s="37" t="s">
        <v>781</v>
      </c>
      <c r="Y128" s="37" t="s">
        <v>542</v>
      </c>
      <c r="Z128" s="37" t="s">
        <v>704</v>
      </c>
      <c r="AA128" s="37" t="s">
        <v>63</v>
      </c>
    </row>
    <row r="129" spans="1:27" x14ac:dyDescent="0.25">
      <c r="A129" s="37">
        <v>128</v>
      </c>
      <c r="B129" s="37" t="s">
        <v>839</v>
      </c>
      <c r="C129" s="37" t="s">
        <v>886</v>
      </c>
      <c r="D129" s="37">
        <v>2006</v>
      </c>
      <c r="E129" s="37">
        <v>21.8</v>
      </c>
      <c r="F129" s="37">
        <v>2665754</v>
      </c>
      <c r="G129" s="37">
        <v>1396</v>
      </c>
      <c r="H129" s="37" t="s">
        <v>714</v>
      </c>
      <c r="I129" s="37" t="s">
        <v>544</v>
      </c>
      <c r="J129" s="37" t="s">
        <v>702</v>
      </c>
      <c r="K129" s="37">
        <v>0</v>
      </c>
      <c r="L129" s="37">
        <v>8</v>
      </c>
      <c r="M129" s="37">
        <v>20.7</v>
      </c>
      <c r="N129" s="37">
        <v>4691</v>
      </c>
      <c r="O129" s="37">
        <v>5705</v>
      </c>
      <c r="P129" s="37">
        <v>5161</v>
      </c>
      <c r="Q129" s="37">
        <v>5649</v>
      </c>
      <c r="R129" s="37">
        <v>6887</v>
      </c>
      <c r="S129" s="37">
        <v>5765</v>
      </c>
      <c r="T129" s="37">
        <v>33858</v>
      </c>
      <c r="U129" s="37">
        <v>9025.7099999999991</v>
      </c>
      <c r="V129" s="37">
        <v>-505.44</v>
      </c>
      <c r="W129" s="37">
        <v>-5.6</v>
      </c>
      <c r="X129" s="37" t="s">
        <v>716</v>
      </c>
      <c r="Y129" s="37" t="s">
        <v>717</v>
      </c>
      <c r="Z129" s="37" t="s">
        <v>916</v>
      </c>
      <c r="AA129" s="37" t="s">
        <v>63</v>
      </c>
    </row>
    <row r="130" spans="1:27" x14ac:dyDescent="0.25">
      <c r="A130" s="37">
        <v>129</v>
      </c>
      <c r="B130" s="37" t="s">
        <v>699</v>
      </c>
      <c r="C130" s="37" t="s">
        <v>776</v>
      </c>
      <c r="D130" s="37">
        <v>2020</v>
      </c>
      <c r="E130" s="37">
        <v>10.6</v>
      </c>
      <c r="F130" s="37">
        <v>355535</v>
      </c>
      <c r="G130" s="37">
        <v>1498</v>
      </c>
      <c r="H130" s="37" t="s">
        <v>726</v>
      </c>
      <c r="I130" s="37" t="s">
        <v>538</v>
      </c>
      <c r="J130" s="37" t="s">
        <v>695</v>
      </c>
      <c r="K130" s="37">
        <v>1</v>
      </c>
      <c r="L130" s="37">
        <v>8</v>
      </c>
      <c r="M130" s="37">
        <v>30.5</v>
      </c>
      <c r="N130" s="37">
        <v>17171</v>
      </c>
      <c r="O130" s="37">
        <v>19830</v>
      </c>
      <c r="P130" s="37">
        <v>22591</v>
      </c>
      <c r="Q130" s="37">
        <v>19099</v>
      </c>
      <c r="R130" s="37">
        <v>17122</v>
      </c>
      <c r="S130" s="37">
        <v>18049</v>
      </c>
      <c r="T130" s="37">
        <v>113862</v>
      </c>
      <c r="U130" s="37">
        <v>4048.1930000000002</v>
      </c>
      <c r="V130" s="37">
        <v>250.988</v>
      </c>
      <c r="W130" s="37">
        <v>6.2</v>
      </c>
      <c r="X130" s="37" t="s">
        <v>703</v>
      </c>
      <c r="Y130" s="37" t="s">
        <v>542</v>
      </c>
      <c r="Z130" s="37" t="s">
        <v>801</v>
      </c>
      <c r="AA130" s="37" t="s">
        <v>63</v>
      </c>
    </row>
    <row r="131" spans="1:27" x14ac:dyDescent="0.25">
      <c r="A131" s="37">
        <v>130</v>
      </c>
      <c r="B131" s="37" t="s">
        <v>839</v>
      </c>
      <c r="C131" s="37" t="s">
        <v>886</v>
      </c>
      <c r="D131" s="37">
        <v>2013</v>
      </c>
      <c r="E131" s="37">
        <v>24.8</v>
      </c>
      <c r="F131" s="37">
        <v>1288498</v>
      </c>
      <c r="G131" s="37">
        <v>1396</v>
      </c>
      <c r="H131" s="37" t="s">
        <v>694</v>
      </c>
      <c r="I131" s="37" t="s">
        <v>736</v>
      </c>
      <c r="J131" s="37" t="s">
        <v>708</v>
      </c>
      <c r="K131" s="37">
        <v>3</v>
      </c>
      <c r="L131" s="37">
        <v>4</v>
      </c>
      <c r="M131" s="37">
        <v>31.2</v>
      </c>
      <c r="N131" s="37">
        <v>10565</v>
      </c>
      <c r="O131" s="37">
        <v>13340</v>
      </c>
      <c r="P131" s="37">
        <v>17133</v>
      </c>
      <c r="Q131" s="37">
        <v>18986</v>
      </c>
      <c r="R131" s="37">
        <v>19696</v>
      </c>
      <c r="S131" s="37">
        <v>15883</v>
      </c>
      <c r="T131" s="37">
        <v>95603</v>
      </c>
      <c r="U131" s="37">
        <v>12318.427</v>
      </c>
      <c r="V131" s="37">
        <v>2414.4119999999998</v>
      </c>
      <c r="W131" s="37">
        <v>19.600000000000001</v>
      </c>
      <c r="X131" s="37" t="s">
        <v>826</v>
      </c>
      <c r="Y131" s="37" t="s">
        <v>827</v>
      </c>
      <c r="Z131" s="37" t="s">
        <v>880</v>
      </c>
      <c r="AA131" s="37" t="s">
        <v>63</v>
      </c>
    </row>
    <row r="132" spans="1:27" x14ac:dyDescent="0.25">
      <c r="A132" s="37">
        <v>131</v>
      </c>
      <c r="B132" s="37" t="s">
        <v>849</v>
      </c>
      <c r="C132" s="37" t="s">
        <v>850</v>
      </c>
      <c r="D132" s="37">
        <v>2012</v>
      </c>
      <c r="E132" s="37">
        <v>15.1</v>
      </c>
      <c r="F132" s="37">
        <v>398152</v>
      </c>
      <c r="G132" s="37">
        <v>1248</v>
      </c>
      <c r="H132" s="37" t="s">
        <v>694</v>
      </c>
      <c r="I132" s="37" t="s">
        <v>538</v>
      </c>
      <c r="J132" s="37" t="s">
        <v>715</v>
      </c>
      <c r="K132" s="37">
        <v>1</v>
      </c>
      <c r="L132" s="37">
        <v>6</v>
      </c>
      <c r="M132" s="37">
        <v>34.5</v>
      </c>
      <c r="N132" s="37">
        <v>35818</v>
      </c>
      <c r="O132" s="37">
        <v>39499</v>
      </c>
      <c r="P132" s="37">
        <v>44467</v>
      </c>
      <c r="Q132" s="37">
        <v>40133</v>
      </c>
      <c r="R132" s="37">
        <v>38871</v>
      </c>
      <c r="S132" s="37">
        <v>41391</v>
      </c>
      <c r="T132" s="37">
        <v>240179</v>
      </c>
      <c r="U132" s="37">
        <v>9562.7749999999996</v>
      </c>
      <c r="V132" s="37">
        <v>-181.69300000000001</v>
      </c>
      <c r="W132" s="37">
        <v>-1.9</v>
      </c>
      <c r="X132" s="37" t="s">
        <v>727</v>
      </c>
      <c r="Y132" s="37" t="s">
        <v>754</v>
      </c>
      <c r="Z132" s="37" t="s">
        <v>858</v>
      </c>
      <c r="AA132" s="37" t="s">
        <v>546</v>
      </c>
    </row>
    <row r="133" spans="1:27" x14ac:dyDescent="0.25">
      <c r="A133" s="37">
        <v>132</v>
      </c>
      <c r="B133" s="37" t="s">
        <v>839</v>
      </c>
      <c r="C133" s="37" t="s">
        <v>840</v>
      </c>
      <c r="D133" s="37">
        <v>2005</v>
      </c>
      <c r="E133" s="37">
        <v>23.8</v>
      </c>
      <c r="F133" s="37">
        <v>2989002</v>
      </c>
      <c r="G133" s="37">
        <v>1197</v>
      </c>
      <c r="H133" s="37" t="s">
        <v>694</v>
      </c>
      <c r="I133" s="37" t="s">
        <v>538</v>
      </c>
      <c r="J133" s="37" t="s">
        <v>708</v>
      </c>
      <c r="K133" s="37">
        <v>4</v>
      </c>
      <c r="L133" s="37">
        <v>4</v>
      </c>
      <c r="M133" s="37">
        <v>17.2</v>
      </c>
      <c r="N133" s="37">
        <v>32943</v>
      </c>
      <c r="O133" s="37">
        <v>34338</v>
      </c>
      <c r="P133" s="37">
        <v>30923</v>
      </c>
      <c r="Q133" s="37">
        <v>27059</v>
      </c>
      <c r="R133" s="37">
        <v>21977</v>
      </c>
      <c r="S133" s="37">
        <v>25390</v>
      </c>
      <c r="T133" s="37">
        <v>172630</v>
      </c>
      <c r="U133" s="37">
        <v>51599.142</v>
      </c>
      <c r="V133" s="37">
        <v>1702.7719999999999</v>
      </c>
      <c r="W133" s="37">
        <v>3.3</v>
      </c>
      <c r="X133" s="37" t="s">
        <v>709</v>
      </c>
      <c r="Y133" s="37" t="s">
        <v>710</v>
      </c>
      <c r="Z133" s="37" t="s">
        <v>917</v>
      </c>
      <c r="AA133" s="37" t="s">
        <v>63</v>
      </c>
    </row>
    <row r="134" spans="1:27" x14ac:dyDescent="0.25">
      <c r="A134" s="37">
        <v>133</v>
      </c>
      <c r="B134" s="37" t="s">
        <v>699</v>
      </c>
      <c r="C134" s="37" t="s">
        <v>918</v>
      </c>
      <c r="D134" s="37">
        <v>2018</v>
      </c>
      <c r="E134" s="37">
        <v>24.4</v>
      </c>
      <c r="F134" s="37">
        <v>344601</v>
      </c>
      <c r="G134" s="37">
        <v>1998</v>
      </c>
      <c r="H134" s="37" t="s">
        <v>701</v>
      </c>
      <c r="I134" s="37" t="s">
        <v>81</v>
      </c>
      <c r="J134" s="37" t="s">
        <v>715</v>
      </c>
      <c r="K134" s="37">
        <v>0</v>
      </c>
      <c r="L134" s="37">
        <v>5</v>
      </c>
      <c r="M134" s="37">
        <v>8.6999999999999993</v>
      </c>
      <c r="N134" s="37">
        <v>30270</v>
      </c>
      <c r="O134" s="37">
        <v>36480</v>
      </c>
      <c r="P134" s="37">
        <v>32689</v>
      </c>
      <c r="Q134" s="37">
        <v>37556</v>
      </c>
      <c r="R134" s="37">
        <v>34408</v>
      </c>
      <c r="S134" s="37">
        <v>31111</v>
      </c>
      <c r="T134" s="37">
        <v>202514</v>
      </c>
      <c r="U134" s="37">
        <v>6978.6530000000002</v>
      </c>
      <c r="V134" s="37">
        <v>314.03899999999999</v>
      </c>
      <c r="W134" s="37">
        <v>4.5</v>
      </c>
      <c r="X134" s="37" t="s">
        <v>773</v>
      </c>
      <c r="Y134" s="37" t="s">
        <v>803</v>
      </c>
      <c r="Z134" s="37" t="s">
        <v>919</v>
      </c>
      <c r="AA134" s="37" t="s">
        <v>63</v>
      </c>
    </row>
    <row r="135" spans="1:27" x14ac:dyDescent="0.25">
      <c r="A135" s="37">
        <v>134</v>
      </c>
      <c r="B135" s="37" t="s">
        <v>705</v>
      </c>
      <c r="C135" s="37" t="s">
        <v>706</v>
      </c>
      <c r="D135" s="37">
        <v>2018</v>
      </c>
      <c r="E135" s="37">
        <v>23.7</v>
      </c>
      <c r="F135" s="37">
        <v>2697126</v>
      </c>
      <c r="G135" s="37">
        <v>800</v>
      </c>
      <c r="H135" s="37" t="s">
        <v>701</v>
      </c>
      <c r="I135" s="37" t="s">
        <v>538</v>
      </c>
      <c r="J135" s="37" t="s">
        <v>715</v>
      </c>
      <c r="K135" s="37">
        <v>1</v>
      </c>
      <c r="L135" s="37">
        <v>7</v>
      </c>
      <c r="M135" s="37">
        <v>36.6</v>
      </c>
      <c r="N135" s="37">
        <v>8455</v>
      </c>
      <c r="O135" s="37">
        <v>8605</v>
      </c>
      <c r="P135" s="37">
        <v>6949</v>
      </c>
      <c r="Q135" s="37">
        <v>8029</v>
      </c>
      <c r="R135" s="37">
        <v>7385</v>
      </c>
      <c r="S135" s="37">
        <v>7544</v>
      </c>
      <c r="T135" s="37">
        <v>46967</v>
      </c>
      <c r="U135" s="37">
        <v>12667.592000000001</v>
      </c>
      <c r="V135" s="37">
        <v>-456.03300000000002</v>
      </c>
      <c r="W135" s="37">
        <v>-3.6</v>
      </c>
      <c r="X135" s="37" t="s">
        <v>763</v>
      </c>
      <c r="Y135" s="37" t="s">
        <v>807</v>
      </c>
      <c r="Z135" s="37" t="s">
        <v>920</v>
      </c>
      <c r="AA135" s="37" t="s">
        <v>63</v>
      </c>
    </row>
    <row r="136" spans="1:27" x14ac:dyDescent="0.25">
      <c r="A136" s="37">
        <v>135</v>
      </c>
      <c r="B136" s="37" t="s">
        <v>798</v>
      </c>
      <c r="C136" s="37" t="s">
        <v>799</v>
      </c>
      <c r="D136" s="37">
        <v>2017</v>
      </c>
      <c r="E136" s="37">
        <v>16.399999999999999</v>
      </c>
      <c r="F136" s="37">
        <v>1786648</v>
      </c>
      <c r="G136" s="37">
        <v>800</v>
      </c>
      <c r="H136" s="37" t="s">
        <v>726</v>
      </c>
      <c r="I136" s="37" t="s">
        <v>736</v>
      </c>
      <c r="J136" s="37" t="s">
        <v>695</v>
      </c>
      <c r="K136" s="37">
        <v>0</v>
      </c>
      <c r="L136" s="37">
        <v>8</v>
      </c>
      <c r="M136" s="37">
        <v>31.5</v>
      </c>
      <c r="N136" s="37">
        <v>15075</v>
      </c>
      <c r="O136" s="37">
        <v>19286</v>
      </c>
      <c r="P136" s="37">
        <v>16626</v>
      </c>
      <c r="Q136" s="37">
        <v>19187</v>
      </c>
      <c r="R136" s="37">
        <v>19888</v>
      </c>
      <c r="S136" s="37">
        <v>21383</v>
      </c>
      <c r="T136" s="37">
        <v>111445</v>
      </c>
      <c r="U136" s="37">
        <v>19911.298999999999</v>
      </c>
      <c r="V136" s="37">
        <v>-597.33900000000006</v>
      </c>
      <c r="W136" s="37">
        <v>-3</v>
      </c>
      <c r="X136" s="37" t="s">
        <v>781</v>
      </c>
      <c r="Y136" s="37" t="s">
        <v>571</v>
      </c>
      <c r="Z136" s="37" t="s">
        <v>921</v>
      </c>
      <c r="AA136" s="37" t="s">
        <v>63</v>
      </c>
    </row>
    <row r="137" spans="1:27" x14ac:dyDescent="0.25">
      <c r="A137" s="37">
        <v>136</v>
      </c>
      <c r="B137" s="37" t="s">
        <v>582</v>
      </c>
      <c r="C137" s="37" t="s">
        <v>922</v>
      </c>
      <c r="D137" s="37">
        <v>2015</v>
      </c>
      <c r="E137" s="37">
        <v>18</v>
      </c>
      <c r="F137" s="37">
        <v>1007094</v>
      </c>
      <c r="G137" s="37">
        <v>1197</v>
      </c>
      <c r="H137" s="37" t="s">
        <v>726</v>
      </c>
      <c r="I137" s="37" t="s">
        <v>538</v>
      </c>
      <c r="J137" s="37" t="s">
        <v>708</v>
      </c>
      <c r="K137" s="37">
        <v>1</v>
      </c>
      <c r="L137" s="37">
        <v>8</v>
      </c>
      <c r="M137" s="37">
        <v>20.8</v>
      </c>
      <c r="N137" s="37">
        <v>4790</v>
      </c>
      <c r="O137" s="37">
        <v>4563</v>
      </c>
      <c r="P137" s="37">
        <v>3913</v>
      </c>
      <c r="Q137" s="37">
        <v>3554</v>
      </c>
      <c r="R137" s="37">
        <v>4613</v>
      </c>
      <c r="S137" s="37">
        <v>4768</v>
      </c>
      <c r="T137" s="37">
        <v>26201</v>
      </c>
      <c r="U137" s="37">
        <v>2638.6869999999999</v>
      </c>
      <c r="V137" s="37">
        <v>-7.9160000000000004</v>
      </c>
      <c r="W137" s="37">
        <v>-0.3</v>
      </c>
      <c r="X137" s="37" t="s">
        <v>788</v>
      </c>
      <c r="Y137" s="37" t="s">
        <v>884</v>
      </c>
      <c r="Z137" s="37" t="s">
        <v>923</v>
      </c>
      <c r="AA137" s="37" t="s">
        <v>63</v>
      </c>
    </row>
    <row r="138" spans="1:27" x14ac:dyDescent="0.25">
      <c r="A138" s="37">
        <v>137</v>
      </c>
      <c r="B138" s="37" t="s">
        <v>734</v>
      </c>
      <c r="C138" s="37" t="s">
        <v>924</v>
      </c>
      <c r="D138" s="37">
        <v>2013</v>
      </c>
      <c r="E138" s="37">
        <v>22.6</v>
      </c>
      <c r="F138" s="37">
        <v>3071948</v>
      </c>
      <c r="G138" s="37">
        <v>1598</v>
      </c>
      <c r="H138" s="37" t="s">
        <v>753</v>
      </c>
      <c r="I138" s="37" t="s">
        <v>538</v>
      </c>
      <c r="J138" s="37" t="s">
        <v>702</v>
      </c>
      <c r="K138" s="37">
        <v>1</v>
      </c>
      <c r="L138" s="37">
        <v>6</v>
      </c>
      <c r="M138" s="37">
        <v>27.4</v>
      </c>
      <c r="N138" s="37">
        <v>26883</v>
      </c>
      <c r="O138" s="37">
        <v>30863</v>
      </c>
      <c r="P138" s="37">
        <v>39149</v>
      </c>
      <c r="Q138" s="37">
        <v>42664</v>
      </c>
      <c r="R138" s="37">
        <v>35879</v>
      </c>
      <c r="S138" s="37">
        <v>38363</v>
      </c>
      <c r="T138" s="37">
        <v>213801</v>
      </c>
      <c r="U138" s="37">
        <v>65678.554999999993</v>
      </c>
      <c r="V138" s="37">
        <v>-3086.8919999999998</v>
      </c>
      <c r="W138" s="37">
        <v>-4.7</v>
      </c>
      <c r="X138" s="37" t="s">
        <v>763</v>
      </c>
      <c r="Y138" s="37" t="s">
        <v>764</v>
      </c>
      <c r="Z138" s="37" t="s">
        <v>925</v>
      </c>
      <c r="AA138" s="37" t="s">
        <v>63</v>
      </c>
    </row>
    <row r="139" spans="1:27" x14ac:dyDescent="0.25">
      <c r="A139" s="37">
        <v>138</v>
      </c>
      <c r="B139" s="37" t="s">
        <v>692</v>
      </c>
      <c r="C139" s="37" t="s">
        <v>811</v>
      </c>
      <c r="D139" s="37">
        <v>2015</v>
      </c>
      <c r="E139" s="37">
        <v>12.4</v>
      </c>
      <c r="F139" s="37">
        <v>792416</v>
      </c>
      <c r="G139" s="37">
        <v>2997</v>
      </c>
      <c r="H139" s="37" t="s">
        <v>726</v>
      </c>
      <c r="I139" s="37" t="s">
        <v>538</v>
      </c>
      <c r="J139" s="37" t="s">
        <v>708</v>
      </c>
      <c r="K139" s="37">
        <v>5</v>
      </c>
      <c r="L139" s="37">
        <v>4</v>
      </c>
      <c r="M139" s="37">
        <v>39.700000000000003</v>
      </c>
      <c r="N139" s="37">
        <v>18118</v>
      </c>
      <c r="O139" s="37">
        <v>16640</v>
      </c>
      <c r="P139" s="37">
        <v>18448</v>
      </c>
      <c r="Q139" s="37">
        <v>23480</v>
      </c>
      <c r="R139" s="37">
        <v>25019</v>
      </c>
      <c r="S139" s="37">
        <v>27509</v>
      </c>
      <c r="T139" s="37">
        <v>129214</v>
      </c>
      <c r="U139" s="37">
        <v>10239.124</v>
      </c>
      <c r="V139" s="37">
        <v>1894.2380000000001</v>
      </c>
      <c r="W139" s="37">
        <v>18.5</v>
      </c>
      <c r="X139" s="37" t="s">
        <v>696</v>
      </c>
      <c r="Y139" s="37" t="s">
        <v>594</v>
      </c>
      <c r="Z139" s="37" t="s">
        <v>750</v>
      </c>
      <c r="AA139" s="37" t="s">
        <v>546</v>
      </c>
    </row>
    <row r="140" spans="1:27" x14ac:dyDescent="0.25">
      <c r="A140" s="37">
        <v>139</v>
      </c>
      <c r="B140" s="37" t="s">
        <v>712</v>
      </c>
      <c r="C140" s="37" t="s">
        <v>713</v>
      </c>
      <c r="D140" s="37">
        <v>2020</v>
      </c>
      <c r="E140" s="37">
        <v>18</v>
      </c>
      <c r="F140" s="37">
        <v>3432419</v>
      </c>
      <c r="G140" s="37">
        <v>2997</v>
      </c>
      <c r="H140" s="37" t="s">
        <v>694</v>
      </c>
      <c r="I140" s="37" t="s">
        <v>538</v>
      </c>
      <c r="J140" s="37" t="s">
        <v>702</v>
      </c>
      <c r="K140" s="37">
        <v>1</v>
      </c>
      <c r="L140" s="37">
        <v>7</v>
      </c>
      <c r="M140" s="37">
        <v>16.5</v>
      </c>
      <c r="N140" s="37">
        <v>0</v>
      </c>
      <c r="O140" s="37">
        <v>0</v>
      </c>
      <c r="P140" s="37">
        <v>0</v>
      </c>
      <c r="Q140" s="37">
        <v>0</v>
      </c>
      <c r="R140" s="37">
        <v>0</v>
      </c>
      <c r="S140" s="37">
        <v>0</v>
      </c>
      <c r="T140" s="37">
        <v>0</v>
      </c>
      <c r="U140" s="37">
        <v>0</v>
      </c>
      <c r="V140" s="37">
        <v>0</v>
      </c>
      <c r="W140" s="37">
        <v>5.4</v>
      </c>
      <c r="X140" s="37" t="s">
        <v>721</v>
      </c>
      <c r="Y140" s="37" t="s">
        <v>722</v>
      </c>
      <c r="Z140" s="37" t="s">
        <v>926</v>
      </c>
      <c r="AA140" s="37" t="s">
        <v>63</v>
      </c>
    </row>
    <row r="141" spans="1:27" x14ac:dyDescent="0.25">
      <c r="A141" s="37">
        <v>140</v>
      </c>
      <c r="B141" s="37" t="s">
        <v>761</v>
      </c>
      <c r="C141" s="37" t="s">
        <v>905</v>
      </c>
      <c r="D141" s="37">
        <v>2024</v>
      </c>
      <c r="E141" s="37">
        <v>18</v>
      </c>
      <c r="F141" s="37">
        <v>2800542</v>
      </c>
      <c r="G141" s="37">
        <v>2498</v>
      </c>
      <c r="H141" s="37" t="s">
        <v>753</v>
      </c>
      <c r="I141" s="37" t="s">
        <v>544</v>
      </c>
      <c r="J141" s="37" t="s">
        <v>715</v>
      </c>
      <c r="K141" s="37">
        <v>4</v>
      </c>
      <c r="L141" s="37">
        <v>8</v>
      </c>
      <c r="M141" s="37">
        <v>15.4</v>
      </c>
      <c r="N141" s="37">
        <v>13783</v>
      </c>
      <c r="O141" s="37">
        <v>12581</v>
      </c>
      <c r="P141" s="37">
        <v>14708</v>
      </c>
      <c r="Q141" s="37">
        <v>18406</v>
      </c>
      <c r="R141" s="37">
        <v>23558</v>
      </c>
      <c r="S141" s="37">
        <v>23650</v>
      </c>
      <c r="T141" s="37">
        <v>106686</v>
      </c>
      <c r="U141" s="37">
        <v>29877.862000000001</v>
      </c>
      <c r="V141" s="37">
        <v>-956.09199999999998</v>
      </c>
      <c r="W141" s="37">
        <v>-3.2</v>
      </c>
      <c r="X141" s="37" t="s">
        <v>716</v>
      </c>
      <c r="Y141" s="37" t="s">
        <v>717</v>
      </c>
      <c r="Z141" s="37" t="s">
        <v>916</v>
      </c>
      <c r="AA141" s="37" t="s">
        <v>63</v>
      </c>
    </row>
    <row r="142" spans="1:27" x14ac:dyDescent="0.25">
      <c r="A142" s="37">
        <v>141</v>
      </c>
      <c r="B142" s="37" t="s">
        <v>730</v>
      </c>
      <c r="C142" s="37" t="s">
        <v>731</v>
      </c>
      <c r="D142" s="37">
        <v>2017</v>
      </c>
      <c r="E142" s="37">
        <v>20.8</v>
      </c>
      <c r="F142" s="37">
        <v>721864</v>
      </c>
      <c r="G142" s="37">
        <v>1998</v>
      </c>
      <c r="H142" s="37" t="s">
        <v>707</v>
      </c>
      <c r="I142" s="37" t="s">
        <v>538</v>
      </c>
      <c r="J142" s="37" t="s">
        <v>715</v>
      </c>
      <c r="K142" s="37">
        <v>1</v>
      </c>
      <c r="L142" s="37">
        <v>8</v>
      </c>
      <c r="M142" s="37">
        <v>20.6</v>
      </c>
      <c r="N142" s="37">
        <v>0</v>
      </c>
      <c r="O142" s="37">
        <v>0</v>
      </c>
      <c r="P142" s="37">
        <v>0</v>
      </c>
      <c r="Q142" s="37">
        <v>0</v>
      </c>
      <c r="R142" s="37">
        <v>0</v>
      </c>
      <c r="S142" s="37">
        <v>0</v>
      </c>
      <c r="T142" s="37">
        <v>0</v>
      </c>
      <c r="U142" s="37">
        <v>0</v>
      </c>
      <c r="V142" s="37">
        <v>0</v>
      </c>
      <c r="W142" s="37">
        <v>-0.3</v>
      </c>
      <c r="X142" s="37" t="s">
        <v>826</v>
      </c>
      <c r="Y142" s="37" t="s">
        <v>827</v>
      </c>
      <c r="Z142" s="37" t="s">
        <v>927</v>
      </c>
      <c r="AA142" s="37" t="s">
        <v>63</v>
      </c>
    </row>
    <row r="143" spans="1:27" x14ac:dyDescent="0.25">
      <c r="A143" s="37">
        <v>142</v>
      </c>
      <c r="B143" s="37" t="s">
        <v>758</v>
      </c>
      <c r="C143" s="37" t="s">
        <v>928</v>
      </c>
      <c r="D143" s="37">
        <v>2020</v>
      </c>
      <c r="E143" s="37">
        <v>26.6</v>
      </c>
      <c r="F143" s="37">
        <v>2567444</v>
      </c>
      <c r="G143" s="37">
        <v>1000</v>
      </c>
      <c r="H143" s="37" t="s">
        <v>707</v>
      </c>
      <c r="I143" s="37" t="s">
        <v>538</v>
      </c>
      <c r="J143" s="37" t="s">
        <v>708</v>
      </c>
      <c r="K143" s="37">
        <v>1</v>
      </c>
      <c r="L143" s="37">
        <v>5</v>
      </c>
      <c r="M143" s="37">
        <v>16.5</v>
      </c>
      <c r="N143" s="37">
        <v>24541</v>
      </c>
      <c r="O143" s="37">
        <v>26511</v>
      </c>
      <c r="P143" s="37">
        <v>24584</v>
      </c>
      <c r="Q143" s="37">
        <v>23191</v>
      </c>
      <c r="R143" s="37">
        <v>23879</v>
      </c>
      <c r="S143" s="37">
        <v>19257</v>
      </c>
      <c r="T143" s="37">
        <v>141963</v>
      </c>
      <c r="U143" s="37">
        <v>36448.205000000002</v>
      </c>
      <c r="V143" s="37">
        <v>7034.5039999999999</v>
      </c>
      <c r="W143" s="37">
        <v>19.3</v>
      </c>
      <c r="X143" s="37" t="s">
        <v>696</v>
      </c>
      <c r="Y143" s="37" t="s">
        <v>697</v>
      </c>
      <c r="Z143" s="37" t="s">
        <v>698</v>
      </c>
      <c r="AA143" s="37" t="s">
        <v>63</v>
      </c>
    </row>
    <row r="144" spans="1:27" x14ac:dyDescent="0.25">
      <c r="A144" s="37">
        <v>143</v>
      </c>
      <c r="B144" s="37" t="s">
        <v>745</v>
      </c>
      <c r="C144" s="37" t="s">
        <v>746</v>
      </c>
      <c r="D144" s="37">
        <v>2017</v>
      </c>
      <c r="E144" s="37">
        <v>10.8</v>
      </c>
      <c r="F144" s="37">
        <v>2073783</v>
      </c>
      <c r="G144" s="37">
        <v>2997</v>
      </c>
      <c r="H144" s="37" t="s">
        <v>726</v>
      </c>
      <c r="I144" s="37" t="s">
        <v>544</v>
      </c>
      <c r="J144" s="37" t="s">
        <v>702</v>
      </c>
      <c r="K144" s="37">
        <v>4</v>
      </c>
      <c r="L144" s="37">
        <v>8</v>
      </c>
      <c r="M144" s="37">
        <v>16.600000000000001</v>
      </c>
      <c r="N144" s="37">
        <v>0</v>
      </c>
      <c r="O144" s="37">
        <v>0</v>
      </c>
      <c r="P144" s="37">
        <v>0</v>
      </c>
      <c r="Q144" s="37">
        <v>0</v>
      </c>
      <c r="R144" s="37">
        <v>0</v>
      </c>
      <c r="S144" s="37">
        <v>0</v>
      </c>
      <c r="T144" s="37">
        <v>0</v>
      </c>
      <c r="U144" s="37">
        <v>0</v>
      </c>
      <c r="V144" s="37">
        <v>0</v>
      </c>
      <c r="W144" s="37">
        <v>-5.2</v>
      </c>
      <c r="X144" s="37" t="s">
        <v>781</v>
      </c>
      <c r="Y144" s="37" t="s">
        <v>592</v>
      </c>
      <c r="Z144" s="37" t="s">
        <v>845</v>
      </c>
      <c r="AA144" s="37" t="s">
        <v>63</v>
      </c>
    </row>
    <row r="145" spans="1:27" x14ac:dyDescent="0.25">
      <c r="A145" s="37">
        <v>144</v>
      </c>
      <c r="B145" s="37" t="s">
        <v>745</v>
      </c>
      <c r="C145" s="37" t="s">
        <v>783</v>
      </c>
      <c r="D145" s="37">
        <v>2024</v>
      </c>
      <c r="E145" s="37">
        <v>12.3</v>
      </c>
      <c r="F145" s="37">
        <v>3231320</v>
      </c>
      <c r="G145" s="37">
        <v>1248</v>
      </c>
      <c r="H145" s="37" t="s">
        <v>707</v>
      </c>
      <c r="I145" s="37" t="s">
        <v>538</v>
      </c>
      <c r="J145" s="37" t="s">
        <v>702</v>
      </c>
      <c r="K145" s="37">
        <v>3</v>
      </c>
      <c r="L145" s="37">
        <v>5</v>
      </c>
      <c r="M145" s="37">
        <v>7.9</v>
      </c>
      <c r="N145" s="37">
        <v>29081</v>
      </c>
      <c r="O145" s="37">
        <v>34108</v>
      </c>
      <c r="P145" s="37">
        <v>31703</v>
      </c>
      <c r="Q145" s="37">
        <v>34284</v>
      </c>
      <c r="R145" s="37">
        <v>37460</v>
      </c>
      <c r="S145" s="37">
        <v>47043</v>
      </c>
      <c r="T145" s="37">
        <v>213679</v>
      </c>
      <c r="U145" s="37">
        <v>69046.523000000001</v>
      </c>
      <c r="V145" s="37">
        <v>13187.886</v>
      </c>
      <c r="W145" s="37">
        <v>19.100000000000001</v>
      </c>
      <c r="X145" s="37" t="s">
        <v>826</v>
      </c>
      <c r="Y145" s="37" t="s">
        <v>827</v>
      </c>
      <c r="Z145" s="37" t="s">
        <v>870</v>
      </c>
      <c r="AA145" s="37" t="s">
        <v>546</v>
      </c>
    </row>
    <row r="146" spans="1:27" x14ac:dyDescent="0.25">
      <c r="A146" s="37">
        <v>145</v>
      </c>
      <c r="B146" s="37" t="s">
        <v>699</v>
      </c>
      <c r="C146" s="37" t="s">
        <v>929</v>
      </c>
      <c r="D146" s="37">
        <v>2009</v>
      </c>
      <c r="E146" s="37">
        <v>26.5</v>
      </c>
      <c r="F146" s="37">
        <v>663433</v>
      </c>
      <c r="G146" s="37">
        <v>1248</v>
      </c>
      <c r="H146" s="37" t="s">
        <v>714</v>
      </c>
      <c r="I146" s="37" t="s">
        <v>736</v>
      </c>
      <c r="J146" s="37" t="s">
        <v>702</v>
      </c>
      <c r="K146" s="37">
        <v>5</v>
      </c>
      <c r="L146" s="37">
        <v>6</v>
      </c>
      <c r="M146" s="37">
        <v>39.6</v>
      </c>
      <c r="N146" s="37">
        <v>20131</v>
      </c>
      <c r="O146" s="37">
        <v>17179</v>
      </c>
      <c r="P146" s="37">
        <v>21066</v>
      </c>
      <c r="Q146" s="37">
        <v>26064</v>
      </c>
      <c r="R146" s="37">
        <v>30131</v>
      </c>
      <c r="S146" s="37">
        <v>26860</v>
      </c>
      <c r="T146" s="37">
        <v>141431</v>
      </c>
      <c r="U146" s="37">
        <v>9382.9989999999998</v>
      </c>
      <c r="V146" s="37">
        <v>2552.1759999999999</v>
      </c>
      <c r="W146" s="37">
        <v>27.2</v>
      </c>
      <c r="X146" s="37" t="s">
        <v>773</v>
      </c>
      <c r="Y146" s="37" t="s">
        <v>803</v>
      </c>
      <c r="Z146" s="37" t="s">
        <v>930</v>
      </c>
      <c r="AA146" s="37" t="s">
        <v>546</v>
      </c>
    </row>
    <row r="147" spans="1:27" x14ac:dyDescent="0.25">
      <c r="A147" s="37">
        <v>146</v>
      </c>
      <c r="B147" s="37" t="s">
        <v>719</v>
      </c>
      <c r="C147" s="37" t="s">
        <v>931</v>
      </c>
      <c r="D147" s="37">
        <v>2016</v>
      </c>
      <c r="E147" s="37">
        <v>19.600000000000001</v>
      </c>
      <c r="F147" s="37">
        <v>963545</v>
      </c>
      <c r="G147" s="37">
        <v>1197</v>
      </c>
      <c r="H147" s="37" t="s">
        <v>726</v>
      </c>
      <c r="I147" s="37" t="s">
        <v>538</v>
      </c>
      <c r="J147" s="37" t="s">
        <v>702</v>
      </c>
      <c r="K147" s="37">
        <v>5</v>
      </c>
      <c r="L147" s="37">
        <v>6</v>
      </c>
      <c r="M147" s="37">
        <v>35.1</v>
      </c>
      <c r="N147" s="37">
        <v>10457</v>
      </c>
      <c r="O147" s="37">
        <v>13344</v>
      </c>
      <c r="P147" s="37">
        <v>16820</v>
      </c>
      <c r="Q147" s="37">
        <v>15249</v>
      </c>
      <c r="R147" s="37">
        <v>16740</v>
      </c>
      <c r="S147" s="37">
        <v>17152</v>
      </c>
      <c r="T147" s="37">
        <v>89762</v>
      </c>
      <c r="U147" s="37">
        <v>8648.973</v>
      </c>
      <c r="V147" s="37">
        <v>1677.9010000000001</v>
      </c>
      <c r="W147" s="37">
        <v>19.399999999999999</v>
      </c>
      <c r="X147" s="37" t="s">
        <v>703</v>
      </c>
      <c r="Y147" s="37" t="s">
        <v>895</v>
      </c>
      <c r="Z147" s="37" t="s">
        <v>932</v>
      </c>
      <c r="AA147" s="37" t="s">
        <v>63</v>
      </c>
    </row>
    <row r="148" spans="1:27" x14ac:dyDescent="0.25">
      <c r="A148" s="37">
        <v>147</v>
      </c>
      <c r="B148" s="37" t="s">
        <v>805</v>
      </c>
      <c r="C148" s="37" t="s">
        <v>813</v>
      </c>
      <c r="D148" s="37">
        <v>2011</v>
      </c>
      <c r="E148" s="37">
        <v>10.8</v>
      </c>
      <c r="F148" s="37">
        <v>913209</v>
      </c>
      <c r="G148" s="37">
        <v>2498</v>
      </c>
      <c r="H148" s="37" t="s">
        <v>714</v>
      </c>
      <c r="I148" s="37" t="s">
        <v>538</v>
      </c>
      <c r="J148" s="37" t="s">
        <v>708</v>
      </c>
      <c r="K148" s="37">
        <v>3</v>
      </c>
      <c r="L148" s="37">
        <v>7</v>
      </c>
      <c r="M148" s="37">
        <v>34.9</v>
      </c>
      <c r="N148" s="37">
        <v>25721</v>
      </c>
      <c r="O148" s="37">
        <v>24187</v>
      </c>
      <c r="P148" s="37">
        <v>30659</v>
      </c>
      <c r="Q148" s="37">
        <v>35206</v>
      </c>
      <c r="R148" s="37">
        <v>30862</v>
      </c>
      <c r="S148" s="37">
        <v>27933</v>
      </c>
      <c r="T148" s="37">
        <v>174568</v>
      </c>
      <c r="U148" s="37">
        <v>15941.707</v>
      </c>
      <c r="V148" s="37">
        <v>3459.35</v>
      </c>
      <c r="W148" s="37">
        <v>21.7</v>
      </c>
      <c r="X148" s="37" t="s">
        <v>773</v>
      </c>
      <c r="Y148" s="37" t="s">
        <v>774</v>
      </c>
      <c r="Z148" s="37" t="s">
        <v>933</v>
      </c>
      <c r="AA148" s="37" t="s">
        <v>63</v>
      </c>
    </row>
    <row r="149" spans="1:27" x14ac:dyDescent="0.25">
      <c r="A149" s="37">
        <v>148</v>
      </c>
      <c r="B149" s="37" t="s">
        <v>738</v>
      </c>
      <c r="C149" s="37" t="s">
        <v>934</v>
      </c>
      <c r="D149" s="37">
        <v>2016</v>
      </c>
      <c r="E149" s="37">
        <v>14.1</v>
      </c>
      <c r="F149" s="37">
        <v>1054173</v>
      </c>
      <c r="G149" s="37">
        <v>1598</v>
      </c>
      <c r="H149" s="37" t="s">
        <v>701</v>
      </c>
      <c r="I149" s="37" t="s">
        <v>538</v>
      </c>
      <c r="J149" s="37" t="s">
        <v>715</v>
      </c>
      <c r="K149" s="37">
        <v>3</v>
      </c>
      <c r="L149" s="37">
        <v>7</v>
      </c>
      <c r="M149" s="37">
        <v>14.4</v>
      </c>
      <c r="N149" s="37">
        <v>0</v>
      </c>
      <c r="O149" s="37">
        <v>0</v>
      </c>
      <c r="P149" s="37">
        <v>0</v>
      </c>
      <c r="Q149" s="37">
        <v>0</v>
      </c>
      <c r="R149" s="37">
        <v>0</v>
      </c>
      <c r="S149" s="37">
        <v>0</v>
      </c>
      <c r="T149" s="37">
        <v>0</v>
      </c>
      <c r="U149" s="37">
        <v>0</v>
      </c>
      <c r="V149" s="37">
        <v>0</v>
      </c>
      <c r="W149" s="37">
        <v>2.1</v>
      </c>
      <c r="X149" s="37" t="s">
        <v>826</v>
      </c>
      <c r="Y149" s="37" t="s">
        <v>831</v>
      </c>
      <c r="Z149" s="37" t="s">
        <v>935</v>
      </c>
      <c r="AA149" s="37" t="s">
        <v>63</v>
      </c>
    </row>
    <row r="150" spans="1:27" x14ac:dyDescent="0.25">
      <c r="A150" s="37">
        <v>149</v>
      </c>
      <c r="B150" s="37" t="s">
        <v>805</v>
      </c>
      <c r="C150" s="37" t="s">
        <v>893</v>
      </c>
      <c r="D150" s="37">
        <v>2005</v>
      </c>
      <c r="E150" s="37">
        <v>16.600000000000001</v>
      </c>
      <c r="F150" s="37">
        <v>1238991</v>
      </c>
      <c r="G150" s="37">
        <v>2997</v>
      </c>
      <c r="H150" s="37" t="s">
        <v>701</v>
      </c>
      <c r="I150" s="37" t="s">
        <v>771</v>
      </c>
      <c r="J150" s="37" t="s">
        <v>695</v>
      </c>
      <c r="K150" s="37">
        <v>0</v>
      </c>
      <c r="L150" s="37">
        <v>8</v>
      </c>
      <c r="M150" s="37">
        <v>33.6</v>
      </c>
      <c r="N150" s="37">
        <v>51939</v>
      </c>
      <c r="O150" s="37">
        <v>59622</v>
      </c>
      <c r="P150" s="37">
        <v>57792</v>
      </c>
      <c r="Q150" s="37">
        <v>65592</v>
      </c>
      <c r="R150" s="37">
        <v>53553</v>
      </c>
      <c r="S150" s="37">
        <v>61545</v>
      </c>
      <c r="T150" s="37">
        <v>350043</v>
      </c>
      <c r="U150" s="37">
        <v>43370.012999999999</v>
      </c>
      <c r="V150" s="37">
        <v>737.29</v>
      </c>
      <c r="W150" s="37">
        <v>1.7</v>
      </c>
      <c r="X150" s="37" t="s">
        <v>727</v>
      </c>
      <c r="Y150" s="37" t="s">
        <v>754</v>
      </c>
      <c r="Z150" s="37" t="s">
        <v>851</v>
      </c>
      <c r="AA150" s="37" t="s">
        <v>541</v>
      </c>
    </row>
    <row r="151" spans="1:27" x14ac:dyDescent="0.25">
      <c r="A151" s="37">
        <v>150</v>
      </c>
      <c r="B151" s="37" t="s">
        <v>805</v>
      </c>
      <c r="C151" s="37" t="s">
        <v>936</v>
      </c>
      <c r="D151" s="37">
        <v>2007</v>
      </c>
      <c r="E151" s="37">
        <v>16.8</v>
      </c>
      <c r="F151" s="37">
        <v>1588904</v>
      </c>
      <c r="G151" s="37">
        <v>1598</v>
      </c>
      <c r="H151" s="37" t="s">
        <v>707</v>
      </c>
      <c r="I151" s="37" t="s">
        <v>538</v>
      </c>
      <c r="J151" s="37" t="s">
        <v>695</v>
      </c>
      <c r="K151" s="37">
        <v>2</v>
      </c>
      <c r="L151" s="37">
        <v>8</v>
      </c>
      <c r="M151" s="37">
        <v>8.8000000000000007</v>
      </c>
      <c r="N151" s="37">
        <v>0</v>
      </c>
      <c r="O151" s="37">
        <v>0</v>
      </c>
      <c r="P151" s="37">
        <v>0</v>
      </c>
      <c r="Q151" s="37">
        <v>0</v>
      </c>
      <c r="R151" s="37">
        <v>0</v>
      </c>
      <c r="S151" s="37">
        <v>0</v>
      </c>
      <c r="T151" s="37">
        <v>0</v>
      </c>
      <c r="U151" s="37">
        <v>0</v>
      </c>
      <c r="V151" s="37">
        <v>0</v>
      </c>
      <c r="W151" s="37">
        <v>6.3</v>
      </c>
      <c r="X151" s="37" t="s">
        <v>716</v>
      </c>
      <c r="Y151" s="37" t="s">
        <v>717</v>
      </c>
      <c r="Z151" s="37" t="s">
        <v>718</v>
      </c>
      <c r="AA151" s="37" t="s">
        <v>546</v>
      </c>
    </row>
    <row r="152" spans="1:27" x14ac:dyDescent="0.25">
      <c r="A152" s="37">
        <v>151</v>
      </c>
      <c r="B152" s="37" t="s">
        <v>745</v>
      </c>
      <c r="C152" s="37" t="s">
        <v>746</v>
      </c>
      <c r="D152" s="37">
        <v>2018</v>
      </c>
      <c r="E152" s="37">
        <v>19.5</v>
      </c>
      <c r="F152" s="37">
        <v>1528482</v>
      </c>
      <c r="G152" s="37">
        <v>1498</v>
      </c>
      <c r="H152" s="37" t="s">
        <v>726</v>
      </c>
      <c r="I152" s="37" t="s">
        <v>538</v>
      </c>
      <c r="J152" s="37" t="s">
        <v>702</v>
      </c>
      <c r="K152" s="37">
        <v>1</v>
      </c>
      <c r="L152" s="37">
        <v>4</v>
      </c>
      <c r="M152" s="37">
        <v>9.9</v>
      </c>
      <c r="N152" s="37">
        <v>646</v>
      </c>
      <c r="O152" s="37">
        <v>713</v>
      </c>
      <c r="P152" s="37">
        <v>911</v>
      </c>
      <c r="Q152" s="37">
        <v>844</v>
      </c>
      <c r="R152" s="37">
        <v>1035</v>
      </c>
      <c r="S152" s="37">
        <v>1294</v>
      </c>
      <c r="T152" s="37">
        <v>5443</v>
      </c>
      <c r="U152" s="37">
        <v>831.95299999999997</v>
      </c>
      <c r="V152" s="37">
        <v>217.14</v>
      </c>
      <c r="W152" s="37">
        <v>26.1</v>
      </c>
      <c r="X152" s="37" t="s">
        <v>773</v>
      </c>
      <c r="Y152" s="37" t="s">
        <v>777</v>
      </c>
      <c r="Z152" s="37" t="s">
        <v>778</v>
      </c>
      <c r="AA152" s="37" t="s">
        <v>63</v>
      </c>
    </row>
    <row r="153" spans="1:27" x14ac:dyDescent="0.25">
      <c r="A153" s="37">
        <v>152</v>
      </c>
      <c r="B153" s="37" t="s">
        <v>705</v>
      </c>
      <c r="C153" s="37" t="s">
        <v>706</v>
      </c>
      <c r="D153" s="37">
        <v>2017</v>
      </c>
      <c r="E153" s="37">
        <v>27.1</v>
      </c>
      <c r="F153" s="37">
        <v>1592647</v>
      </c>
      <c r="G153" s="37">
        <v>1598</v>
      </c>
      <c r="H153" s="37" t="s">
        <v>707</v>
      </c>
      <c r="I153" s="37" t="s">
        <v>771</v>
      </c>
      <c r="J153" s="37" t="s">
        <v>702</v>
      </c>
      <c r="K153" s="37">
        <v>1</v>
      </c>
      <c r="L153" s="37">
        <v>5</v>
      </c>
      <c r="M153" s="37">
        <v>38</v>
      </c>
      <c r="N153" s="37">
        <v>16758</v>
      </c>
      <c r="O153" s="37">
        <v>19448</v>
      </c>
      <c r="P153" s="37">
        <v>22767</v>
      </c>
      <c r="Q153" s="37">
        <v>25776</v>
      </c>
      <c r="R153" s="37">
        <v>24993</v>
      </c>
      <c r="S153" s="37">
        <v>25897</v>
      </c>
      <c r="T153" s="37">
        <v>135639</v>
      </c>
      <c r="U153" s="37">
        <v>21602.505000000001</v>
      </c>
      <c r="V153" s="37">
        <v>4817.3590000000004</v>
      </c>
      <c r="W153" s="37">
        <v>22.3</v>
      </c>
      <c r="X153" s="37" t="s">
        <v>696</v>
      </c>
      <c r="Y153" s="37" t="s">
        <v>594</v>
      </c>
      <c r="Z153" s="37" t="s">
        <v>937</v>
      </c>
      <c r="AA153" s="37" t="s">
        <v>63</v>
      </c>
    </row>
    <row r="154" spans="1:27" x14ac:dyDescent="0.25">
      <c r="A154" s="37">
        <v>153</v>
      </c>
      <c r="B154" s="37" t="s">
        <v>582</v>
      </c>
      <c r="C154" s="37" t="s">
        <v>938</v>
      </c>
      <c r="D154" s="37">
        <v>2023</v>
      </c>
      <c r="E154" s="37">
        <v>13.4</v>
      </c>
      <c r="F154" s="37">
        <v>732600</v>
      </c>
      <c r="G154" s="37">
        <v>1000</v>
      </c>
      <c r="H154" s="37" t="s">
        <v>726</v>
      </c>
      <c r="I154" s="37" t="s">
        <v>538</v>
      </c>
      <c r="J154" s="37" t="s">
        <v>715</v>
      </c>
      <c r="K154" s="37">
        <v>5</v>
      </c>
      <c r="L154" s="37">
        <v>4</v>
      </c>
      <c r="M154" s="37">
        <v>13.4</v>
      </c>
      <c r="N154" s="37">
        <v>372</v>
      </c>
      <c r="O154" s="37">
        <v>437</v>
      </c>
      <c r="P154" s="37">
        <v>436</v>
      </c>
      <c r="Q154" s="37">
        <v>522</v>
      </c>
      <c r="R154" s="37">
        <v>434</v>
      </c>
      <c r="S154" s="37">
        <v>357</v>
      </c>
      <c r="T154" s="37">
        <v>2558</v>
      </c>
      <c r="U154" s="37">
        <v>187.399</v>
      </c>
      <c r="V154" s="37">
        <v>-6.3719999999999999</v>
      </c>
      <c r="W154" s="37">
        <v>-3.4</v>
      </c>
      <c r="X154" s="37" t="s">
        <v>727</v>
      </c>
      <c r="Y154" s="37" t="s">
        <v>728</v>
      </c>
      <c r="Z154" s="37" t="s">
        <v>904</v>
      </c>
      <c r="AA154" s="37" t="s">
        <v>546</v>
      </c>
    </row>
    <row r="155" spans="1:27" x14ac:dyDescent="0.25">
      <c r="A155" s="37">
        <v>154</v>
      </c>
      <c r="B155" s="37" t="s">
        <v>839</v>
      </c>
      <c r="C155" s="37" t="s">
        <v>840</v>
      </c>
      <c r="D155" s="37">
        <v>2015</v>
      </c>
      <c r="E155" s="37">
        <v>23</v>
      </c>
      <c r="F155" s="37">
        <v>1594240</v>
      </c>
      <c r="G155" s="37">
        <v>1498</v>
      </c>
      <c r="H155" s="37" t="s">
        <v>701</v>
      </c>
      <c r="I155" s="37" t="s">
        <v>544</v>
      </c>
      <c r="J155" s="37" t="s">
        <v>702</v>
      </c>
      <c r="K155" s="37">
        <v>5</v>
      </c>
      <c r="L155" s="37">
        <v>5</v>
      </c>
      <c r="M155" s="37">
        <v>32.9</v>
      </c>
      <c r="N155" s="37">
        <v>30726</v>
      </c>
      <c r="O155" s="37">
        <v>39157</v>
      </c>
      <c r="P155" s="37">
        <v>44484</v>
      </c>
      <c r="Q155" s="37">
        <v>46235</v>
      </c>
      <c r="R155" s="37">
        <v>53773</v>
      </c>
      <c r="S155" s="37">
        <v>67532</v>
      </c>
      <c r="T155" s="37">
        <v>281907</v>
      </c>
      <c r="U155" s="37">
        <v>44942.741999999998</v>
      </c>
      <c r="V155" s="37">
        <v>8134.6360000000004</v>
      </c>
      <c r="W155" s="37">
        <v>18.100000000000001</v>
      </c>
      <c r="X155" s="37" t="s">
        <v>763</v>
      </c>
      <c r="Y155" s="37" t="s">
        <v>764</v>
      </c>
      <c r="Z155" s="37" t="s">
        <v>843</v>
      </c>
      <c r="AA155" s="37" t="s">
        <v>546</v>
      </c>
    </row>
    <row r="156" spans="1:27" x14ac:dyDescent="0.25">
      <c r="A156" s="37">
        <v>155</v>
      </c>
      <c r="B156" s="37" t="s">
        <v>705</v>
      </c>
      <c r="C156" s="37" t="s">
        <v>706</v>
      </c>
      <c r="D156" s="37">
        <v>2020</v>
      </c>
      <c r="E156" s="37">
        <v>13.1</v>
      </c>
      <c r="F156" s="37">
        <v>529526</v>
      </c>
      <c r="G156" s="37">
        <v>800</v>
      </c>
      <c r="H156" s="37" t="s">
        <v>726</v>
      </c>
      <c r="I156" s="37" t="s">
        <v>538</v>
      </c>
      <c r="J156" s="37" t="s">
        <v>702</v>
      </c>
      <c r="K156" s="37">
        <v>0</v>
      </c>
      <c r="L156" s="37">
        <v>8</v>
      </c>
      <c r="M156" s="37">
        <v>29.7</v>
      </c>
      <c r="N156" s="37">
        <v>0</v>
      </c>
      <c r="O156" s="37">
        <v>0</v>
      </c>
      <c r="P156" s="37">
        <v>0</v>
      </c>
      <c r="Q156" s="37">
        <v>0</v>
      </c>
      <c r="R156" s="37">
        <v>0</v>
      </c>
      <c r="S156" s="37">
        <v>0</v>
      </c>
      <c r="T156" s="37">
        <v>0</v>
      </c>
      <c r="U156" s="37">
        <v>0</v>
      </c>
      <c r="V156" s="37">
        <v>0</v>
      </c>
      <c r="W156" s="37">
        <v>-2.2999999999999998</v>
      </c>
      <c r="X156" s="37" t="s">
        <v>826</v>
      </c>
      <c r="Y156" s="37" t="s">
        <v>827</v>
      </c>
      <c r="Z156" s="37" t="s">
        <v>880</v>
      </c>
      <c r="AA156" s="37" t="s">
        <v>546</v>
      </c>
    </row>
    <row r="157" spans="1:27" x14ac:dyDescent="0.25">
      <c r="A157" s="37">
        <v>156</v>
      </c>
      <c r="B157" s="37" t="s">
        <v>705</v>
      </c>
      <c r="C157" s="37" t="s">
        <v>706</v>
      </c>
      <c r="D157" s="37">
        <v>2017</v>
      </c>
      <c r="E157" s="37">
        <v>15.1</v>
      </c>
      <c r="F157" s="37">
        <v>3356787</v>
      </c>
      <c r="G157" s="37">
        <v>2997</v>
      </c>
      <c r="H157" s="37" t="s">
        <v>694</v>
      </c>
      <c r="I157" s="37" t="s">
        <v>736</v>
      </c>
      <c r="J157" s="37" t="s">
        <v>702</v>
      </c>
      <c r="K157" s="37">
        <v>4</v>
      </c>
      <c r="L157" s="37">
        <v>4</v>
      </c>
      <c r="M157" s="37">
        <v>23.5</v>
      </c>
      <c r="N157" s="37">
        <v>31282</v>
      </c>
      <c r="O157" s="37">
        <v>32732</v>
      </c>
      <c r="P157" s="37">
        <v>28398</v>
      </c>
      <c r="Q157" s="37">
        <v>32861</v>
      </c>
      <c r="R157" s="37">
        <v>39633</v>
      </c>
      <c r="S157" s="37">
        <v>50837</v>
      </c>
      <c r="T157" s="37">
        <v>215743</v>
      </c>
      <c r="U157" s="37">
        <v>72420.33</v>
      </c>
      <c r="V157" s="37">
        <v>13759.862999999999</v>
      </c>
      <c r="W157" s="37">
        <v>19</v>
      </c>
      <c r="X157" s="37" t="s">
        <v>773</v>
      </c>
      <c r="Y157" s="37" t="s">
        <v>774</v>
      </c>
      <c r="Z157" s="37" t="s">
        <v>939</v>
      </c>
      <c r="AA157" s="37" t="s">
        <v>63</v>
      </c>
    </row>
    <row r="158" spans="1:27" x14ac:dyDescent="0.25">
      <c r="A158" s="37">
        <v>157</v>
      </c>
      <c r="B158" s="37" t="s">
        <v>849</v>
      </c>
      <c r="C158" s="37" t="s">
        <v>940</v>
      </c>
      <c r="D158" s="37">
        <v>2013</v>
      </c>
      <c r="E158" s="37">
        <v>24.7</v>
      </c>
      <c r="F158" s="37">
        <v>2116135</v>
      </c>
      <c r="G158" s="37">
        <v>800</v>
      </c>
      <c r="H158" s="37" t="s">
        <v>753</v>
      </c>
      <c r="I158" s="37" t="s">
        <v>538</v>
      </c>
      <c r="J158" s="37" t="s">
        <v>695</v>
      </c>
      <c r="K158" s="37">
        <v>3</v>
      </c>
      <c r="L158" s="37">
        <v>7</v>
      </c>
      <c r="M158" s="37">
        <v>14.8</v>
      </c>
      <c r="N158" s="37">
        <v>24336</v>
      </c>
      <c r="O158" s="37">
        <v>24614</v>
      </c>
      <c r="P158" s="37">
        <v>30125</v>
      </c>
      <c r="Q158" s="37">
        <v>36441</v>
      </c>
      <c r="R158" s="37">
        <v>39559</v>
      </c>
      <c r="S158" s="37">
        <v>44306</v>
      </c>
      <c r="T158" s="37">
        <v>199381</v>
      </c>
      <c r="U158" s="37">
        <v>42191.711000000003</v>
      </c>
      <c r="V158" s="37">
        <v>11433.954</v>
      </c>
      <c r="W158" s="37">
        <v>27.1</v>
      </c>
      <c r="X158" s="37" t="s">
        <v>742</v>
      </c>
      <c r="Y158" s="37" t="s">
        <v>574</v>
      </c>
      <c r="Z158" s="37" t="s">
        <v>941</v>
      </c>
      <c r="AA158" s="37" t="s">
        <v>63</v>
      </c>
    </row>
    <row r="159" spans="1:27" x14ac:dyDescent="0.25">
      <c r="A159" s="37">
        <v>158</v>
      </c>
      <c r="B159" s="37" t="s">
        <v>705</v>
      </c>
      <c r="C159" s="37" t="s">
        <v>853</v>
      </c>
      <c r="D159" s="37">
        <v>2019</v>
      </c>
      <c r="E159" s="37">
        <v>15.9</v>
      </c>
      <c r="F159" s="37">
        <v>3494796</v>
      </c>
      <c r="G159" s="37">
        <v>1197</v>
      </c>
      <c r="H159" s="37" t="s">
        <v>701</v>
      </c>
      <c r="I159" s="37" t="s">
        <v>544</v>
      </c>
      <c r="J159" s="37" t="s">
        <v>715</v>
      </c>
      <c r="K159" s="37">
        <v>0</v>
      </c>
      <c r="L159" s="37">
        <v>5</v>
      </c>
      <c r="M159" s="37">
        <v>32.5</v>
      </c>
      <c r="N159" s="37">
        <v>16325</v>
      </c>
      <c r="O159" s="37">
        <v>16634</v>
      </c>
      <c r="P159" s="37">
        <v>15982</v>
      </c>
      <c r="Q159" s="37">
        <v>20468</v>
      </c>
      <c r="R159" s="37">
        <v>19102</v>
      </c>
      <c r="S159" s="37">
        <v>24777</v>
      </c>
      <c r="T159" s="37">
        <v>113288</v>
      </c>
      <c r="U159" s="37">
        <v>39591.845000000001</v>
      </c>
      <c r="V159" s="37">
        <v>10610.614</v>
      </c>
      <c r="W159" s="37">
        <v>26.8</v>
      </c>
      <c r="X159" s="37" t="s">
        <v>763</v>
      </c>
      <c r="Y159" s="37" t="s">
        <v>764</v>
      </c>
      <c r="Z159" s="37" t="s">
        <v>882</v>
      </c>
      <c r="AA159" s="37" t="s">
        <v>63</v>
      </c>
    </row>
    <row r="160" spans="1:27" x14ac:dyDescent="0.25">
      <c r="A160" s="37">
        <v>159</v>
      </c>
      <c r="B160" s="37" t="s">
        <v>798</v>
      </c>
      <c r="C160" s="37" t="s">
        <v>816</v>
      </c>
      <c r="D160" s="37">
        <v>2009</v>
      </c>
      <c r="E160" s="37">
        <v>13.2</v>
      </c>
      <c r="F160" s="37">
        <v>2189279</v>
      </c>
      <c r="G160" s="37">
        <v>800</v>
      </c>
      <c r="H160" s="37" t="s">
        <v>694</v>
      </c>
      <c r="I160" s="37" t="s">
        <v>81</v>
      </c>
      <c r="J160" s="37" t="s">
        <v>695</v>
      </c>
      <c r="K160" s="37">
        <v>5</v>
      </c>
      <c r="L160" s="37">
        <v>6</v>
      </c>
      <c r="M160" s="37">
        <v>34.700000000000003</v>
      </c>
      <c r="N160" s="37">
        <v>31702</v>
      </c>
      <c r="O160" s="37">
        <v>23283</v>
      </c>
      <c r="P160" s="37">
        <v>20722</v>
      </c>
      <c r="Q160" s="37">
        <v>20917</v>
      </c>
      <c r="R160" s="37">
        <v>22027</v>
      </c>
      <c r="S160" s="37">
        <v>18481</v>
      </c>
      <c r="T160" s="37">
        <v>137132</v>
      </c>
      <c r="U160" s="37">
        <v>30022.021000000001</v>
      </c>
      <c r="V160" s="37">
        <v>1561.145</v>
      </c>
      <c r="W160" s="37">
        <v>5.2</v>
      </c>
      <c r="X160" s="37" t="s">
        <v>703</v>
      </c>
      <c r="Y160" s="37" t="s">
        <v>542</v>
      </c>
      <c r="Z160" s="37" t="s">
        <v>852</v>
      </c>
      <c r="AA160" s="37" t="s">
        <v>63</v>
      </c>
    </row>
    <row r="161" spans="1:27" x14ac:dyDescent="0.25">
      <c r="A161" s="37">
        <v>160</v>
      </c>
      <c r="B161" s="37" t="s">
        <v>798</v>
      </c>
      <c r="C161" s="37" t="s">
        <v>816</v>
      </c>
      <c r="D161" s="37">
        <v>2017</v>
      </c>
      <c r="E161" s="37">
        <v>22.3</v>
      </c>
      <c r="F161" s="37">
        <v>2422972</v>
      </c>
      <c r="G161" s="37">
        <v>1000</v>
      </c>
      <c r="H161" s="37" t="s">
        <v>707</v>
      </c>
      <c r="I161" s="37" t="s">
        <v>538</v>
      </c>
      <c r="J161" s="37" t="s">
        <v>702</v>
      </c>
      <c r="K161" s="37">
        <v>0</v>
      </c>
      <c r="L161" s="37">
        <v>6</v>
      </c>
      <c r="M161" s="37">
        <v>29.9</v>
      </c>
      <c r="N161" s="37">
        <v>17212</v>
      </c>
      <c r="O161" s="37">
        <v>18442</v>
      </c>
      <c r="P161" s="37">
        <v>22802</v>
      </c>
      <c r="Q161" s="37">
        <v>22374</v>
      </c>
      <c r="R161" s="37">
        <v>21660</v>
      </c>
      <c r="S161" s="37">
        <v>23284</v>
      </c>
      <c r="T161" s="37">
        <v>125774</v>
      </c>
      <c r="U161" s="37">
        <v>30474.687999999998</v>
      </c>
      <c r="V161" s="37">
        <v>7496.7730000000001</v>
      </c>
      <c r="W161" s="37">
        <v>24.6</v>
      </c>
      <c r="X161" s="37" t="s">
        <v>709</v>
      </c>
      <c r="Y161" s="37" t="s">
        <v>855</v>
      </c>
      <c r="Z161" s="37" t="s">
        <v>942</v>
      </c>
      <c r="AA161" s="37" t="s">
        <v>546</v>
      </c>
    </row>
    <row r="162" spans="1:27" x14ac:dyDescent="0.25">
      <c r="A162" s="37">
        <v>161</v>
      </c>
      <c r="B162" s="37" t="s">
        <v>748</v>
      </c>
      <c r="C162" s="37" t="s">
        <v>756</v>
      </c>
      <c r="D162" s="37">
        <v>2016</v>
      </c>
      <c r="E162" s="37">
        <v>20.3</v>
      </c>
      <c r="F162" s="37">
        <v>428304</v>
      </c>
      <c r="G162" s="37">
        <v>1396</v>
      </c>
      <c r="H162" s="37" t="s">
        <v>753</v>
      </c>
      <c r="I162" s="37" t="s">
        <v>736</v>
      </c>
      <c r="J162" s="37" t="s">
        <v>708</v>
      </c>
      <c r="K162" s="37">
        <v>5</v>
      </c>
      <c r="L162" s="37">
        <v>6</v>
      </c>
      <c r="M162" s="37">
        <v>23.6</v>
      </c>
      <c r="N162" s="37">
        <v>11865</v>
      </c>
      <c r="O162" s="37">
        <v>14507</v>
      </c>
      <c r="P162" s="37">
        <v>18154</v>
      </c>
      <c r="Q162" s="37">
        <v>16092</v>
      </c>
      <c r="R162" s="37">
        <v>18719</v>
      </c>
      <c r="S162" s="37">
        <v>22207</v>
      </c>
      <c r="T162" s="37">
        <v>101544</v>
      </c>
      <c r="U162" s="37">
        <v>4349.17</v>
      </c>
      <c r="V162" s="37">
        <v>108.729</v>
      </c>
      <c r="W162" s="37">
        <v>2.5</v>
      </c>
      <c r="X162" s="37" t="s">
        <v>788</v>
      </c>
      <c r="Y162" s="37" t="s">
        <v>908</v>
      </c>
      <c r="Z162" s="37" t="s">
        <v>943</v>
      </c>
      <c r="AA162" s="37" t="s">
        <v>546</v>
      </c>
    </row>
    <row r="163" spans="1:27" x14ac:dyDescent="0.25">
      <c r="A163" s="37">
        <v>162</v>
      </c>
      <c r="B163" s="37" t="s">
        <v>805</v>
      </c>
      <c r="C163" s="37" t="s">
        <v>881</v>
      </c>
      <c r="D163" s="37">
        <v>2008</v>
      </c>
      <c r="E163" s="37">
        <v>21.3</v>
      </c>
      <c r="F163" s="37">
        <v>1877569</v>
      </c>
      <c r="G163" s="37">
        <v>1248</v>
      </c>
      <c r="H163" s="37" t="s">
        <v>714</v>
      </c>
      <c r="I163" s="37" t="s">
        <v>81</v>
      </c>
      <c r="J163" s="37" t="s">
        <v>715</v>
      </c>
      <c r="K163" s="37">
        <v>0</v>
      </c>
      <c r="L163" s="37">
        <v>6</v>
      </c>
      <c r="M163" s="37">
        <v>33.5</v>
      </c>
      <c r="N163" s="37">
        <v>38896</v>
      </c>
      <c r="O163" s="37">
        <v>29997</v>
      </c>
      <c r="P163" s="37">
        <v>38978</v>
      </c>
      <c r="Q163" s="37">
        <v>33165</v>
      </c>
      <c r="R163" s="37">
        <v>34757</v>
      </c>
      <c r="S163" s="37">
        <v>36718</v>
      </c>
      <c r="T163" s="37">
        <v>212511</v>
      </c>
      <c r="U163" s="37">
        <v>39900.406999999999</v>
      </c>
      <c r="V163" s="37">
        <v>9895.3009999999995</v>
      </c>
      <c r="W163" s="37">
        <v>24.8</v>
      </c>
      <c r="X163" s="37" t="s">
        <v>709</v>
      </c>
      <c r="Y163" s="37" t="s">
        <v>855</v>
      </c>
      <c r="Z163" s="37" t="s">
        <v>942</v>
      </c>
      <c r="AA163" s="37" t="s">
        <v>63</v>
      </c>
    </row>
    <row r="164" spans="1:27" x14ac:dyDescent="0.25">
      <c r="A164" s="37">
        <v>163</v>
      </c>
      <c r="B164" s="37" t="s">
        <v>724</v>
      </c>
      <c r="C164" s="37" t="s">
        <v>842</v>
      </c>
      <c r="D164" s="37">
        <v>2010</v>
      </c>
      <c r="E164" s="37">
        <v>22.7</v>
      </c>
      <c r="F164" s="37">
        <v>654324</v>
      </c>
      <c r="G164" s="37">
        <v>1197</v>
      </c>
      <c r="H164" s="37" t="s">
        <v>707</v>
      </c>
      <c r="I164" s="37" t="s">
        <v>538</v>
      </c>
      <c r="J164" s="37" t="s">
        <v>702</v>
      </c>
      <c r="K164" s="37">
        <v>2</v>
      </c>
      <c r="L164" s="37">
        <v>6</v>
      </c>
      <c r="M164" s="37">
        <v>23.8</v>
      </c>
      <c r="N164" s="37">
        <v>31167</v>
      </c>
      <c r="O164" s="37">
        <v>26153</v>
      </c>
      <c r="P164" s="37">
        <v>26394</v>
      </c>
      <c r="Q164" s="37">
        <v>29227</v>
      </c>
      <c r="R164" s="37">
        <v>26306</v>
      </c>
      <c r="S164" s="37">
        <v>21091</v>
      </c>
      <c r="T164" s="37">
        <v>160338</v>
      </c>
      <c r="U164" s="37">
        <v>10491.3</v>
      </c>
      <c r="V164" s="37">
        <v>346.21300000000002</v>
      </c>
      <c r="W164" s="37">
        <v>3.3</v>
      </c>
      <c r="X164" s="37" t="s">
        <v>709</v>
      </c>
      <c r="Y164" s="37" t="s">
        <v>710</v>
      </c>
      <c r="Z164" s="37" t="s">
        <v>740</v>
      </c>
      <c r="AA164" s="37" t="s">
        <v>63</v>
      </c>
    </row>
    <row r="165" spans="1:27" x14ac:dyDescent="0.25">
      <c r="A165" s="37">
        <v>164</v>
      </c>
      <c r="B165" s="37" t="s">
        <v>805</v>
      </c>
      <c r="C165" s="37" t="s">
        <v>944</v>
      </c>
      <c r="D165" s="37">
        <v>2005</v>
      </c>
      <c r="E165" s="37">
        <v>14.6</v>
      </c>
      <c r="F165" s="37">
        <v>1931382</v>
      </c>
      <c r="G165" s="37">
        <v>1248</v>
      </c>
      <c r="H165" s="37" t="s">
        <v>701</v>
      </c>
      <c r="I165" s="37" t="s">
        <v>544</v>
      </c>
      <c r="J165" s="37" t="s">
        <v>708</v>
      </c>
      <c r="K165" s="37">
        <v>2</v>
      </c>
      <c r="L165" s="37">
        <v>7</v>
      </c>
      <c r="M165" s="37">
        <v>24.4</v>
      </c>
      <c r="N165" s="37">
        <v>24407</v>
      </c>
      <c r="O165" s="37">
        <v>17117</v>
      </c>
      <c r="P165" s="37">
        <v>13701</v>
      </c>
      <c r="Q165" s="37">
        <v>14760</v>
      </c>
      <c r="R165" s="37">
        <v>14556</v>
      </c>
      <c r="S165" s="37">
        <v>17146</v>
      </c>
      <c r="T165" s="37">
        <v>101687</v>
      </c>
      <c r="U165" s="37">
        <v>19639.644</v>
      </c>
      <c r="V165" s="37">
        <v>5243.7849999999999</v>
      </c>
      <c r="W165" s="37">
        <v>26.7</v>
      </c>
      <c r="X165" s="37" t="s">
        <v>763</v>
      </c>
      <c r="Y165" s="37" t="s">
        <v>807</v>
      </c>
      <c r="Z165" s="37" t="s">
        <v>945</v>
      </c>
      <c r="AA165" s="37" t="s">
        <v>63</v>
      </c>
    </row>
    <row r="166" spans="1:27" x14ac:dyDescent="0.25">
      <c r="A166" s="37">
        <v>165</v>
      </c>
      <c r="B166" s="37" t="s">
        <v>712</v>
      </c>
      <c r="C166" s="37" t="s">
        <v>713</v>
      </c>
      <c r="D166" s="37">
        <v>2012</v>
      </c>
      <c r="E166" s="37">
        <v>17.100000000000001</v>
      </c>
      <c r="F166" s="37">
        <v>510374</v>
      </c>
      <c r="G166" s="37">
        <v>1998</v>
      </c>
      <c r="H166" s="37" t="s">
        <v>714</v>
      </c>
      <c r="I166" s="37" t="s">
        <v>538</v>
      </c>
      <c r="J166" s="37" t="s">
        <v>702</v>
      </c>
      <c r="K166" s="37">
        <v>0</v>
      </c>
      <c r="L166" s="37">
        <v>7</v>
      </c>
      <c r="M166" s="37">
        <v>18.7</v>
      </c>
      <c r="N166" s="37">
        <v>32222</v>
      </c>
      <c r="O166" s="37">
        <v>34012</v>
      </c>
      <c r="P166" s="37">
        <v>40928</v>
      </c>
      <c r="Q166" s="37">
        <v>34816</v>
      </c>
      <c r="R166" s="37">
        <v>29448</v>
      </c>
      <c r="S166" s="37">
        <v>28226</v>
      </c>
      <c r="T166" s="37">
        <v>199652</v>
      </c>
      <c r="U166" s="37">
        <v>10189.718999999999</v>
      </c>
      <c r="V166" s="37">
        <v>346.45</v>
      </c>
      <c r="W166" s="37">
        <v>3.4</v>
      </c>
      <c r="X166" s="37" t="s">
        <v>826</v>
      </c>
      <c r="Y166" s="37" t="s">
        <v>831</v>
      </c>
      <c r="Z166" s="37" t="s">
        <v>946</v>
      </c>
      <c r="AA166" s="37" t="s">
        <v>63</v>
      </c>
    </row>
    <row r="167" spans="1:27" x14ac:dyDescent="0.25">
      <c r="A167" s="37">
        <v>166</v>
      </c>
      <c r="B167" s="37" t="s">
        <v>719</v>
      </c>
      <c r="C167" s="37" t="s">
        <v>770</v>
      </c>
      <c r="D167" s="37">
        <v>2000</v>
      </c>
      <c r="E167" s="37">
        <v>16.100000000000001</v>
      </c>
      <c r="F167" s="37">
        <v>2905326</v>
      </c>
      <c r="G167" s="37">
        <v>1598</v>
      </c>
      <c r="H167" s="37" t="s">
        <v>694</v>
      </c>
      <c r="I167" s="37" t="s">
        <v>736</v>
      </c>
      <c r="J167" s="37" t="s">
        <v>715</v>
      </c>
      <c r="K167" s="37">
        <v>5</v>
      </c>
      <c r="L167" s="37">
        <v>8</v>
      </c>
      <c r="M167" s="37">
        <v>19.600000000000001</v>
      </c>
      <c r="N167" s="37">
        <v>43093</v>
      </c>
      <c r="O167" s="37">
        <v>55710</v>
      </c>
      <c r="P167" s="37">
        <v>54227</v>
      </c>
      <c r="Q167" s="37">
        <v>68371</v>
      </c>
      <c r="R167" s="37">
        <v>59713</v>
      </c>
      <c r="S167" s="37">
        <v>68691</v>
      </c>
      <c r="T167" s="37">
        <v>349805</v>
      </c>
      <c r="U167" s="37">
        <v>101629.75599999999</v>
      </c>
      <c r="V167" s="37">
        <v>18496.616000000002</v>
      </c>
      <c r="W167" s="37">
        <v>18.2</v>
      </c>
      <c r="X167" s="37" t="s">
        <v>716</v>
      </c>
      <c r="Y167" s="37" t="s">
        <v>717</v>
      </c>
      <c r="Z167" s="37" t="s">
        <v>947</v>
      </c>
      <c r="AA167" s="37" t="s">
        <v>63</v>
      </c>
    </row>
    <row r="168" spans="1:27" x14ac:dyDescent="0.25">
      <c r="A168" s="37">
        <v>167</v>
      </c>
      <c r="B168" s="37" t="s">
        <v>745</v>
      </c>
      <c r="C168" s="37" t="s">
        <v>906</v>
      </c>
      <c r="D168" s="37">
        <v>2013</v>
      </c>
      <c r="E168" s="37">
        <v>11.4</v>
      </c>
      <c r="F168" s="37">
        <v>2035629</v>
      </c>
      <c r="G168" s="37">
        <v>1498</v>
      </c>
      <c r="H168" s="37" t="s">
        <v>714</v>
      </c>
      <c r="I168" s="37" t="s">
        <v>736</v>
      </c>
      <c r="J168" s="37" t="s">
        <v>708</v>
      </c>
      <c r="K168" s="37">
        <v>2</v>
      </c>
      <c r="L168" s="37">
        <v>7</v>
      </c>
      <c r="M168" s="37">
        <v>35.5</v>
      </c>
      <c r="N168" s="37">
        <v>10642</v>
      </c>
      <c r="O168" s="37">
        <v>12531</v>
      </c>
      <c r="P168" s="37">
        <v>11004</v>
      </c>
      <c r="Q168" s="37">
        <v>9394</v>
      </c>
      <c r="R168" s="37">
        <v>11697</v>
      </c>
      <c r="S168" s="37">
        <v>10247</v>
      </c>
      <c r="T168" s="37">
        <v>65515</v>
      </c>
      <c r="U168" s="37">
        <v>13336.423000000001</v>
      </c>
      <c r="V168" s="37">
        <v>2693.9569999999999</v>
      </c>
      <c r="W168" s="37">
        <v>20.2</v>
      </c>
      <c r="X168" s="37" t="s">
        <v>788</v>
      </c>
      <c r="Y168" s="37" t="s">
        <v>817</v>
      </c>
      <c r="Z168" s="37" t="s">
        <v>948</v>
      </c>
      <c r="AA168" s="37" t="s">
        <v>63</v>
      </c>
    </row>
    <row r="169" spans="1:27" x14ac:dyDescent="0.25">
      <c r="A169" s="37">
        <v>168</v>
      </c>
      <c r="B169" s="37" t="s">
        <v>582</v>
      </c>
      <c r="C169" s="37" t="s">
        <v>949</v>
      </c>
      <c r="D169" s="37">
        <v>2012</v>
      </c>
      <c r="E169" s="37">
        <v>12.2</v>
      </c>
      <c r="F169" s="37">
        <v>1051043</v>
      </c>
      <c r="G169" s="37">
        <v>1396</v>
      </c>
      <c r="H169" s="37" t="s">
        <v>701</v>
      </c>
      <c r="I169" s="37" t="s">
        <v>544</v>
      </c>
      <c r="J169" s="37" t="s">
        <v>708</v>
      </c>
      <c r="K169" s="37">
        <v>2</v>
      </c>
      <c r="L169" s="37">
        <v>4</v>
      </c>
      <c r="M169" s="37">
        <v>32.6</v>
      </c>
      <c r="N169" s="37">
        <v>10899</v>
      </c>
      <c r="O169" s="37">
        <v>13766</v>
      </c>
      <c r="P169" s="37">
        <v>12725</v>
      </c>
      <c r="Q169" s="37">
        <v>13498</v>
      </c>
      <c r="R169" s="37">
        <v>11844</v>
      </c>
      <c r="S169" s="37">
        <v>9690</v>
      </c>
      <c r="T169" s="37">
        <v>72422</v>
      </c>
      <c r="U169" s="37">
        <v>7611.8639999999996</v>
      </c>
      <c r="V169" s="37">
        <v>1233.1220000000001</v>
      </c>
      <c r="W169" s="37">
        <v>16.2</v>
      </c>
      <c r="X169" s="37" t="s">
        <v>721</v>
      </c>
      <c r="Y169" s="37" t="s">
        <v>722</v>
      </c>
      <c r="Z169" s="37" t="s">
        <v>830</v>
      </c>
      <c r="AA169" s="37" t="s">
        <v>546</v>
      </c>
    </row>
    <row r="170" spans="1:27" x14ac:dyDescent="0.25">
      <c r="A170" s="37">
        <v>169</v>
      </c>
      <c r="B170" s="37" t="s">
        <v>730</v>
      </c>
      <c r="C170" s="37" t="s">
        <v>809</v>
      </c>
      <c r="D170" s="37">
        <v>2019</v>
      </c>
      <c r="E170" s="37">
        <v>20.6</v>
      </c>
      <c r="F170" s="37">
        <v>2726661</v>
      </c>
      <c r="G170" s="37">
        <v>1197</v>
      </c>
      <c r="H170" s="37" t="s">
        <v>753</v>
      </c>
      <c r="I170" s="37" t="s">
        <v>736</v>
      </c>
      <c r="J170" s="37" t="s">
        <v>695</v>
      </c>
      <c r="K170" s="37">
        <v>2</v>
      </c>
      <c r="L170" s="37">
        <v>5</v>
      </c>
      <c r="M170" s="37">
        <v>22.7</v>
      </c>
      <c r="N170" s="37">
        <v>20728</v>
      </c>
      <c r="O170" s="37">
        <v>24032</v>
      </c>
      <c r="P170" s="37">
        <v>24785</v>
      </c>
      <c r="Q170" s="37">
        <v>21569</v>
      </c>
      <c r="R170" s="37">
        <v>27682</v>
      </c>
      <c r="S170" s="37">
        <v>26755</v>
      </c>
      <c r="T170" s="37">
        <v>145551</v>
      </c>
      <c r="U170" s="37">
        <v>39686.824000000001</v>
      </c>
      <c r="V170" s="37">
        <v>8096.1120000000001</v>
      </c>
      <c r="W170" s="37">
        <v>20.399999999999999</v>
      </c>
      <c r="X170" s="37" t="s">
        <v>781</v>
      </c>
      <c r="Y170" s="37" t="s">
        <v>542</v>
      </c>
      <c r="Z170" s="37" t="s">
        <v>950</v>
      </c>
      <c r="AA170" s="37" t="s">
        <v>63</v>
      </c>
    </row>
    <row r="171" spans="1:27" x14ac:dyDescent="0.25">
      <c r="A171" s="37">
        <v>170</v>
      </c>
      <c r="B171" s="37" t="s">
        <v>724</v>
      </c>
      <c r="C171" s="37" t="s">
        <v>891</v>
      </c>
      <c r="D171" s="37">
        <v>2011</v>
      </c>
      <c r="E171" s="37">
        <v>17.2</v>
      </c>
      <c r="F171" s="37">
        <v>576731</v>
      </c>
      <c r="G171" s="37">
        <v>1248</v>
      </c>
      <c r="H171" s="37" t="s">
        <v>701</v>
      </c>
      <c r="I171" s="37" t="s">
        <v>736</v>
      </c>
      <c r="J171" s="37" t="s">
        <v>695</v>
      </c>
      <c r="K171" s="37">
        <v>5</v>
      </c>
      <c r="L171" s="37">
        <v>5</v>
      </c>
      <c r="M171" s="37">
        <v>24.8</v>
      </c>
      <c r="N171" s="37">
        <v>65807</v>
      </c>
      <c r="O171" s="37">
        <v>83418</v>
      </c>
      <c r="P171" s="38">
        <v>104596</v>
      </c>
      <c r="Q171" s="37">
        <v>100108</v>
      </c>
      <c r="R171" s="37">
        <v>126724</v>
      </c>
      <c r="S171" s="37">
        <v>149466</v>
      </c>
      <c r="T171" s="37">
        <v>630119</v>
      </c>
      <c r="U171" s="37">
        <v>36340.915999999997</v>
      </c>
      <c r="V171" s="37">
        <v>72.682000000000002</v>
      </c>
      <c r="W171" s="37">
        <v>0.2</v>
      </c>
      <c r="X171" s="37" t="s">
        <v>727</v>
      </c>
      <c r="Y171" s="37" t="s">
        <v>754</v>
      </c>
      <c r="Z171" s="37" t="s">
        <v>755</v>
      </c>
      <c r="AA171" s="37" t="s">
        <v>546</v>
      </c>
    </row>
    <row r="172" spans="1:27" x14ac:dyDescent="0.25">
      <c r="A172" s="37">
        <v>171</v>
      </c>
      <c r="B172" s="37" t="s">
        <v>745</v>
      </c>
      <c r="C172" s="37" t="s">
        <v>783</v>
      </c>
      <c r="D172" s="37">
        <v>2020</v>
      </c>
      <c r="E172" s="37">
        <v>12.6</v>
      </c>
      <c r="F172" s="37">
        <v>1492162</v>
      </c>
      <c r="G172" s="37">
        <v>1998</v>
      </c>
      <c r="H172" s="37" t="s">
        <v>726</v>
      </c>
      <c r="I172" s="37" t="s">
        <v>538</v>
      </c>
      <c r="J172" s="37" t="s">
        <v>708</v>
      </c>
      <c r="K172" s="37">
        <v>0</v>
      </c>
      <c r="L172" s="37">
        <v>4</v>
      </c>
      <c r="M172" s="37">
        <v>29.6</v>
      </c>
      <c r="N172" s="37">
        <v>27768</v>
      </c>
      <c r="O172" s="37">
        <v>33084</v>
      </c>
      <c r="P172" s="37">
        <v>36420</v>
      </c>
      <c r="Q172" s="37">
        <v>44205</v>
      </c>
      <c r="R172" s="37">
        <v>47265</v>
      </c>
      <c r="S172" s="37">
        <v>52701</v>
      </c>
      <c r="T172" s="37">
        <v>241443</v>
      </c>
      <c r="U172" s="37">
        <v>36027.207000000002</v>
      </c>
      <c r="V172" s="37">
        <v>4827.6459999999997</v>
      </c>
      <c r="W172" s="37">
        <v>13.4</v>
      </c>
      <c r="X172" s="37" t="s">
        <v>716</v>
      </c>
      <c r="Y172" s="37" t="s">
        <v>766</v>
      </c>
      <c r="Z172" s="37" t="s">
        <v>951</v>
      </c>
      <c r="AA172" s="37" t="s">
        <v>546</v>
      </c>
    </row>
    <row r="173" spans="1:27" x14ac:dyDescent="0.25">
      <c r="A173" s="37">
        <v>172</v>
      </c>
      <c r="B173" s="37" t="s">
        <v>758</v>
      </c>
      <c r="C173" s="37" t="s">
        <v>759</v>
      </c>
      <c r="D173" s="37">
        <v>2006</v>
      </c>
      <c r="E173" s="37">
        <v>25.1</v>
      </c>
      <c r="F173" s="37">
        <v>2162886</v>
      </c>
      <c r="G173" s="37">
        <v>1498</v>
      </c>
      <c r="H173" s="37" t="s">
        <v>694</v>
      </c>
      <c r="I173" s="37" t="s">
        <v>538</v>
      </c>
      <c r="J173" s="37" t="s">
        <v>702</v>
      </c>
      <c r="K173" s="37">
        <v>5</v>
      </c>
      <c r="L173" s="37">
        <v>5</v>
      </c>
      <c r="M173" s="37">
        <v>19.5</v>
      </c>
      <c r="N173" s="37">
        <v>20297</v>
      </c>
      <c r="O173" s="37">
        <v>18582</v>
      </c>
      <c r="P173" s="37">
        <v>20975</v>
      </c>
      <c r="Q173" s="37">
        <v>24446</v>
      </c>
      <c r="R173" s="37">
        <v>25707</v>
      </c>
      <c r="S173" s="37">
        <v>23684</v>
      </c>
      <c r="T173" s="37">
        <v>133691</v>
      </c>
      <c r="U173" s="37">
        <v>28915.839</v>
      </c>
      <c r="V173" s="37">
        <v>-607.23299999999995</v>
      </c>
      <c r="W173" s="37">
        <v>-2.1</v>
      </c>
      <c r="X173" s="37" t="s">
        <v>788</v>
      </c>
      <c r="Y173" s="37" t="s">
        <v>884</v>
      </c>
      <c r="Z173" s="37" t="s">
        <v>952</v>
      </c>
      <c r="AA173" s="37" t="s">
        <v>63</v>
      </c>
    </row>
    <row r="174" spans="1:27" x14ac:dyDescent="0.25">
      <c r="A174" s="37">
        <v>173</v>
      </c>
      <c r="B174" s="37" t="s">
        <v>761</v>
      </c>
      <c r="C174" s="37" t="s">
        <v>905</v>
      </c>
      <c r="D174" s="37">
        <v>2016</v>
      </c>
      <c r="E174" s="37">
        <v>16.100000000000001</v>
      </c>
      <c r="F174" s="37">
        <v>1656655</v>
      </c>
      <c r="G174" s="37">
        <v>1498</v>
      </c>
      <c r="H174" s="37" t="s">
        <v>694</v>
      </c>
      <c r="I174" s="37" t="s">
        <v>538</v>
      </c>
      <c r="J174" s="37" t="s">
        <v>702</v>
      </c>
      <c r="K174" s="37">
        <v>2</v>
      </c>
      <c r="L174" s="37">
        <v>7</v>
      </c>
      <c r="M174" s="37">
        <v>38.799999999999997</v>
      </c>
      <c r="N174" s="37">
        <v>7327</v>
      </c>
      <c r="O174" s="37">
        <v>8227</v>
      </c>
      <c r="P174" s="37">
        <v>8978</v>
      </c>
      <c r="Q174" s="37">
        <v>8871</v>
      </c>
      <c r="R174" s="37">
        <v>8464</v>
      </c>
      <c r="S174" s="37">
        <v>9276</v>
      </c>
      <c r="T174" s="37">
        <v>51143</v>
      </c>
      <c r="U174" s="37">
        <v>8472.6309999999994</v>
      </c>
      <c r="V174" s="37">
        <v>-398.214</v>
      </c>
      <c r="W174" s="37">
        <v>-4.7</v>
      </c>
      <c r="X174" s="37" t="s">
        <v>788</v>
      </c>
      <c r="Y174" s="37" t="s">
        <v>884</v>
      </c>
      <c r="Z174" s="37" t="s">
        <v>952</v>
      </c>
      <c r="AA174" s="37" t="s">
        <v>63</v>
      </c>
    </row>
    <row r="175" spans="1:27" x14ac:dyDescent="0.25">
      <c r="A175" s="37">
        <v>174</v>
      </c>
      <c r="B175" s="37" t="s">
        <v>758</v>
      </c>
      <c r="C175" s="37" t="s">
        <v>759</v>
      </c>
      <c r="D175" s="37">
        <v>2019</v>
      </c>
      <c r="E175" s="37">
        <v>21.3</v>
      </c>
      <c r="F175" s="37">
        <v>2557105</v>
      </c>
      <c r="G175" s="37">
        <v>1998</v>
      </c>
      <c r="H175" s="37" t="s">
        <v>707</v>
      </c>
      <c r="I175" s="37" t="s">
        <v>736</v>
      </c>
      <c r="J175" s="37" t="s">
        <v>708</v>
      </c>
      <c r="K175" s="37">
        <v>1</v>
      </c>
      <c r="L175" s="37">
        <v>6</v>
      </c>
      <c r="M175" s="37">
        <v>24.2</v>
      </c>
      <c r="N175" s="37">
        <v>2678</v>
      </c>
      <c r="O175" s="37">
        <v>2588</v>
      </c>
      <c r="P175" s="37">
        <v>2953</v>
      </c>
      <c r="Q175" s="37">
        <v>3531</v>
      </c>
      <c r="R175" s="37">
        <v>3166</v>
      </c>
      <c r="S175" s="37">
        <v>3894</v>
      </c>
      <c r="T175" s="37">
        <v>18810</v>
      </c>
      <c r="U175" s="37">
        <v>4809.915</v>
      </c>
      <c r="V175" s="37">
        <v>1125.52</v>
      </c>
      <c r="W175" s="37">
        <v>23.4</v>
      </c>
      <c r="X175" s="37" t="s">
        <v>716</v>
      </c>
      <c r="Y175" s="37" t="s">
        <v>717</v>
      </c>
      <c r="Z175" s="37" t="s">
        <v>859</v>
      </c>
      <c r="AA175" s="37" t="s">
        <v>546</v>
      </c>
    </row>
    <row r="176" spans="1:27" x14ac:dyDescent="0.25">
      <c r="A176" s="37">
        <v>175</v>
      </c>
      <c r="B176" s="37" t="s">
        <v>730</v>
      </c>
      <c r="C176" s="37" t="s">
        <v>731</v>
      </c>
      <c r="D176" s="37">
        <v>2012</v>
      </c>
      <c r="E176" s="37">
        <v>18.899999999999999</v>
      </c>
      <c r="F176" s="37">
        <v>1775700</v>
      </c>
      <c r="G176" s="37">
        <v>1197</v>
      </c>
      <c r="H176" s="37" t="s">
        <v>753</v>
      </c>
      <c r="I176" s="37" t="s">
        <v>81</v>
      </c>
      <c r="J176" s="37" t="s">
        <v>695</v>
      </c>
      <c r="K176" s="37">
        <v>2</v>
      </c>
      <c r="L176" s="37">
        <v>8</v>
      </c>
      <c r="M176" s="37">
        <v>20.8</v>
      </c>
      <c r="N176" s="37">
        <v>12176</v>
      </c>
      <c r="O176" s="37">
        <v>14716</v>
      </c>
      <c r="P176" s="37">
        <v>15881</v>
      </c>
      <c r="Q176" s="37">
        <v>14772</v>
      </c>
      <c r="R176" s="37">
        <v>16358</v>
      </c>
      <c r="S176" s="37">
        <v>15337</v>
      </c>
      <c r="T176" s="37">
        <v>89240</v>
      </c>
      <c r="U176" s="37">
        <v>15846.347</v>
      </c>
      <c r="V176" s="37">
        <v>2994.96</v>
      </c>
      <c r="W176" s="37">
        <v>18.899999999999999</v>
      </c>
      <c r="X176" s="37" t="s">
        <v>709</v>
      </c>
      <c r="Y176" s="37" t="s">
        <v>710</v>
      </c>
      <c r="Z176" s="37" t="s">
        <v>737</v>
      </c>
      <c r="AA176" s="37" t="s">
        <v>546</v>
      </c>
    </row>
    <row r="177" spans="1:27" x14ac:dyDescent="0.25">
      <c r="A177" s="37">
        <v>176</v>
      </c>
      <c r="B177" s="37" t="s">
        <v>738</v>
      </c>
      <c r="C177" s="37" t="s">
        <v>883</v>
      </c>
      <c r="D177" s="37">
        <v>2022</v>
      </c>
      <c r="E177" s="37">
        <v>26.8</v>
      </c>
      <c r="F177" s="37">
        <v>3305371</v>
      </c>
      <c r="G177" s="37">
        <v>800</v>
      </c>
      <c r="H177" s="37" t="s">
        <v>726</v>
      </c>
      <c r="I177" s="37" t="s">
        <v>544</v>
      </c>
      <c r="J177" s="37" t="s">
        <v>715</v>
      </c>
      <c r="K177" s="37">
        <v>1</v>
      </c>
      <c r="L177" s="37">
        <v>8</v>
      </c>
      <c r="M177" s="37">
        <v>6.3</v>
      </c>
      <c r="N177" s="37">
        <v>6404</v>
      </c>
      <c r="O177" s="37">
        <v>7831</v>
      </c>
      <c r="P177" s="37">
        <v>8849</v>
      </c>
      <c r="Q177" s="37">
        <v>9940</v>
      </c>
      <c r="R177" s="37">
        <v>8823</v>
      </c>
      <c r="S177" s="37">
        <v>10864</v>
      </c>
      <c r="T177" s="37">
        <v>52711</v>
      </c>
      <c r="U177" s="37">
        <v>17422.940999999999</v>
      </c>
      <c r="V177" s="37">
        <v>1341.566</v>
      </c>
      <c r="W177" s="37">
        <v>7.7</v>
      </c>
      <c r="X177" s="37" t="s">
        <v>703</v>
      </c>
      <c r="Y177" s="37" t="s">
        <v>542</v>
      </c>
      <c r="Z177" s="37" t="s">
        <v>950</v>
      </c>
      <c r="AA177" s="37" t="s">
        <v>63</v>
      </c>
    </row>
    <row r="178" spans="1:27" x14ac:dyDescent="0.25">
      <c r="A178" s="37">
        <v>177</v>
      </c>
      <c r="B178" s="37" t="s">
        <v>699</v>
      </c>
      <c r="C178" s="37" t="s">
        <v>953</v>
      </c>
      <c r="D178" s="37">
        <v>2023</v>
      </c>
      <c r="E178" s="37">
        <v>17.8</v>
      </c>
      <c r="F178" s="37">
        <v>3492865</v>
      </c>
      <c r="G178" s="37">
        <v>1197</v>
      </c>
      <c r="H178" s="37" t="s">
        <v>694</v>
      </c>
      <c r="I178" s="37" t="s">
        <v>538</v>
      </c>
      <c r="J178" s="37" t="s">
        <v>708</v>
      </c>
      <c r="K178" s="37">
        <v>3</v>
      </c>
      <c r="L178" s="37">
        <v>8</v>
      </c>
      <c r="M178" s="37">
        <v>23.2</v>
      </c>
      <c r="N178" s="37">
        <v>817</v>
      </c>
      <c r="O178" s="37">
        <v>701</v>
      </c>
      <c r="P178" s="37">
        <v>802</v>
      </c>
      <c r="Q178" s="37">
        <v>935</v>
      </c>
      <c r="R178" s="37">
        <v>1163</v>
      </c>
      <c r="S178" s="37">
        <v>1302</v>
      </c>
      <c r="T178" s="37">
        <v>5720</v>
      </c>
      <c r="U178" s="37">
        <v>1997.9190000000001</v>
      </c>
      <c r="V178" s="37">
        <v>-89.906000000000006</v>
      </c>
      <c r="W178" s="37">
        <v>-4.5</v>
      </c>
      <c r="X178" s="37" t="s">
        <v>727</v>
      </c>
      <c r="Y178" s="37" t="s">
        <v>754</v>
      </c>
      <c r="Z178" s="37" t="s">
        <v>847</v>
      </c>
      <c r="AA178" s="37" t="s">
        <v>63</v>
      </c>
    </row>
    <row r="179" spans="1:27" x14ac:dyDescent="0.25">
      <c r="A179" s="37">
        <v>178</v>
      </c>
      <c r="B179" s="37" t="s">
        <v>699</v>
      </c>
      <c r="C179" s="37" t="s">
        <v>700</v>
      </c>
      <c r="D179" s="37">
        <v>2006</v>
      </c>
      <c r="E179" s="37">
        <v>11.8</v>
      </c>
      <c r="F179" s="37">
        <v>844876</v>
      </c>
      <c r="G179" s="37">
        <v>1498</v>
      </c>
      <c r="H179" s="37" t="s">
        <v>707</v>
      </c>
      <c r="I179" s="37" t="s">
        <v>544</v>
      </c>
      <c r="J179" s="37" t="s">
        <v>715</v>
      </c>
      <c r="K179" s="37">
        <v>3</v>
      </c>
      <c r="L179" s="37">
        <v>6</v>
      </c>
      <c r="M179" s="37">
        <v>19.8</v>
      </c>
      <c r="N179" s="37">
        <v>45020</v>
      </c>
      <c r="O179" s="37">
        <v>42229</v>
      </c>
      <c r="P179" s="37">
        <v>51414</v>
      </c>
      <c r="Q179" s="37">
        <v>65094</v>
      </c>
      <c r="R179" s="37">
        <v>72859</v>
      </c>
      <c r="S179" s="37">
        <v>64084</v>
      </c>
      <c r="T179" s="37">
        <v>340700</v>
      </c>
      <c r="U179" s="37">
        <v>28784.924999999999</v>
      </c>
      <c r="V179" s="37">
        <v>-201.494</v>
      </c>
      <c r="W179" s="37">
        <v>-0.7</v>
      </c>
      <c r="X179" s="37" t="s">
        <v>781</v>
      </c>
      <c r="Y179" s="37" t="s">
        <v>592</v>
      </c>
      <c r="Z179" s="37" t="s">
        <v>954</v>
      </c>
      <c r="AA179" s="37" t="s">
        <v>63</v>
      </c>
    </row>
    <row r="180" spans="1:27" x14ac:dyDescent="0.25">
      <c r="A180" s="37">
        <v>179</v>
      </c>
      <c r="B180" s="37" t="s">
        <v>748</v>
      </c>
      <c r="C180" s="37" t="s">
        <v>862</v>
      </c>
      <c r="D180" s="37">
        <v>2016</v>
      </c>
      <c r="E180" s="37">
        <v>11.8</v>
      </c>
      <c r="F180" s="37">
        <v>953384</v>
      </c>
      <c r="G180" s="37">
        <v>1498</v>
      </c>
      <c r="H180" s="37" t="s">
        <v>714</v>
      </c>
      <c r="I180" s="37" t="s">
        <v>538</v>
      </c>
      <c r="J180" s="37" t="s">
        <v>702</v>
      </c>
      <c r="K180" s="37">
        <v>0</v>
      </c>
      <c r="L180" s="37">
        <v>5</v>
      </c>
      <c r="M180" s="37">
        <v>11.3</v>
      </c>
      <c r="N180" s="37">
        <v>19288</v>
      </c>
      <c r="O180" s="37">
        <v>18271</v>
      </c>
      <c r="P180" s="37">
        <v>14977</v>
      </c>
      <c r="Q180" s="37">
        <v>16721</v>
      </c>
      <c r="R180" s="37">
        <v>16550</v>
      </c>
      <c r="S180" s="37">
        <v>17125</v>
      </c>
      <c r="T180" s="37">
        <v>102932</v>
      </c>
      <c r="U180" s="37">
        <v>9813.3719999999994</v>
      </c>
      <c r="V180" s="37">
        <v>2806.6239999999998</v>
      </c>
      <c r="W180" s="37">
        <v>28.6</v>
      </c>
      <c r="X180" s="37" t="s">
        <v>763</v>
      </c>
      <c r="Y180" s="37" t="s">
        <v>807</v>
      </c>
      <c r="Z180" s="37" t="s">
        <v>955</v>
      </c>
      <c r="AA180" s="37" t="s">
        <v>63</v>
      </c>
    </row>
    <row r="181" spans="1:27" x14ac:dyDescent="0.25">
      <c r="A181" s="37">
        <v>180</v>
      </c>
      <c r="B181" s="37" t="s">
        <v>793</v>
      </c>
      <c r="C181" s="37" t="s">
        <v>829</v>
      </c>
      <c r="D181" s="37">
        <v>2012</v>
      </c>
      <c r="E181" s="37">
        <v>13.1</v>
      </c>
      <c r="F181" s="37">
        <v>1154604</v>
      </c>
      <c r="G181" s="37">
        <v>1998</v>
      </c>
      <c r="H181" s="37" t="s">
        <v>714</v>
      </c>
      <c r="I181" s="37" t="s">
        <v>544</v>
      </c>
      <c r="J181" s="37" t="s">
        <v>695</v>
      </c>
      <c r="K181" s="37">
        <v>3</v>
      </c>
      <c r="L181" s="37">
        <v>6</v>
      </c>
      <c r="M181" s="37">
        <v>34.799999999999997</v>
      </c>
      <c r="N181" s="37">
        <v>8969</v>
      </c>
      <c r="O181" s="37">
        <v>9055</v>
      </c>
      <c r="P181" s="37">
        <v>10816</v>
      </c>
      <c r="Q181" s="37">
        <v>9943</v>
      </c>
      <c r="R181" s="37">
        <v>10650</v>
      </c>
      <c r="S181" s="37">
        <v>10254</v>
      </c>
      <c r="T181" s="37">
        <v>59687</v>
      </c>
      <c r="U181" s="37">
        <v>6891.4849999999997</v>
      </c>
      <c r="V181" s="37">
        <v>454.83800000000002</v>
      </c>
      <c r="W181" s="37">
        <v>6.6</v>
      </c>
      <c r="X181" s="37" t="s">
        <v>826</v>
      </c>
      <c r="Y181" s="37" t="s">
        <v>831</v>
      </c>
      <c r="Z181" s="37" t="s">
        <v>876</v>
      </c>
      <c r="AA181" s="37" t="s">
        <v>546</v>
      </c>
    </row>
    <row r="182" spans="1:27" x14ac:dyDescent="0.25">
      <c r="A182" s="37">
        <v>181</v>
      </c>
      <c r="B182" s="37" t="s">
        <v>738</v>
      </c>
      <c r="C182" s="37" t="s">
        <v>956</v>
      </c>
      <c r="D182" s="37">
        <v>2005</v>
      </c>
      <c r="E182" s="37">
        <v>22</v>
      </c>
      <c r="F182" s="37">
        <v>1440750</v>
      </c>
      <c r="G182" s="37">
        <v>1197</v>
      </c>
      <c r="H182" s="37" t="s">
        <v>701</v>
      </c>
      <c r="I182" s="37" t="s">
        <v>538</v>
      </c>
      <c r="J182" s="37" t="s">
        <v>715</v>
      </c>
      <c r="K182" s="37">
        <v>1</v>
      </c>
      <c r="L182" s="37">
        <v>4</v>
      </c>
      <c r="M182" s="37">
        <v>29.3</v>
      </c>
      <c r="N182" s="37">
        <v>0</v>
      </c>
      <c r="O182" s="37">
        <v>0</v>
      </c>
      <c r="P182" s="37">
        <v>0</v>
      </c>
      <c r="Q182" s="37">
        <v>0</v>
      </c>
      <c r="R182" s="37">
        <v>0</v>
      </c>
      <c r="S182" s="37">
        <v>0</v>
      </c>
      <c r="T182" s="37">
        <v>0</v>
      </c>
      <c r="U182" s="37">
        <v>0</v>
      </c>
      <c r="V182" s="37">
        <v>0</v>
      </c>
      <c r="W182" s="37">
        <v>5.0999999999999996</v>
      </c>
      <c r="X182" s="37" t="s">
        <v>763</v>
      </c>
      <c r="Y182" s="37" t="s">
        <v>764</v>
      </c>
      <c r="Z182" s="37" t="s">
        <v>925</v>
      </c>
      <c r="AA182" s="37" t="s">
        <v>63</v>
      </c>
    </row>
    <row r="183" spans="1:27" x14ac:dyDescent="0.25">
      <c r="A183" s="37">
        <v>182</v>
      </c>
      <c r="B183" s="37" t="s">
        <v>712</v>
      </c>
      <c r="C183" s="37" t="s">
        <v>713</v>
      </c>
      <c r="D183" s="37">
        <v>2023</v>
      </c>
      <c r="E183" s="37">
        <v>25</v>
      </c>
      <c r="F183" s="37">
        <v>2634980</v>
      </c>
      <c r="G183" s="37">
        <v>800</v>
      </c>
      <c r="H183" s="37" t="s">
        <v>701</v>
      </c>
      <c r="I183" s="37" t="s">
        <v>538</v>
      </c>
      <c r="J183" s="37" t="s">
        <v>702</v>
      </c>
      <c r="K183" s="37">
        <v>2</v>
      </c>
      <c r="L183" s="37">
        <v>6</v>
      </c>
      <c r="M183" s="37">
        <v>29.6</v>
      </c>
      <c r="N183" s="37">
        <v>0</v>
      </c>
      <c r="O183" s="37">
        <v>0</v>
      </c>
      <c r="P183" s="37">
        <v>0</v>
      </c>
      <c r="Q183" s="37">
        <v>0</v>
      </c>
      <c r="R183" s="37">
        <v>0</v>
      </c>
      <c r="S183" s="37">
        <v>0</v>
      </c>
      <c r="T183" s="37">
        <v>0</v>
      </c>
      <c r="U183" s="37">
        <v>0</v>
      </c>
      <c r="V183" s="37">
        <v>0</v>
      </c>
      <c r="W183" s="37">
        <v>-3.6</v>
      </c>
      <c r="X183" s="37" t="s">
        <v>716</v>
      </c>
      <c r="Y183" s="37" t="s">
        <v>766</v>
      </c>
      <c r="Z183" s="37" t="s">
        <v>914</v>
      </c>
      <c r="AA183" s="37" t="s">
        <v>546</v>
      </c>
    </row>
    <row r="184" spans="1:27" x14ac:dyDescent="0.25">
      <c r="A184" s="37">
        <v>183</v>
      </c>
      <c r="B184" s="37" t="s">
        <v>748</v>
      </c>
      <c r="C184" s="37" t="s">
        <v>957</v>
      </c>
      <c r="D184" s="37">
        <v>2010</v>
      </c>
      <c r="E184" s="37">
        <v>11.7</v>
      </c>
      <c r="F184" s="37">
        <v>1987314</v>
      </c>
      <c r="G184" s="37">
        <v>1498</v>
      </c>
      <c r="H184" s="37" t="s">
        <v>753</v>
      </c>
      <c r="I184" s="37" t="s">
        <v>736</v>
      </c>
      <c r="J184" s="37" t="s">
        <v>695</v>
      </c>
      <c r="K184" s="37">
        <v>3</v>
      </c>
      <c r="L184" s="37">
        <v>6</v>
      </c>
      <c r="M184" s="37">
        <v>28.7</v>
      </c>
      <c r="N184" s="37">
        <v>12976</v>
      </c>
      <c r="O184" s="37">
        <v>15136</v>
      </c>
      <c r="P184" s="37">
        <v>18374</v>
      </c>
      <c r="Q184" s="37">
        <v>18433</v>
      </c>
      <c r="R184" s="37">
        <v>20870</v>
      </c>
      <c r="S184" s="37">
        <v>21656</v>
      </c>
      <c r="T184" s="37">
        <v>107445</v>
      </c>
      <c r="U184" s="37">
        <v>21352.695</v>
      </c>
      <c r="V184" s="37">
        <v>4291.8919999999998</v>
      </c>
      <c r="W184" s="37">
        <v>20.100000000000001</v>
      </c>
      <c r="X184" s="37" t="s">
        <v>696</v>
      </c>
      <c r="Y184" s="37" t="s">
        <v>594</v>
      </c>
      <c r="Z184" s="37" t="s">
        <v>874</v>
      </c>
      <c r="AA184" s="37" t="s">
        <v>546</v>
      </c>
    </row>
    <row r="185" spans="1:27" x14ac:dyDescent="0.25">
      <c r="A185" s="37">
        <v>184</v>
      </c>
      <c r="B185" s="37" t="s">
        <v>839</v>
      </c>
      <c r="C185" s="37" t="s">
        <v>886</v>
      </c>
      <c r="D185" s="37">
        <v>2007</v>
      </c>
      <c r="E185" s="37">
        <v>13.9</v>
      </c>
      <c r="F185" s="37">
        <v>2257041</v>
      </c>
      <c r="G185" s="37">
        <v>2498</v>
      </c>
      <c r="H185" s="37" t="s">
        <v>726</v>
      </c>
      <c r="I185" s="37" t="s">
        <v>736</v>
      </c>
      <c r="J185" s="37" t="s">
        <v>708</v>
      </c>
      <c r="K185" s="37">
        <v>1</v>
      </c>
      <c r="L185" s="37">
        <v>6</v>
      </c>
      <c r="M185" s="37">
        <v>19.2</v>
      </c>
      <c r="N185" s="37">
        <v>23173</v>
      </c>
      <c r="O185" s="37">
        <v>25535</v>
      </c>
      <c r="P185" s="37">
        <v>25855</v>
      </c>
      <c r="Q185" s="37">
        <v>30338</v>
      </c>
      <c r="R185" s="37">
        <v>37916</v>
      </c>
      <c r="S185" s="37">
        <v>42406</v>
      </c>
      <c r="T185" s="37">
        <v>185223</v>
      </c>
      <c r="U185" s="37">
        <v>41805.591</v>
      </c>
      <c r="V185" s="37">
        <v>-1630.4179999999999</v>
      </c>
      <c r="W185" s="37">
        <v>-3.9</v>
      </c>
      <c r="X185" s="37" t="s">
        <v>709</v>
      </c>
      <c r="Y185" s="37" t="s">
        <v>710</v>
      </c>
      <c r="Z185" s="37" t="s">
        <v>958</v>
      </c>
      <c r="AA185" s="37" t="s">
        <v>63</v>
      </c>
    </row>
    <row r="186" spans="1:27" x14ac:dyDescent="0.25">
      <c r="A186" s="37">
        <v>185</v>
      </c>
      <c r="B186" s="37" t="s">
        <v>849</v>
      </c>
      <c r="C186" s="37" t="s">
        <v>850</v>
      </c>
      <c r="D186" s="37">
        <v>2023</v>
      </c>
      <c r="E186" s="37">
        <v>12.9</v>
      </c>
      <c r="F186" s="37">
        <v>1765072</v>
      </c>
      <c r="G186" s="37">
        <v>1998</v>
      </c>
      <c r="H186" s="37" t="s">
        <v>694</v>
      </c>
      <c r="I186" s="37" t="s">
        <v>544</v>
      </c>
      <c r="J186" s="37" t="s">
        <v>708</v>
      </c>
      <c r="K186" s="37">
        <v>2</v>
      </c>
      <c r="L186" s="37">
        <v>7</v>
      </c>
      <c r="M186" s="37">
        <v>14.9</v>
      </c>
      <c r="N186" s="37">
        <v>0</v>
      </c>
      <c r="O186" s="37">
        <v>0</v>
      </c>
      <c r="P186" s="37">
        <v>0</v>
      </c>
      <c r="Q186" s="37">
        <v>0</v>
      </c>
      <c r="R186" s="37">
        <v>0</v>
      </c>
      <c r="S186" s="37">
        <v>0</v>
      </c>
      <c r="T186" s="37">
        <v>0</v>
      </c>
      <c r="U186" s="37">
        <v>0</v>
      </c>
      <c r="V186" s="37">
        <v>0</v>
      </c>
      <c r="W186" s="37">
        <v>-2.5</v>
      </c>
      <c r="X186" s="37" t="s">
        <v>763</v>
      </c>
      <c r="Y186" s="37" t="s">
        <v>764</v>
      </c>
      <c r="Z186" s="37" t="s">
        <v>959</v>
      </c>
      <c r="AA186" s="37" t="s">
        <v>63</v>
      </c>
    </row>
    <row r="187" spans="1:27" x14ac:dyDescent="0.25">
      <c r="A187" s="37">
        <v>186</v>
      </c>
      <c r="B187" s="37" t="s">
        <v>751</v>
      </c>
      <c r="C187" s="37" t="s">
        <v>752</v>
      </c>
      <c r="D187" s="37">
        <v>2006</v>
      </c>
      <c r="E187" s="37">
        <v>14.2</v>
      </c>
      <c r="F187" s="37">
        <v>1551740</v>
      </c>
      <c r="G187" s="37">
        <v>1000</v>
      </c>
      <c r="H187" s="37" t="s">
        <v>701</v>
      </c>
      <c r="I187" s="37" t="s">
        <v>544</v>
      </c>
      <c r="J187" s="37" t="s">
        <v>708</v>
      </c>
      <c r="K187" s="37">
        <v>0</v>
      </c>
      <c r="L187" s="37">
        <v>4</v>
      </c>
      <c r="M187" s="37">
        <v>18</v>
      </c>
      <c r="N187" s="37">
        <v>10370</v>
      </c>
      <c r="O187" s="37">
        <v>13340</v>
      </c>
      <c r="P187" s="37">
        <v>12375</v>
      </c>
      <c r="Q187" s="37">
        <v>10715</v>
      </c>
      <c r="R187" s="37">
        <v>10273</v>
      </c>
      <c r="S187" s="37">
        <v>11703</v>
      </c>
      <c r="T187" s="37">
        <v>68776</v>
      </c>
      <c r="U187" s="37">
        <v>10672.246999999999</v>
      </c>
      <c r="V187" s="37">
        <v>2604.0279999999998</v>
      </c>
      <c r="W187" s="37">
        <v>24.4</v>
      </c>
      <c r="X187" s="37" t="s">
        <v>773</v>
      </c>
      <c r="Y187" s="37" t="s">
        <v>774</v>
      </c>
      <c r="Z187" s="37" t="s">
        <v>933</v>
      </c>
      <c r="AA187" s="37" t="s">
        <v>63</v>
      </c>
    </row>
    <row r="188" spans="1:27" x14ac:dyDescent="0.25">
      <c r="A188" s="37">
        <v>187</v>
      </c>
      <c r="B188" s="37" t="s">
        <v>712</v>
      </c>
      <c r="C188" s="37" t="s">
        <v>713</v>
      </c>
      <c r="D188" s="37">
        <v>2010</v>
      </c>
      <c r="E188" s="37">
        <v>21.7</v>
      </c>
      <c r="F188" s="37">
        <v>1119905</v>
      </c>
      <c r="G188" s="37">
        <v>1998</v>
      </c>
      <c r="H188" s="37" t="s">
        <v>701</v>
      </c>
      <c r="I188" s="37" t="s">
        <v>771</v>
      </c>
      <c r="J188" s="37" t="s">
        <v>702</v>
      </c>
      <c r="K188" s="37">
        <v>3</v>
      </c>
      <c r="L188" s="37">
        <v>4</v>
      </c>
      <c r="M188" s="37">
        <v>33.299999999999997</v>
      </c>
      <c r="N188" s="37">
        <v>50533</v>
      </c>
      <c r="O188" s="37">
        <v>46240</v>
      </c>
      <c r="P188" s="37">
        <v>54691</v>
      </c>
      <c r="Q188" s="37">
        <v>65040</v>
      </c>
      <c r="R188" s="37">
        <v>75349</v>
      </c>
      <c r="S188" s="37">
        <v>90220</v>
      </c>
      <c r="T188" s="37">
        <v>382073</v>
      </c>
      <c r="U188" s="37">
        <v>42788.546000000002</v>
      </c>
      <c r="V188" s="37">
        <v>-427.88499999999999</v>
      </c>
      <c r="W188" s="37">
        <v>-1</v>
      </c>
      <c r="X188" s="37" t="s">
        <v>727</v>
      </c>
      <c r="Y188" s="37" t="s">
        <v>754</v>
      </c>
      <c r="Z188" s="37" t="s">
        <v>851</v>
      </c>
      <c r="AA188" s="37" t="s">
        <v>63</v>
      </c>
    </row>
    <row r="189" spans="1:27" x14ac:dyDescent="0.25">
      <c r="A189" s="37">
        <v>188</v>
      </c>
      <c r="B189" s="37" t="s">
        <v>699</v>
      </c>
      <c r="C189" s="37" t="s">
        <v>960</v>
      </c>
      <c r="D189" s="37">
        <v>2012</v>
      </c>
      <c r="E189" s="37">
        <v>20.8</v>
      </c>
      <c r="F189" s="37">
        <v>2388743</v>
      </c>
      <c r="G189" s="37">
        <v>800</v>
      </c>
      <c r="H189" s="37" t="s">
        <v>714</v>
      </c>
      <c r="I189" s="37" t="s">
        <v>538</v>
      </c>
      <c r="J189" s="37" t="s">
        <v>695</v>
      </c>
      <c r="K189" s="37">
        <v>0</v>
      </c>
      <c r="L189" s="37">
        <v>6</v>
      </c>
      <c r="M189" s="37">
        <v>21.1</v>
      </c>
      <c r="N189" s="37">
        <v>56282</v>
      </c>
      <c r="O189" s="37">
        <v>42850</v>
      </c>
      <c r="P189" s="37">
        <v>52229</v>
      </c>
      <c r="Q189" s="37">
        <v>56313</v>
      </c>
      <c r="R189" s="37">
        <v>45394</v>
      </c>
      <c r="S189" s="37">
        <v>37609</v>
      </c>
      <c r="T189" s="37">
        <v>290677</v>
      </c>
      <c r="U189" s="37">
        <v>69435.264999999999</v>
      </c>
      <c r="V189" s="37">
        <v>14650.841</v>
      </c>
      <c r="W189" s="37">
        <v>21.1</v>
      </c>
      <c r="X189" s="37" t="s">
        <v>703</v>
      </c>
      <c r="Y189" s="37" t="s">
        <v>732</v>
      </c>
      <c r="Z189" s="37" t="s">
        <v>733</v>
      </c>
      <c r="AA189" s="37" t="s">
        <v>63</v>
      </c>
    </row>
    <row r="190" spans="1:27" x14ac:dyDescent="0.25">
      <c r="A190" s="37">
        <v>189</v>
      </c>
      <c r="B190" s="37" t="s">
        <v>692</v>
      </c>
      <c r="C190" s="37" t="s">
        <v>693</v>
      </c>
      <c r="D190" s="37">
        <v>2020</v>
      </c>
      <c r="E190" s="37">
        <v>12.3</v>
      </c>
      <c r="F190" s="37">
        <v>2736638</v>
      </c>
      <c r="G190" s="37">
        <v>800</v>
      </c>
      <c r="H190" s="37" t="s">
        <v>707</v>
      </c>
      <c r="I190" s="37" t="s">
        <v>538</v>
      </c>
      <c r="J190" s="37" t="s">
        <v>715</v>
      </c>
      <c r="K190" s="37">
        <v>3</v>
      </c>
      <c r="L190" s="37">
        <v>8</v>
      </c>
      <c r="M190" s="37">
        <v>36.4</v>
      </c>
      <c r="N190" s="37">
        <v>0</v>
      </c>
      <c r="O190" s="37">
        <v>0</v>
      </c>
      <c r="P190" s="37">
        <v>0</v>
      </c>
      <c r="Q190" s="37">
        <v>0</v>
      </c>
      <c r="R190" s="37">
        <v>0</v>
      </c>
      <c r="S190" s="37">
        <v>0</v>
      </c>
      <c r="T190" s="37">
        <v>0</v>
      </c>
      <c r="U190" s="37">
        <v>0</v>
      </c>
      <c r="V190" s="37">
        <v>0</v>
      </c>
      <c r="W190" s="37">
        <v>13.4</v>
      </c>
      <c r="X190" s="37" t="s">
        <v>781</v>
      </c>
      <c r="Y190" s="37" t="s">
        <v>542</v>
      </c>
      <c r="Z190" s="37" t="s">
        <v>852</v>
      </c>
      <c r="AA190" s="37" t="s">
        <v>63</v>
      </c>
    </row>
    <row r="191" spans="1:27" x14ac:dyDescent="0.25">
      <c r="A191" s="37">
        <v>190</v>
      </c>
      <c r="B191" s="37" t="s">
        <v>730</v>
      </c>
      <c r="C191" s="37" t="s">
        <v>731</v>
      </c>
      <c r="D191" s="37">
        <v>2007</v>
      </c>
      <c r="E191" s="37">
        <v>25.1</v>
      </c>
      <c r="F191" s="37">
        <v>1267654</v>
      </c>
      <c r="G191" s="37">
        <v>1598</v>
      </c>
      <c r="H191" s="37" t="s">
        <v>707</v>
      </c>
      <c r="I191" s="37" t="s">
        <v>538</v>
      </c>
      <c r="J191" s="37" t="s">
        <v>702</v>
      </c>
      <c r="K191" s="37">
        <v>2</v>
      </c>
      <c r="L191" s="37">
        <v>7</v>
      </c>
      <c r="M191" s="37">
        <v>10.4</v>
      </c>
      <c r="N191" s="37">
        <v>32357</v>
      </c>
      <c r="O191" s="37">
        <v>37645</v>
      </c>
      <c r="P191" s="37">
        <v>48416</v>
      </c>
      <c r="Q191" s="37">
        <v>54907</v>
      </c>
      <c r="R191" s="37">
        <v>63747</v>
      </c>
      <c r="S191" s="37">
        <v>65491</v>
      </c>
      <c r="T191" s="37">
        <v>302563</v>
      </c>
      <c r="U191" s="37">
        <v>38354.519999999997</v>
      </c>
      <c r="V191" s="37">
        <v>-575.31799999999998</v>
      </c>
      <c r="W191" s="37">
        <v>-1.5</v>
      </c>
      <c r="X191" s="37" t="s">
        <v>721</v>
      </c>
      <c r="Y191" s="37" t="s">
        <v>722</v>
      </c>
      <c r="Z191" s="37" t="s">
        <v>901</v>
      </c>
      <c r="AA191" s="37" t="s">
        <v>63</v>
      </c>
    </row>
    <row r="192" spans="1:27" x14ac:dyDescent="0.25">
      <c r="A192" s="37">
        <v>191</v>
      </c>
      <c r="B192" s="37" t="s">
        <v>745</v>
      </c>
      <c r="C192" s="37" t="s">
        <v>906</v>
      </c>
      <c r="D192" s="37">
        <v>2001</v>
      </c>
      <c r="E192" s="37">
        <v>26</v>
      </c>
      <c r="F192" s="37">
        <v>1752200</v>
      </c>
      <c r="G192" s="37">
        <v>2997</v>
      </c>
      <c r="H192" s="37" t="s">
        <v>753</v>
      </c>
      <c r="I192" s="37" t="s">
        <v>771</v>
      </c>
      <c r="J192" s="37" t="s">
        <v>715</v>
      </c>
      <c r="K192" s="37">
        <v>2</v>
      </c>
      <c r="L192" s="37">
        <v>8</v>
      </c>
      <c r="M192" s="37">
        <v>11.3</v>
      </c>
      <c r="N192" s="37">
        <v>37542</v>
      </c>
      <c r="O192" s="37">
        <v>34343</v>
      </c>
      <c r="P192" s="37">
        <v>31649</v>
      </c>
      <c r="Q192" s="37">
        <v>40247</v>
      </c>
      <c r="R192" s="37">
        <v>47420</v>
      </c>
      <c r="S192" s="37">
        <v>44566</v>
      </c>
      <c r="T192" s="37">
        <v>235767</v>
      </c>
      <c r="U192" s="37">
        <v>41311.093999999997</v>
      </c>
      <c r="V192" s="37">
        <v>11938.906000000001</v>
      </c>
      <c r="W192" s="37">
        <v>28.9</v>
      </c>
      <c r="X192" s="37" t="s">
        <v>781</v>
      </c>
      <c r="Y192" s="37" t="s">
        <v>592</v>
      </c>
      <c r="Z192" s="37" t="s">
        <v>961</v>
      </c>
      <c r="AA192" s="37" t="s">
        <v>546</v>
      </c>
    </row>
    <row r="193" spans="1:27" x14ac:dyDescent="0.25">
      <c r="A193" s="37">
        <v>192</v>
      </c>
      <c r="B193" s="37" t="s">
        <v>692</v>
      </c>
      <c r="C193" s="37" t="s">
        <v>962</v>
      </c>
      <c r="D193" s="37">
        <v>2010</v>
      </c>
      <c r="E193" s="37">
        <v>26.8</v>
      </c>
      <c r="F193" s="37">
        <v>1931038</v>
      </c>
      <c r="G193" s="37">
        <v>2997</v>
      </c>
      <c r="H193" s="37" t="s">
        <v>707</v>
      </c>
      <c r="I193" s="37" t="s">
        <v>538</v>
      </c>
      <c r="J193" s="37" t="s">
        <v>708</v>
      </c>
      <c r="K193" s="37">
        <v>5</v>
      </c>
      <c r="L193" s="37">
        <v>6</v>
      </c>
      <c r="M193" s="37">
        <v>32.4</v>
      </c>
      <c r="N193" s="37">
        <v>5045</v>
      </c>
      <c r="O193" s="37">
        <v>4098</v>
      </c>
      <c r="P193" s="37">
        <v>4416</v>
      </c>
      <c r="Q193" s="37">
        <v>4177</v>
      </c>
      <c r="R193" s="37">
        <v>4185</v>
      </c>
      <c r="S193" s="37">
        <v>5278</v>
      </c>
      <c r="T193" s="37">
        <v>27199</v>
      </c>
      <c r="U193" s="37">
        <v>5252.23</v>
      </c>
      <c r="V193" s="37">
        <v>63.027000000000001</v>
      </c>
      <c r="W193" s="37">
        <v>1.2</v>
      </c>
      <c r="X193" s="37" t="s">
        <v>773</v>
      </c>
      <c r="Y193" s="37" t="s">
        <v>777</v>
      </c>
      <c r="Z193" s="37" t="s">
        <v>963</v>
      </c>
      <c r="AA193" s="37" t="s">
        <v>63</v>
      </c>
    </row>
    <row r="194" spans="1:27" x14ac:dyDescent="0.25">
      <c r="A194" s="37">
        <v>193</v>
      </c>
      <c r="B194" s="37" t="s">
        <v>699</v>
      </c>
      <c r="C194" s="37" t="s">
        <v>776</v>
      </c>
      <c r="D194" s="37">
        <v>2012</v>
      </c>
      <c r="E194" s="37">
        <v>20.100000000000001</v>
      </c>
      <c r="F194" s="37">
        <v>1159382</v>
      </c>
      <c r="G194" s="37">
        <v>1396</v>
      </c>
      <c r="H194" s="37" t="s">
        <v>714</v>
      </c>
      <c r="I194" s="37" t="s">
        <v>538</v>
      </c>
      <c r="J194" s="37" t="s">
        <v>695</v>
      </c>
      <c r="K194" s="37">
        <v>0</v>
      </c>
      <c r="L194" s="37">
        <v>7</v>
      </c>
      <c r="M194" s="37">
        <v>29.8</v>
      </c>
      <c r="N194" s="37">
        <v>20354</v>
      </c>
      <c r="O194" s="37">
        <v>25304</v>
      </c>
      <c r="P194" s="37">
        <v>21165</v>
      </c>
      <c r="Q194" s="37">
        <v>22984</v>
      </c>
      <c r="R194" s="37">
        <v>23835</v>
      </c>
      <c r="S194" s="37">
        <v>22314</v>
      </c>
      <c r="T194" s="37">
        <v>135956</v>
      </c>
      <c r="U194" s="37">
        <v>15762.494000000001</v>
      </c>
      <c r="V194" s="37">
        <v>2979.1109999999999</v>
      </c>
      <c r="W194" s="37">
        <v>18.899999999999999</v>
      </c>
      <c r="X194" s="37" t="s">
        <v>696</v>
      </c>
      <c r="Y194" s="37" t="s">
        <v>594</v>
      </c>
      <c r="Z194" s="37" t="s">
        <v>823</v>
      </c>
      <c r="AA194" s="37" t="s">
        <v>63</v>
      </c>
    </row>
    <row r="195" spans="1:27" x14ac:dyDescent="0.25">
      <c r="A195" s="37">
        <v>194</v>
      </c>
      <c r="B195" s="37" t="s">
        <v>758</v>
      </c>
      <c r="C195" s="37" t="s">
        <v>928</v>
      </c>
      <c r="D195" s="37">
        <v>2024</v>
      </c>
      <c r="E195" s="37">
        <v>22.4</v>
      </c>
      <c r="F195" s="37">
        <v>1637860</v>
      </c>
      <c r="G195" s="37">
        <v>1598</v>
      </c>
      <c r="H195" s="37" t="s">
        <v>753</v>
      </c>
      <c r="I195" s="37" t="s">
        <v>538</v>
      </c>
      <c r="J195" s="37" t="s">
        <v>695</v>
      </c>
      <c r="K195" s="37">
        <v>5</v>
      </c>
      <c r="L195" s="37">
        <v>8</v>
      </c>
      <c r="M195" s="37">
        <v>28.8</v>
      </c>
      <c r="N195" s="37">
        <v>33290</v>
      </c>
      <c r="O195" s="37">
        <v>30566</v>
      </c>
      <c r="P195" s="37">
        <v>37402</v>
      </c>
      <c r="Q195" s="37">
        <v>32355</v>
      </c>
      <c r="R195" s="37">
        <v>32864</v>
      </c>
      <c r="S195" s="37">
        <v>32711</v>
      </c>
      <c r="T195" s="37">
        <v>199188</v>
      </c>
      <c r="U195" s="37">
        <v>32624.205999999998</v>
      </c>
      <c r="V195" s="37">
        <v>7568.8159999999998</v>
      </c>
      <c r="W195" s="37">
        <v>23.2</v>
      </c>
      <c r="X195" s="37" t="s">
        <v>721</v>
      </c>
      <c r="Y195" s="37" t="s">
        <v>791</v>
      </c>
      <c r="Z195" s="37" t="s">
        <v>964</v>
      </c>
      <c r="AA195" s="37" t="s">
        <v>541</v>
      </c>
    </row>
    <row r="196" spans="1:27" x14ac:dyDescent="0.25">
      <c r="A196" s="37">
        <v>195</v>
      </c>
      <c r="B196" s="37" t="s">
        <v>748</v>
      </c>
      <c r="C196" s="37" t="s">
        <v>862</v>
      </c>
      <c r="D196" s="37">
        <v>2007</v>
      </c>
      <c r="E196" s="37">
        <v>24.8</v>
      </c>
      <c r="F196" s="37">
        <v>2357649</v>
      </c>
      <c r="G196" s="37">
        <v>1248</v>
      </c>
      <c r="H196" s="37" t="s">
        <v>753</v>
      </c>
      <c r="I196" s="37" t="s">
        <v>538</v>
      </c>
      <c r="J196" s="37" t="s">
        <v>695</v>
      </c>
      <c r="K196" s="37">
        <v>3</v>
      </c>
      <c r="L196" s="37">
        <v>5</v>
      </c>
      <c r="M196" s="37">
        <v>19.2</v>
      </c>
      <c r="N196" s="37">
        <v>40569</v>
      </c>
      <c r="O196" s="37">
        <v>43090</v>
      </c>
      <c r="P196" s="37">
        <v>50547</v>
      </c>
      <c r="Q196" s="37">
        <v>57299</v>
      </c>
      <c r="R196" s="37">
        <v>49575</v>
      </c>
      <c r="S196" s="37">
        <v>63083</v>
      </c>
      <c r="T196" s="37">
        <v>304163</v>
      </c>
      <c r="U196" s="37">
        <v>71710.959000000003</v>
      </c>
      <c r="V196" s="37">
        <v>-2509.884</v>
      </c>
      <c r="W196" s="37">
        <v>-3.5</v>
      </c>
      <c r="X196" s="37" t="s">
        <v>696</v>
      </c>
      <c r="Y196" s="37" t="s">
        <v>594</v>
      </c>
      <c r="Z196" s="37" t="s">
        <v>965</v>
      </c>
      <c r="AA196" s="37" t="s">
        <v>63</v>
      </c>
    </row>
    <row r="197" spans="1:27" x14ac:dyDescent="0.25">
      <c r="A197" s="37">
        <v>196</v>
      </c>
      <c r="B197" s="37" t="s">
        <v>758</v>
      </c>
      <c r="C197" s="37" t="s">
        <v>759</v>
      </c>
      <c r="D197" s="37">
        <v>2008</v>
      </c>
      <c r="E197" s="37">
        <v>14.1</v>
      </c>
      <c r="F197" s="37">
        <v>1798812</v>
      </c>
      <c r="G197" s="37">
        <v>1000</v>
      </c>
      <c r="H197" s="37" t="s">
        <v>714</v>
      </c>
      <c r="I197" s="37" t="s">
        <v>544</v>
      </c>
      <c r="J197" s="37" t="s">
        <v>715</v>
      </c>
      <c r="K197" s="37">
        <v>4</v>
      </c>
      <c r="L197" s="37">
        <v>7</v>
      </c>
      <c r="M197" s="37">
        <v>7.2</v>
      </c>
      <c r="N197" s="37">
        <v>57941</v>
      </c>
      <c r="O197" s="37">
        <v>64356</v>
      </c>
      <c r="P197" s="37">
        <v>68655</v>
      </c>
      <c r="Q197" s="37">
        <v>73505</v>
      </c>
      <c r="R197" s="37">
        <v>70994</v>
      </c>
      <c r="S197" s="37">
        <v>92045</v>
      </c>
      <c r="T197" s="37">
        <v>427496</v>
      </c>
      <c r="U197" s="37">
        <v>76898.493000000002</v>
      </c>
      <c r="V197" s="37">
        <v>18917.028999999999</v>
      </c>
      <c r="W197" s="37">
        <v>24.6</v>
      </c>
      <c r="X197" s="37" t="s">
        <v>716</v>
      </c>
      <c r="Y197" s="37" t="s">
        <v>717</v>
      </c>
      <c r="Z197" s="37" t="s">
        <v>718</v>
      </c>
      <c r="AA197" s="37" t="s">
        <v>63</v>
      </c>
    </row>
    <row r="198" spans="1:27" x14ac:dyDescent="0.25">
      <c r="A198" s="37">
        <v>197</v>
      </c>
      <c r="B198" s="37" t="s">
        <v>849</v>
      </c>
      <c r="C198" s="37" t="s">
        <v>850</v>
      </c>
      <c r="D198" s="37">
        <v>2005</v>
      </c>
      <c r="E198" s="37">
        <v>23.6</v>
      </c>
      <c r="F198" s="37">
        <v>956019</v>
      </c>
      <c r="G198" s="37">
        <v>800</v>
      </c>
      <c r="H198" s="37" t="s">
        <v>707</v>
      </c>
      <c r="I198" s="37" t="s">
        <v>538</v>
      </c>
      <c r="J198" s="37" t="s">
        <v>708</v>
      </c>
      <c r="K198" s="37">
        <v>3</v>
      </c>
      <c r="L198" s="37">
        <v>8</v>
      </c>
      <c r="M198" s="37">
        <v>24.3</v>
      </c>
      <c r="N198" s="37">
        <v>0</v>
      </c>
      <c r="O198" s="37">
        <v>0</v>
      </c>
      <c r="P198" s="37">
        <v>0</v>
      </c>
      <c r="Q198" s="37">
        <v>0</v>
      </c>
      <c r="R198" s="37">
        <v>0</v>
      </c>
      <c r="S198" s="37">
        <v>0</v>
      </c>
      <c r="T198" s="37">
        <v>0</v>
      </c>
      <c r="U198" s="37">
        <v>0</v>
      </c>
      <c r="V198" s="37">
        <v>0</v>
      </c>
      <c r="W198" s="37">
        <v>21.9</v>
      </c>
      <c r="X198" s="37" t="s">
        <v>727</v>
      </c>
      <c r="Y198" s="37" t="s">
        <v>754</v>
      </c>
      <c r="Z198" s="37" t="s">
        <v>847</v>
      </c>
      <c r="AA198" s="37" t="s">
        <v>63</v>
      </c>
    </row>
    <row r="199" spans="1:27" x14ac:dyDescent="0.25">
      <c r="A199" s="37">
        <v>198</v>
      </c>
      <c r="B199" s="37" t="s">
        <v>734</v>
      </c>
      <c r="C199" s="37" t="s">
        <v>924</v>
      </c>
      <c r="D199" s="37">
        <v>2014</v>
      </c>
      <c r="E199" s="37">
        <v>27.7</v>
      </c>
      <c r="F199" s="37">
        <v>1570282</v>
      </c>
      <c r="G199" s="37">
        <v>1498</v>
      </c>
      <c r="H199" s="37" t="s">
        <v>694</v>
      </c>
      <c r="I199" s="37" t="s">
        <v>736</v>
      </c>
      <c r="J199" s="37" t="s">
        <v>695</v>
      </c>
      <c r="K199" s="37">
        <v>3</v>
      </c>
      <c r="L199" s="37">
        <v>4</v>
      </c>
      <c r="M199" s="37">
        <v>22.7</v>
      </c>
      <c r="N199" s="37">
        <v>5392</v>
      </c>
      <c r="O199" s="37">
        <v>5385</v>
      </c>
      <c r="P199" s="37">
        <v>5590</v>
      </c>
      <c r="Q199" s="37">
        <v>6067</v>
      </c>
      <c r="R199" s="37">
        <v>5962</v>
      </c>
      <c r="S199" s="37">
        <v>5681</v>
      </c>
      <c r="T199" s="37">
        <v>34077</v>
      </c>
      <c r="U199" s="37">
        <v>5351.05</v>
      </c>
      <c r="V199" s="37">
        <v>-171.23400000000001</v>
      </c>
      <c r="W199" s="37">
        <v>-3.2</v>
      </c>
      <c r="X199" s="37" t="s">
        <v>727</v>
      </c>
      <c r="Y199" s="37" t="s">
        <v>754</v>
      </c>
      <c r="Z199" s="37" t="s">
        <v>966</v>
      </c>
      <c r="AA199" s="37" t="s">
        <v>63</v>
      </c>
    </row>
    <row r="200" spans="1:27" x14ac:dyDescent="0.25">
      <c r="A200" s="37">
        <v>199</v>
      </c>
      <c r="B200" s="37" t="s">
        <v>582</v>
      </c>
      <c r="C200" s="37" t="s">
        <v>844</v>
      </c>
      <c r="D200" s="37">
        <v>2010</v>
      </c>
      <c r="E200" s="37">
        <v>23.9</v>
      </c>
      <c r="F200" s="37">
        <v>1306738</v>
      </c>
      <c r="G200" s="37">
        <v>800</v>
      </c>
      <c r="H200" s="37" t="s">
        <v>714</v>
      </c>
      <c r="I200" s="37" t="s">
        <v>544</v>
      </c>
      <c r="J200" s="37" t="s">
        <v>695</v>
      </c>
      <c r="K200" s="37">
        <v>3</v>
      </c>
      <c r="L200" s="37">
        <v>7</v>
      </c>
      <c r="M200" s="37">
        <v>30.4</v>
      </c>
      <c r="N200" s="37">
        <v>46219</v>
      </c>
      <c r="O200" s="37">
        <v>58450</v>
      </c>
      <c r="P200" s="37">
        <v>65209</v>
      </c>
      <c r="Q200" s="37">
        <v>80320</v>
      </c>
      <c r="R200" s="37">
        <v>76409</v>
      </c>
      <c r="S200" s="37">
        <v>79603</v>
      </c>
      <c r="T200" s="37">
        <v>406210</v>
      </c>
      <c r="U200" s="37">
        <v>53081.004000000001</v>
      </c>
      <c r="V200" s="37">
        <v>8864.5280000000002</v>
      </c>
      <c r="W200" s="37">
        <v>16.7</v>
      </c>
      <c r="X200" s="37" t="s">
        <v>742</v>
      </c>
      <c r="Y200" s="37" t="s">
        <v>835</v>
      </c>
      <c r="Z200" s="37" t="s">
        <v>967</v>
      </c>
      <c r="AA200" s="37" t="s">
        <v>546</v>
      </c>
    </row>
    <row r="201" spans="1:27" x14ac:dyDescent="0.25">
      <c r="A201" s="37">
        <v>200</v>
      </c>
      <c r="B201" s="37" t="s">
        <v>793</v>
      </c>
      <c r="C201" s="37" t="s">
        <v>820</v>
      </c>
      <c r="D201" s="37">
        <v>2015</v>
      </c>
      <c r="E201" s="37">
        <v>23</v>
      </c>
      <c r="F201" s="37">
        <v>2449882</v>
      </c>
      <c r="G201" s="37">
        <v>2498</v>
      </c>
      <c r="H201" s="37" t="s">
        <v>701</v>
      </c>
      <c r="I201" s="37" t="s">
        <v>736</v>
      </c>
      <c r="J201" s="37" t="s">
        <v>715</v>
      </c>
      <c r="K201" s="37">
        <v>0</v>
      </c>
      <c r="L201" s="37">
        <v>8</v>
      </c>
      <c r="M201" s="37">
        <v>35.1</v>
      </c>
      <c r="N201" s="37">
        <v>14237</v>
      </c>
      <c r="O201" s="37">
        <v>12477</v>
      </c>
      <c r="P201" s="37">
        <v>16125</v>
      </c>
      <c r="Q201" s="37">
        <v>13318</v>
      </c>
      <c r="R201" s="37">
        <v>15683</v>
      </c>
      <c r="S201" s="37">
        <v>17806</v>
      </c>
      <c r="T201" s="37">
        <v>89646</v>
      </c>
      <c r="U201" s="37">
        <v>21962.212</v>
      </c>
      <c r="V201" s="37">
        <v>3623.7649999999999</v>
      </c>
      <c r="W201" s="37">
        <v>16.5</v>
      </c>
      <c r="X201" s="37" t="s">
        <v>773</v>
      </c>
      <c r="Y201" s="37" t="s">
        <v>777</v>
      </c>
      <c r="Z201" s="37" t="s">
        <v>912</v>
      </c>
      <c r="AA201" s="37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Domain_Names</vt:lpstr>
      <vt:lpstr>Employees</vt:lpstr>
      <vt:lpstr>BIKES</vt:lpstr>
      <vt:lpstr>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Sriman sree</dc:creator>
  <cp:lastModifiedBy>Sriman sree</cp:lastModifiedBy>
  <dcterms:created xsi:type="dcterms:W3CDTF">2025-11-07T14:32:47Z</dcterms:created>
  <dcterms:modified xsi:type="dcterms:W3CDTF">2025-11-07T18:05:06Z</dcterms:modified>
</cp:coreProperties>
</file>