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sktop\Data Analyst\Test_Data\"/>
    </mc:Choice>
  </mc:AlternateContent>
  <xr:revisionPtr revIDLastSave="0" documentId="13_ncr:1_{A5AFCD56-8298-4A70-B03F-315A195F9E68}" xr6:coauthVersionLast="47" xr6:coauthVersionMax="47" xr10:uidLastSave="{00000000-0000-0000-0000-000000000000}"/>
  <bookViews>
    <workbookView xWindow="-120" yWindow="-120" windowWidth="29040" windowHeight="15720" tabRatio="604" activeTab="4" xr2:uid="{00000000-000D-0000-FFFF-FFFF00000000}"/>
  </bookViews>
  <sheets>
    <sheet name="Sheet1" sheetId="4" r:id="rId1"/>
    <sheet name="Amazon_Data" sheetId="1" r:id="rId2"/>
    <sheet name="Questions" sheetId="2" r:id="rId3"/>
    <sheet name="nari" sheetId="5" r:id="rId4"/>
    <sheet name="Practice" sheetId="3" r:id="rId5"/>
  </sheets>
  <definedNames>
    <definedName name="_xlnm._FilterDatabase" localSheetId="4" hidden="1">Practice!$O$27:$P$29</definedName>
    <definedName name="shiva">Practice!$BA$6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C42" i="3" l="1"/>
  <c r="A39" i="3"/>
  <c r="BY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17" i="3"/>
  <c r="BK3" i="3"/>
  <c r="BK4" i="3"/>
  <c r="BK5" i="3"/>
  <c r="BK6" i="3"/>
  <c r="BK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2" i="3"/>
  <c r="AQ19" i="3"/>
  <c r="AQ20" i="3"/>
  <c r="AQ18" i="3"/>
  <c r="L2" i="1"/>
  <c r="AJ3" i="3"/>
  <c r="AI22" i="3"/>
  <c r="AR17" i="3"/>
  <c r="K5" i="3"/>
  <c r="AO18" i="3"/>
  <c r="I17" i="3"/>
  <c r="R24" i="3"/>
  <c r="AO14" i="3"/>
  <c r="AJ4" i="3"/>
  <c r="AJ5" i="3"/>
  <c r="AJ6" i="3"/>
  <c r="AJ7" i="3"/>
  <c r="AJ8" i="3"/>
  <c r="AJ9" i="3"/>
  <c r="AJ10" i="3"/>
  <c r="AJ11" i="3"/>
  <c r="AJ12" i="3"/>
  <c r="AJ13" i="3"/>
  <c r="AJ14" i="3"/>
  <c r="AJ15" i="3"/>
  <c r="AA2" i="3"/>
  <c r="Z3" i="3"/>
  <c r="Z4" i="3"/>
  <c r="Z5" i="3"/>
  <c r="Z6" i="3"/>
  <c r="Z7" i="3"/>
  <c r="Z8" i="3"/>
  <c r="Z9" i="3"/>
  <c r="Z10" i="3"/>
  <c r="Z11" i="3"/>
  <c r="Z12" i="3"/>
  <c r="Z13" i="3"/>
  <c r="Z2" i="3"/>
  <c r="Z32" i="3"/>
  <c r="Z33" i="3"/>
  <c r="AE27" i="3"/>
  <c r="X24" i="3"/>
  <c r="Z24" i="3"/>
  <c r="X26" i="3"/>
  <c r="T24" i="3"/>
  <c r="T25" i="3"/>
  <c r="T26" i="3"/>
  <c r="T27" i="3"/>
  <c r="T28" i="3"/>
  <c r="T29" i="3"/>
  <c r="T30" i="3"/>
  <c r="T31" i="3"/>
  <c r="T32" i="3"/>
  <c r="T33" i="3"/>
  <c r="T34" i="3"/>
  <c r="T35" i="3"/>
  <c r="T23" i="3"/>
  <c r="R25" i="3"/>
  <c r="R26" i="3"/>
  <c r="R27" i="3"/>
  <c r="R28" i="3"/>
  <c r="R29" i="3"/>
  <c r="R30" i="3"/>
  <c r="R31" i="3"/>
  <c r="R32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49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8" i="3"/>
  <c r="I45" i="3"/>
  <c r="N36" i="3"/>
  <c r="N35" i="3"/>
  <c r="P29" i="3"/>
  <c r="P28" i="3"/>
  <c r="L33" i="3"/>
  <c r="K24" i="3"/>
  <c r="K25" i="3"/>
  <c r="K26" i="3"/>
  <c r="K27" i="3"/>
  <c r="K23" i="3"/>
  <c r="K14" i="3"/>
  <c r="K11" i="3"/>
  <c r="K12" i="3"/>
  <c r="K1" i="3"/>
  <c r="O29" i="3"/>
  <c r="O28" i="3"/>
  <c r="I31" i="3"/>
  <c r="I32" i="3"/>
  <c r="I33" i="3"/>
  <c r="I34" i="3"/>
  <c r="I30" i="3"/>
  <c r="I26" i="3"/>
  <c r="I24" i="3"/>
  <c r="I25" i="3"/>
  <c r="I23" i="3"/>
  <c r="I20" i="3"/>
  <c r="I14" i="3"/>
  <c r="I1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I40" i="3" s="1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C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BF13" i="3"/>
  <c r="I2" i="3" l="1"/>
  <c r="K9" i="3"/>
  <c r="K7" i="3"/>
  <c r="I7" i="3"/>
  <c r="I5" i="3"/>
  <c r="I9" i="3"/>
  <c r="I39" i="3"/>
  <c r="I38" i="3"/>
  <c r="M42" i="3"/>
  <c r="I41" i="3"/>
  <c r="J41" i="3" s="1"/>
  <c r="M41" i="3"/>
  <c r="I42" i="3"/>
</calcChain>
</file>

<file path=xl/sharedStrings.xml><?xml version="1.0" encoding="utf-8"?>
<sst xmlns="http://schemas.openxmlformats.org/spreadsheetml/2006/main" count="2156" uniqueCount="1084">
  <si>
    <t>OrderID</t>
  </si>
  <si>
    <t>CustomerName</t>
  </si>
  <si>
    <t>Email</t>
  </si>
  <si>
    <t>Location</t>
  </si>
  <si>
    <t>Brand</t>
  </si>
  <si>
    <t>Model</t>
  </si>
  <si>
    <t>OrderDate</t>
  </si>
  <si>
    <t>DeliveryDate</t>
  </si>
  <si>
    <t>Quantity</t>
  </si>
  <si>
    <t>UnitPrice</t>
  </si>
  <si>
    <t>FinalPrice</t>
  </si>
  <si>
    <t>PaymentType</t>
  </si>
  <si>
    <t>OrderStatus</t>
  </si>
  <si>
    <t>ShipmentPartner</t>
  </si>
  <si>
    <t>SellerID</t>
  </si>
  <si>
    <t>SellerName</t>
  </si>
  <si>
    <t>SellerRating</t>
  </si>
  <si>
    <t>SellerJoinDate</t>
  </si>
  <si>
    <t>SLA_Days</t>
  </si>
  <si>
    <t>RefundAmount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</si>
  <si>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</si>
  <si>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</si>
  <si>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</si>
  <si>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</si>
  <si>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</si>
  <si>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</si>
  <si>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</si>
  <si>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</si>
  <si>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</si>
  <si>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</si>
  <si>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</si>
  <si>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</si>
  <si>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</si>
  <si>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</si>
  <si>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</si>
  <si>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</si>
  <si>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</si>
  <si>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</si>
  <si>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</si>
  <si>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</si>
  <si>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</si>
  <si>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</si>
  <si>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</si>
  <si>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</si>
  <si>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</si>
  <si>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</si>
  <si>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</si>
  <si>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</si>
  <si>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</si>
  <si>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</si>
  <si>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</si>
  <si>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</si>
  <si>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</si>
  <si>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</si>
  <si>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</si>
  <si>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</si>
  <si>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</si>
  <si>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</si>
  <si>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</si>
  <si>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</si>
  <si>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</si>
  <si>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</si>
  <si>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</si>
  <si>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</si>
  <si>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</si>
  <si>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</si>
  <si>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</si>
  <si>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</si>
  <si>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</si>
  <si>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</si>
  <si>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</si>
  <si>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</si>
  <si>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</si>
  <si>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</si>
  <si>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</si>
  <si>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</si>
  <si>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</si>
  <si>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</si>
  <si>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</si>
  <si>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</si>
  <si>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</si>
  <si>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</si>
  <si>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</si>
  <si>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</si>
  <si>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</si>
  <si>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</si>
  <si>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</si>
  <si>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</si>
  <si>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</si>
  <si>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</si>
  <si>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</si>
  <si>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</si>
  <si>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</si>
  <si>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</si>
  <si>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</si>
  <si>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</si>
  <si>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</si>
  <si>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</si>
  <si>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</si>
  <si>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</si>
  <si>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</si>
  <si>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</si>
  <si>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</si>
  <si>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</si>
  <si>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</si>
  <si>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</si>
  <si>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</si>
  <si>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</si>
  <si>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</si>
  <si>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</si>
  <si>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</si>
  <si>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</si>
  <si>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</si>
  <si>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</si>
  <si>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</si>
  <si>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</si>
  <si>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</si>
  <si>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</si>
  <si>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</si>
  <si>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</si>
  <si>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</si>
  <si>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</si>
  <si>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</si>
  <si>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</si>
  <si>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</si>
  <si>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</si>
  <si>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</si>
  <si>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</si>
  <si>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</si>
  <si>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</si>
  <si>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</si>
  <si>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</si>
  <si>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</si>
  <si>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</si>
  <si>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</si>
  <si>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</si>
  <si>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</si>
  <si>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</si>
  <si>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</si>
  <si>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</si>
  <si>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</si>
  <si>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</si>
  <si>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</si>
  <si>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</si>
  <si>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</si>
  <si>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</si>
  <si>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</si>
  <si>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</si>
  <si>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</si>
  <si>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</si>
  <si>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</si>
  <si>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</si>
  <si>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</si>
  <si>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</si>
  <si>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</si>
  <si>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</si>
  <si>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</si>
  <si>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</si>
  <si>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</si>
  <si>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</si>
  <si>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</si>
  <si>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</si>
  <si>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</si>
  <si>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</si>
  <si>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</si>
  <si>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</si>
  <si>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</si>
  <si>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</si>
  <si>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</si>
  <si>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</si>
  <si>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Zoya Verma</t>
  </si>
  <si>
    <t>Sanjay Kapoor</t>
  </si>
  <si>
    <t>Amit Gupta</t>
  </si>
  <si>
    <t>Hitesh Verma</t>
  </si>
  <si>
    <t>Hitesh Sharma</t>
  </si>
  <si>
    <t>Lakshmi Reddy</t>
  </si>
  <si>
    <t>Pooja Iyer</t>
  </si>
  <si>
    <t>Hitesh Reddy</t>
  </si>
  <si>
    <t>Arjun Patel</t>
  </si>
  <si>
    <t>Ravi Verma</t>
  </si>
  <si>
    <t>Amit Sharma</t>
  </si>
  <si>
    <t>Amit Verma</t>
  </si>
  <si>
    <t>Neha Gupta</t>
  </si>
  <si>
    <t>Lakshmi Verma</t>
  </si>
  <si>
    <t>Ravi Patel</t>
  </si>
  <si>
    <t>Pooja Reddy</t>
  </si>
  <si>
    <t>Neha Iyer</t>
  </si>
  <si>
    <t>Zoya Rao</t>
  </si>
  <si>
    <t>Sanjay Rao</t>
  </si>
  <si>
    <t>Arjun Gupta</t>
  </si>
  <si>
    <t>Pooja Patel</t>
  </si>
  <si>
    <t>Manoj Gupta</t>
  </si>
  <si>
    <t>Neha Sharma</t>
  </si>
  <si>
    <t>Lakshmi Sharma</t>
  </si>
  <si>
    <t>Pooja Verma</t>
  </si>
  <si>
    <t>Zoya Reddy</t>
  </si>
  <si>
    <t>Lakshmi Rao</t>
  </si>
  <si>
    <t>Hitesh Iyer</t>
  </si>
  <si>
    <t>Kiran Iyer</t>
  </si>
  <si>
    <t>Kiran Rao</t>
  </si>
  <si>
    <t>Sanjay Gupta</t>
  </si>
  <si>
    <t>Ravi Kapoor</t>
  </si>
  <si>
    <t>Pooja Gupta</t>
  </si>
  <si>
    <t>Zoya Iyer</t>
  </si>
  <si>
    <t>Sanjay Reddy</t>
  </si>
  <si>
    <t>Arjun Rao</t>
  </si>
  <si>
    <t>Kiran Verma</t>
  </si>
  <si>
    <t>Hitesh Gupta</t>
  </si>
  <si>
    <t>Kiran Patel</t>
  </si>
  <si>
    <t>Manoj Sharma</t>
  </si>
  <si>
    <t>Ravi Rao</t>
  </si>
  <si>
    <t>Manoj Patel</t>
  </si>
  <si>
    <t>Kiran Gupta</t>
  </si>
  <si>
    <t>Pooja Rao</t>
  </si>
  <si>
    <t>Sanjay Patel</t>
  </si>
  <si>
    <t>Lakshmi Iyer</t>
  </si>
  <si>
    <t>Divya Gupta</t>
  </si>
  <si>
    <t>Arjun Verma</t>
  </si>
  <si>
    <t>Kiran Reddy</t>
  </si>
  <si>
    <t>Neha Rao</t>
  </si>
  <si>
    <t>Neha Verma</t>
  </si>
  <si>
    <t>Arjun Reddy</t>
  </si>
  <si>
    <t>Amit Rao</t>
  </si>
  <si>
    <t>Ravi Reddy</t>
  </si>
  <si>
    <t>Divya Kapoor</t>
  </si>
  <si>
    <t>Kiran Kapoor</t>
  </si>
  <si>
    <t>Pooja Sharma</t>
  </si>
  <si>
    <t>Hitesh Rao</t>
  </si>
  <si>
    <t>Neha Reddy</t>
  </si>
  <si>
    <t>Lakshmi Kapoor</t>
  </si>
  <si>
    <t>Zoya Gupta</t>
  </si>
  <si>
    <t>Zoya Sharma</t>
  </si>
  <si>
    <t>Arjun Iyer</t>
  </si>
  <si>
    <t>Manoj Kapoor</t>
  </si>
  <si>
    <t>Divya Reddy</t>
  </si>
  <si>
    <t>Amit Iyer</t>
  </si>
  <si>
    <t>Zoya Patel</t>
  </si>
  <si>
    <t>Pooja Kapoor</t>
  </si>
  <si>
    <t>Lakshmi Patel</t>
  </si>
  <si>
    <t>Manoj Reddy</t>
  </si>
  <si>
    <t>Divya Patel</t>
  </si>
  <si>
    <t>Kiran Sharma</t>
  </si>
  <si>
    <t>Hitesh Kapoor</t>
  </si>
  <si>
    <t>Divya Verma</t>
  </si>
  <si>
    <t>zoya.verma86@gmail.com</t>
  </si>
  <si>
    <t>sanjay.kapoor32@gmail.com</t>
  </si>
  <si>
    <t>amit.gupta78@gmail.com</t>
  </si>
  <si>
    <t>hitesh.verma46@gmail.com</t>
  </si>
  <si>
    <t>hitesh.sharma55@gmail.com</t>
  </si>
  <si>
    <t>lakshmi.reddy42@gmail.com</t>
  </si>
  <si>
    <t>pooja.iyer89@gmail.com</t>
  </si>
  <si>
    <t>hitesh.reddy74@gmail.com</t>
  </si>
  <si>
    <t>arjun.patel90@gmail.com</t>
  </si>
  <si>
    <t>ravi.verma87@gmail.com</t>
  </si>
  <si>
    <t>amit.sharma93@gmail.com</t>
  </si>
  <si>
    <t>amit.verma39@gmail.com</t>
  </si>
  <si>
    <t>neha.gupta32@gmail.com</t>
  </si>
  <si>
    <t>lakshmi.verma97@gmail.com</t>
  </si>
  <si>
    <t>ravi.patel51@gmail.com</t>
  </si>
  <si>
    <t>pooja.reddy91@gmail.com</t>
  </si>
  <si>
    <t>zoya.verma54@gmail.com</t>
  </si>
  <si>
    <t>neha.iyer27@gmail.com</t>
  </si>
  <si>
    <t>zoya.rao15@gmail.com</t>
  </si>
  <si>
    <t>sanjay.rao65@gmail.com</t>
  </si>
  <si>
    <t>arjun.gupta27@gmail.com</t>
  </si>
  <si>
    <t>pooja.patel63@gmail.com</t>
  </si>
  <si>
    <t>arjun.patel15@gmail.com</t>
  </si>
  <si>
    <t>manoj.gupta63@gmail.com</t>
  </si>
  <si>
    <t>hitesh.reddy14@gmail.com</t>
  </si>
  <si>
    <t>neha.sharma70@gmail.com</t>
  </si>
  <si>
    <t>amit.verma25@gmail.com</t>
  </si>
  <si>
    <t>lakshmi.sharma35@gmail.com</t>
  </si>
  <si>
    <t>ravi.verma37@gmail.com</t>
  </si>
  <si>
    <t>pooja.verma72@gmail.com</t>
  </si>
  <si>
    <t>neha.sharma68@gmail.com</t>
  </si>
  <si>
    <t>ravi.verma24@gmail.com</t>
  </si>
  <si>
    <t>zoya.reddy73@gmail.com</t>
  </si>
  <si>
    <t>lakshmi.rao76@gmail.com</t>
  </si>
  <si>
    <t>hitesh.iyer76@gmail.com</t>
  </si>
  <si>
    <t>kiran.iyer53@gmail.com</t>
  </si>
  <si>
    <t>kiran.rao22@gmail.com</t>
  </si>
  <si>
    <t>amit.gupta68@gmail.com</t>
  </si>
  <si>
    <t>sanjay.gupta32@gmail.com</t>
  </si>
  <si>
    <t>ravi.kapoor97@gmail.com</t>
  </si>
  <si>
    <t>lakshmi.verma83@gmail.com</t>
  </si>
  <si>
    <t>kiran.rao83@gmail.com</t>
  </si>
  <si>
    <t>pooja.gupta29@gmail.com</t>
  </si>
  <si>
    <t>neha.iyer90@gmail.com</t>
  </si>
  <si>
    <t>zoya.iyer31@gmail.com</t>
  </si>
  <si>
    <t>pooja.verma85@gmail.com</t>
  </si>
  <si>
    <t>sanjay.reddy73@gmail.com</t>
  </si>
  <si>
    <t>arjun.rao58@gmail.com</t>
  </si>
  <si>
    <t>kiran.verma90@gmail.com</t>
  </si>
  <si>
    <t>hitesh.gupta28@gmail.com</t>
  </si>
  <si>
    <t>kiran.patel72@gmail.com</t>
  </si>
  <si>
    <t>lakshmi.sharma73@gmail.com</t>
  </si>
  <si>
    <t>pooja.iyer43@gmail.com</t>
  </si>
  <si>
    <t>manoj.sharma60@gmail.com</t>
  </si>
  <si>
    <t>ravi.rao20@gmail.com</t>
  </si>
  <si>
    <t>sanjay.reddy62@gmail.com</t>
  </si>
  <si>
    <t>manoj.patel80@gmail.com</t>
  </si>
  <si>
    <t>zoya.reddy66@gmail.com</t>
  </si>
  <si>
    <t>neha.iyer75@gmail.com</t>
  </si>
  <si>
    <t>sanjay.kapoor31@gmail.com</t>
  </si>
  <si>
    <t>ravi.rao55@gmail.com</t>
  </si>
  <si>
    <t>kiran.gupta77@gmail.com</t>
  </si>
  <si>
    <t>ravi.rao43@gmail.com</t>
  </si>
  <si>
    <t>pooja.rao94@gmail.com</t>
  </si>
  <si>
    <t>zoya.reddy18@gmail.com</t>
  </si>
  <si>
    <t>zoya.iyer76@gmail.com</t>
  </si>
  <si>
    <t>sanjay.patel38@gmail.com</t>
  </si>
  <si>
    <t>lakshmi.iyer64@gmail.com</t>
  </si>
  <si>
    <t>neha.iyer53@gmail.com</t>
  </si>
  <si>
    <t>divya.gupta46@gmail.com</t>
  </si>
  <si>
    <t>arjun.verma88@gmail.com</t>
  </si>
  <si>
    <t>hitesh.verma81@gmail.com</t>
  </si>
  <si>
    <t>kiran.reddy17@gmail.com</t>
  </si>
  <si>
    <t>neha.rao33@gmail.com</t>
  </si>
  <si>
    <t>ravi.verma62@gmail.com</t>
  </si>
  <si>
    <t>neha.verma69@gmail.com</t>
  </si>
  <si>
    <t>arjun.patel56@gmail.com</t>
  </si>
  <si>
    <t>arjun.gupta49@gmail.com</t>
  </si>
  <si>
    <t>hitesh.verma73@gmail.com</t>
  </si>
  <si>
    <t>kiran.patel63@gmail.com</t>
  </si>
  <si>
    <t>lakshmi.reddy65@gmail.com</t>
  </si>
  <si>
    <t>neha.verma41@gmail.com</t>
  </si>
  <si>
    <t>hitesh.reddy31@gmail.com</t>
  </si>
  <si>
    <t>arjun.reddy50@gmail.com</t>
  </si>
  <si>
    <t>manoj.patel42@gmail.com</t>
  </si>
  <si>
    <t>amit.rao43@gmail.com</t>
  </si>
  <si>
    <t>ravi.reddy80@gmail.com</t>
  </si>
  <si>
    <t>kiran.verma26@gmail.com</t>
  </si>
  <si>
    <t>sanjay.patel11@gmail.com</t>
  </si>
  <si>
    <t>divya.kapoor50@gmail.com</t>
  </si>
  <si>
    <t>amit.verma33@gmail.com</t>
  </si>
  <si>
    <t>kiran.kapoor67@gmail.com</t>
  </si>
  <si>
    <t>amit.verma92@gmail.com</t>
  </si>
  <si>
    <t>kiran.rao97@gmail.com</t>
  </si>
  <si>
    <t>ravi.reddy40@gmail.com</t>
  </si>
  <si>
    <t>kiran.gupta29@gmail.com</t>
  </si>
  <si>
    <t>kiran.rao92@gmail.com</t>
  </si>
  <si>
    <t>pooja.sharma94@gmail.com</t>
  </si>
  <si>
    <t>sanjay.rao26@gmail.com</t>
  </si>
  <si>
    <t>hitesh.rao70@gmail.com</t>
  </si>
  <si>
    <t>neha.reddy48@gmail.com</t>
  </si>
  <si>
    <t>kiran.rao68@gmail.com</t>
  </si>
  <si>
    <t>pooja.patel66@gmail.com</t>
  </si>
  <si>
    <t>hitesh.iyer28@gmail.com</t>
  </si>
  <si>
    <t>lakshmi.kapoor49@gmail.com</t>
  </si>
  <si>
    <t>neha.gupta23@gmail.com</t>
  </si>
  <si>
    <t>lakshmi.rao63@gmail.com</t>
  </si>
  <si>
    <t>zoya.gupta84@gmail.com</t>
  </si>
  <si>
    <t>zoya.sharma25@gmail.com</t>
  </si>
  <si>
    <t>arjun.iyer15@gmail.com</t>
  </si>
  <si>
    <t>manoj.kapoor85@gmail.com</t>
  </si>
  <si>
    <t>kiran.rao26@gmail.com</t>
  </si>
  <si>
    <t>divya.reddy67@gmail.com</t>
  </si>
  <si>
    <t>hitesh.sharma80@gmail.com</t>
  </si>
  <si>
    <t>manoj.gupta98@gmail.com</t>
  </si>
  <si>
    <t>kiran.gupta76@gmail.com</t>
  </si>
  <si>
    <t>kiran.gupta28@gmail.com</t>
  </si>
  <si>
    <t>ravi.verma17@gmail.com</t>
  </si>
  <si>
    <t>pooja.verma42@gmail.com</t>
  </si>
  <si>
    <t>sanjay.patel86@gmail.com</t>
  </si>
  <si>
    <t>neha.verma29@gmail.com</t>
  </si>
  <si>
    <t>lakshmi.reddy45@gmail.com</t>
  </si>
  <si>
    <t>amit.verma87@gmail.com</t>
  </si>
  <si>
    <t>amit.iyer49@gmail.com</t>
  </si>
  <si>
    <t>zoya.patel53@gmail.com</t>
  </si>
  <si>
    <t>manoj.gupta50@gmail.com</t>
  </si>
  <si>
    <t>pooja.kapoor59@gmail.com</t>
  </si>
  <si>
    <t>zoya.iyer60@gmail.com</t>
  </si>
  <si>
    <t>lakshmi.patel17@gmail.com</t>
  </si>
  <si>
    <t>amit.rao36@gmail.com</t>
  </si>
  <si>
    <t>amit.verma98@gmail.com</t>
  </si>
  <si>
    <t>amit.sharma33@gmail.com</t>
  </si>
  <si>
    <t>manoj.reddy56@gmail.com</t>
  </si>
  <si>
    <t>divya.patel50@gmail.com</t>
  </si>
  <si>
    <t>manoj.patel73@gmail.com</t>
  </si>
  <si>
    <t>pooja.patel68@gmail.com</t>
  </si>
  <si>
    <t>kiran.iyer78@gmail.com</t>
  </si>
  <si>
    <t>kiran.sharma59@gmail.com</t>
  </si>
  <si>
    <t>amit.iyer91@gmail.com</t>
  </si>
  <si>
    <t>hitesh.kapoor13@gmail.com</t>
  </si>
  <si>
    <t>neha.gupta38@gmail.com</t>
  </si>
  <si>
    <t>divya.verma19@gmail.com</t>
  </si>
  <si>
    <t>lakshmi.kapoor50@gmail.com</t>
  </si>
  <si>
    <t>neha.sharma71@gmail.com</t>
  </si>
  <si>
    <t>hitesh.gupta33@gmail.com</t>
  </si>
  <si>
    <t>divya.reddy43@gmail.com</t>
  </si>
  <si>
    <t>zoya.iyer90@gmail.com</t>
  </si>
  <si>
    <t>hitesh.iyer75@gmail.com</t>
  </si>
  <si>
    <t>Ahmedabad</t>
  </si>
  <si>
    <t>Chennai</t>
  </si>
  <si>
    <t>Hyderabad</t>
  </si>
  <si>
    <t>Delhi</t>
  </si>
  <si>
    <t>Mumbai</t>
  </si>
  <si>
    <t>Kochi</t>
  </si>
  <si>
    <t>Bengaluru</t>
  </si>
  <si>
    <t>Pune</t>
  </si>
  <si>
    <t>Mi</t>
  </si>
  <si>
    <t>Vivo</t>
  </si>
  <si>
    <t>ZTE</t>
  </si>
  <si>
    <t>LG</t>
  </si>
  <si>
    <t>HTC</t>
  </si>
  <si>
    <t>Dell</t>
  </si>
  <si>
    <t>Apple</t>
  </si>
  <si>
    <t>Oppo</t>
  </si>
  <si>
    <t>Samsung</t>
  </si>
  <si>
    <t>Sony</t>
  </si>
  <si>
    <t>Hindustan Unilever</t>
  </si>
  <si>
    <t>Nikon</t>
  </si>
  <si>
    <t>Godrej</t>
  </si>
  <si>
    <t>Mi Soundbar</t>
  </si>
  <si>
    <t>Vivo X80</t>
  </si>
  <si>
    <t>ZTE Blade A7</t>
  </si>
  <si>
    <t>LG Washing Machine</t>
  </si>
  <si>
    <t>HTC Desire 12</t>
  </si>
  <si>
    <t>XPS 13</t>
  </si>
  <si>
    <t>iPhone 13</t>
  </si>
  <si>
    <t>MacBook Pro</t>
  </si>
  <si>
    <t>Mi TV 4A</t>
  </si>
  <si>
    <t>LG AC 1.5T</t>
  </si>
  <si>
    <t>Oppo A54</t>
  </si>
  <si>
    <t>Samsung Laptop 5</t>
  </si>
  <si>
    <t>LG Fridge</t>
  </si>
  <si>
    <t>HTC One M9</t>
  </si>
  <si>
    <t>Sony Home Theater</t>
  </si>
  <si>
    <t>CloseUp Toothpaste</t>
  </si>
  <si>
    <t>Nikon D5600</t>
  </si>
  <si>
    <t>MacBook Air</t>
  </si>
  <si>
    <t>Sony Bravia 50</t>
  </si>
  <si>
    <t>Godrej Washing Machine</t>
  </si>
  <si>
    <t>Alienware M15</t>
  </si>
  <si>
    <t>Sony Speaker HT</t>
  </si>
  <si>
    <t>ZTE Nubia Z20</t>
  </si>
  <si>
    <t>Godrej AC</t>
  </si>
  <si>
    <t>Mi Air Purifier</t>
  </si>
  <si>
    <t>Oppo F19</t>
  </si>
  <si>
    <t>Lifebuoy Soap</t>
  </si>
  <si>
    <t>Vivo V20</t>
  </si>
  <si>
    <t>Mi Speaker</t>
  </si>
  <si>
    <t>Samsung 55 TV</t>
  </si>
  <si>
    <t>Oppo Reno 8</t>
  </si>
  <si>
    <t>Godrej Fridge</t>
  </si>
  <si>
    <t>Nikon D3500</t>
  </si>
  <si>
    <t>Galaxy M33</t>
  </si>
  <si>
    <t>Nikon CoolPix</t>
  </si>
  <si>
    <t>Vivo Y21</t>
  </si>
  <si>
    <t>AirPods Pro</t>
  </si>
  <si>
    <t>Galaxy S21</t>
  </si>
  <si>
    <t>Galaxy Tab A8</t>
  </si>
  <si>
    <t>iPhone 11</t>
  </si>
  <si>
    <t>Dove Shampoo</t>
  </si>
  <si>
    <t>Latitude 3420</t>
  </si>
  <si>
    <t>iPhone 12</t>
  </si>
  <si>
    <t>Inspiron 15</t>
  </si>
  <si>
    <t>2020-06-20</t>
  </si>
  <si>
    <t>2023-06-03</t>
  </si>
  <si>
    <t>2021-10-18</t>
  </si>
  <si>
    <t>2023-04-27</t>
  </si>
  <si>
    <t>2024-06-04</t>
  </si>
  <si>
    <t>2024-08-31</t>
  </si>
  <si>
    <t>2023-04-15</t>
  </si>
  <si>
    <t>2023-08-12</t>
  </si>
  <si>
    <t>2022-06-23</t>
  </si>
  <si>
    <t>2022-03-18</t>
  </si>
  <si>
    <t>2021-10-13</t>
  </si>
  <si>
    <t>2022-01-04</t>
  </si>
  <si>
    <t>2020-02-27</t>
  </si>
  <si>
    <t>2023-12-09</t>
  </si>
  <si>
    <t>2022-05-13</t>
  </si>
  <si>
    <t>2019-09-14</t>
  </si>
  <si>
    <t>2022-11-06</t>
  </si>
  <si>
    <t>2020-06-22</t>
  </si>
  <si>
    <t>2021-12-18</t>
  </si>
  <si>
    <t>2019-02-21</t>
  </si>
  <si>
    <t>2024-06-05</t>
  </si>
  <si>
    <t>2021-09-08</t>
  </si>
  <si>
    <t>2022-07-23</t>
  </si>
  <si>
    <t>2021-12-13</t>
  </si>
  <si>
    <t>2024-03-30</t>
  </si>
  <si>
    <t>2019-02-05</t>
  </si>
  <si>
    <t>2020-11-14</t>
  </si>
  <si>
    <t>2023-08-27</t>
  </si>
  <si>
    <t>2021-02-18</t>
  </si>
  <si>
    <t>2024-04-28</t>
  </si>
  <si>
    <t>2024-12-25</t>
  </si>
  <si>
    <t>2020-04-19</t>
  </si>
  <si>
    <t>2019-04-23</t>
  </si>
  <si>
    <t>2024-02-11</t>
  </si>
  <si>
    <t>2019-06-01</t>
  </si>
  <si>
    <t>2024-07-03</t>
  </si>
  <si>
    <t>2019-10-13</t>
  </si>
  <si>
    <t>2019-02-23</t>
  </si>
  <si>
    <t>2021-06-11</t>
  </si>
  <si>
    <t>2023-12-21</t>
  </si>
  <si>
    <t>2021-06-17</t>
  </si>
  <si>
    <t>2019-08-13</t>
  </si>
  <si>
    <t>2021-08-11</t>
  </si>
  <si>
    <t>2023-09-25</t>
  </si>
  <si>
    <t>2023-03-30</t>
  </si>
  <si>
    <t>2023-05-14</t>
  </si>
  <si>
    <t>2024-03-28</t>
  </si>
  <si>
    <t>2020-04-11</t>
  </si>
  <si>
    <t>2021-09-09</t>
  </si>
  <si>
    <t>2019-11-13</t>
  </si>
  <si>
    <t>2019-03-28</t>
  </si>
  <si>
    <t>2023-08-03</t>
  </si>
  <si>
    <t>2024-06-08</t>
  </si>
  <si>
    <t>2024-09-19</t>
  </si>
  <si>
    <t>2021-04-27</t>
  </si>
  <si>
    <t>2023-07-21</t>
  </si>
  <si>
    <t>2024-04-26</t>
  </si>
  <si>
    <t>2020-02-11</t>
  </si>
  <si>
    <t>2020-11-29</t>
  </si>
  <si>
    <t>2024-05-11</t>
  </si>
  <si>
    <t>2022-09-15</t>
  </si>
  <si>
    <t>2019-12-01</t>
  </si>
  <si>
    <t>2022-11-30</t>
  </si>
  <si>
    <t>2020-03-17</t>
  </si>
  <si>
    <t>2024-04-11</t>
  </si>
  <si>
    <t>2022-01-09</t>
  </si>
  <si>
    <t>2019-03-16</t>
  </si>
  <si>
    <t>2022-12-20</t>
  </si>
  <si>
    <t>2024-12-16</t>
  </si>
  <si>
    <t>2022-09-01</t>
  </si>
  <si>
    <t>2024-09-02</t>
  </si>
  <si>
    <t>2022-06-03</t>
  </si>
  <si>
    <t>2024-07-01</t>
  </si>
  <si>
    <t>2019-08-28</t>
  </si>
  <si>
    <t>2019-04-11</t>
  </si>
  <si>
    <t>2019-07-07</t>
  </si>
  <si>
    <t>2020-02-22</t>
  </si>
  <si>
    <t>2020-01-28</t>
  </si>
  <si>
    <t>2024-04-10</t>
  </si>
  <si>
    <t>2023-08-24</t>
  </si>
  <si>
    <t>2021-06-07</t>
  </si>
  <si>
    <t>2021-09-12</t>
  </si>
  <si>
    <t>2022-12-15</t>
  </si>
  <si>
    <t>2024-03-14</t>
  </si>
  <si>
    <t>2021-01-18</t>
  </si>
  <si>
    <t>2024-06-07</t>
  </si>
  <si>
    <t>2024-11-10</t>
  </si>
  <si>
    <t>2019-07-19</t>
  </si>
  <si>
    <t>2021-12-23</t>
  </si>
  <si>
    <t>2023-01-07</t>
  </si>
  <si>
    <t>2020-10-11</t>
  </si>
  <si>
    <t>2021-02-26</t>
  </si>
  <si>
    <t>2019-06-09</t>
  </si>
  <si>
    <t>2022-02-28</t>
  </si>
  <si>
    <t>2020-03-05</t>
  </si>
  <si>
    <t>2021-01-26</t>
  </si>
  <si>
    <t>2021-02-19</t>
  </si>
  <si>
    <t>2022-12-07</t>
  </si>
  <si>
    <t>2019-01-12</t>
  </si>
  <si>
    <t>2021-10-20</t>
  </si>
  <si>
    <t>2021-06-02</t>
  </si>
  <si>
    <t>2019-09-16</t>
  </si>
  <si>
    <t>2023-10-12</t>
  </si>
  <si>
    <t>2019-08-16</t>
  </si>
  <si>
    <t>2020-06-12</t>
  </si>
  <si>
    <t>2021-05-20</t>
  </si>
  <si>
    <t>2021-06-04</t>
  </si>
  <si>
    <t>2023-08-17</t>
  </si>
  <si>
    <t>2021-03-29</t>
  </si>
  <si>
    <t>2024-04-03</t>
  </si>
  <si>
    <t>2019-06-11</t>
  </si>
  <si>
    <t>2023-03-18</t>
  </si>
  <si>
    <t>2022-10-21</t>
  </si>
  <si>
    <t>2024-11-29</t>
  </si>
  <si>
    <t>2020-10-01</t>
  </si>
  <si>
    <t>2019-06-30</t>
  </si>
  <si>
    <t>2021-12-25</t>
  </si>
  <si>
    <t>2024-02-02</t>
  </si>
  <si>
    <t>2023-05-10</t>
  </si>
  <si>
    <t>2020-06-16</t>
  </si>
  <si>
    <t>2024-07-07</t>
  </si>
  <si>
    <t>2022-01-18</t>
  </si>
  <si>
    <t>2021-11-03</t>
  </si>
  <si>
    <t>2020-04-26</t>
  </si>
  <si>
    <t>2022-08-24</t>
  </si>
  <si>
    <t>2024-02-01</t>
  </si>
  <si>
    <t>2020-04-24</t>
  </si>
  <si>
    <t>2024-08-05</t>
  </si>
  <si>
    <t>2020-07-02</t>
  </si>
  <si>
    <t>2021-03-04</t>
  </si>
  <si>
    <t>2022-07-05</t>
  </si>
  <si>
    <t>2019-12-07</t>
  </si>
  <si>
    <t>2021-08-13</t>
  </si>
  <si>
    <t>2023-09-03</t>
  </si>
  <si>
    <t>2023-06-16</t>
  </si>
  <si>
    <t>2024-03-05</t>
  </si>
  <si>
    <t>2024-12-23</t>
  </si>
  <si>
    <t>2019-02-16</t>
  </si>
  <si>
    <t>2019-02-02</t>
  </si>
  <si>
    <t>2021-03-23</t>
  </si>
  <si>
    <t>2020-07-19</t>
  </si>
  <si>
    <t>2021-05-03</t>
  </si>
  <si>
    <t>2022-10-22</t>
  </si>
  <si>
    <t>2021-02-13</t>
  </si>
  <si>
    <t>2022-03-08</t>
  </si>
  <si>
    <t>2023-04-14</t>
  </si>
  <si>
    <t>2020-03-25</t>
  </si>
  <si>
    <t>2019-10-21</t>
  </si>
  <si>
    <t>2020-07-01</t>
  </si>
  <si>
    <t>2020-12-03</t>
  </si>
  <si>
    <t>2019-06-17</t>
  </si>
  <si>
    <t>COD</t>
  </si>
  <si>
    <t>Coupon</t>
  </si>
  <si>
    <t>Card</t>
  </si>
  <si>
    <t>UPI</t>
  </si>
  <si>
    <t>Cancelled</t>
  </si>
  <si>
    <t>In-Progress</t>
  </si>
  <si>
    <t>Delivered</t>
  </si>
  <si>
    <t>Returned</t>
  </si>
  <si>
    <t>Delhivery</t>
  </si>
  <si>
    <t>Ekart</t>
  </si>
  <si>
    <t>BlueDart</t>
  </si>
  <si>
    <t>ExpressBees</t>
  </si>
  <si>
    <t>SEL3424</t>
  </si>
  <si>
    <t>SEL2649</t>
  </si>
  <si>
    <t>SEL9586</t>
  </si>
  <si>
    <t>SEL4758</t>
  </si>
  <si>
    <t>SEL5186</t>
  </si>
  <si>
    <t>SEL7335</t>
  </si>
  <si>
    <t>SEL2075</t>
  </si>
  <si>
    <t>SEL5332</t>
  </si>
  <si>
    <t>SEL4037</t>
  </si>
  <si>
    <t>SEL5133</t>
  </si>
  <si>
    <t>SEL4311</t>
  </si>
  <si>
    <t>SEL5976</t>
  </si>
  <si>
    <t>SEL7923</t>
  </si>
  <si>
    <t>SEL2621</t>
  </si>
  <si>
    <t>SEL4761</t>
  </si>
  <si>
    <t>SEL5592</t>
  </si>
  <si>
    <t>SEL4127</t>
  </si>
  <si>
    <t>SEL3201</t>
  </si>
  <si>
    <t>SEL7233</t>
  </si>
  <si>
    <t>SEL4305</t>
  </si>
  <si>
    <t>SEL5215</t>
  </si>
  <si>
    <t>SEL2344</t>
  </si>
  <si>
    <t>SEL9830</t>
  </si>
  <si>
    <t>SEL9793</t>
  </si>
  <si>
    <t>SEL3757</t>
  </si>
  <si>
    <t>SEL6723</t>
  </si>
  <si>
    <t>SEL1861</t>
  </si>
  <si>
    <t>SEL6540</t>
  </si>
  <si>
    <t>SEL7662</t>
  </si>
  <si>
    <t>SEL4106</t>
  </si>
  <si>
    <t>SEL9799</t>
  </si>
  <si>
    <t>SEL7865</t>
  </si>
  <si>
    <t>SEL8244</t>
  </si>
  <si>
    <t>SEL2303</t>
  </si>
  <si>
    <t>SEL5762</t>
  </si>
  <si>
    <t>SEL9321</t>
  </si>
  <si>
    <t>SEL6927</t>
  </si>
  <si>
    <t>SEL6810</t>
  </si>
  <si>
    <t>SEL4159</t>
  </si>
  <si>
    <t>SEL1090</t>
  </si>
  <si>
    <t>SEL6007</t>
  </si>
  <si>
    <t>SEL7458</t>
  </si>
  <si>
    <t>SEL6223</t>
  </si>
  <si>
    <t>SEL3505</t>
  </si>
  <si>
    <t>SEL2870</t>
  </si>
  <si>
    <t>SEL5057</t>
  </si>
  <si>
    <t>SEL2906</t>
  </si>
  <si>
    <t>SEL3004</t>
  </si>
  <si>
    <t>SEL8553</t>
  </si>
  <si>
    <t>SEL1812</t>
  </si>
  <si>
    <t>SEL8243</t>
  </si>
  <si>
    <t>SEL9573</t>
  </si>
  <si>
    <t>SEL8953</t>
  </si>
  <si>
    <t>SEL5328</t>
  </si>
  <si>
    <t>SEL6740</t>
  </si>
  <si>
    <t>SEL2753</t>
  </si>
  <si>
    <t>SEL5330</t>
  </si>
  <si>
    <t>SEL9084</t>
  </si>
  <si>
    <t>SEL2785</t>
  </si>
  <si>
    <t>SEL9499</t>
  </si>
  <si>
    <t>SEL7668</t>
  </si>
  <si>
    <t>SEL8989</t>
  </si>
  <si>
    <t>SEL6360</t>
  </si>
  <si>
    <t>SEL4997</t>
  </si>
  <si>
    <t>SEL6897</t>
  </si>
  <si>
    <t>SEL4649</t>
  </si>
  <si>
    <t>SEL9291</t>
  </si>
  <si>
    <t>SEL4477</t>
  </si>
  <si>
    <t>SEL8242</t>
  </si>
  <si>
    <t>SEL1356</t>
  </si>
  <si>
    <t>SEL3115</t>
  </si>
  <si>
    <t>SEL2187</t>
  </si>
  <si>
    <t>SEL5702</t>
  </si>
  <si>
    <t>SEL5013</t>
  </si>
  <si>
    <t>SEL5096</t>
  </si>
  <si>
    <t>SEL8344</t>
  </si>
  <si>
    <t>SEL4947</t>
  </si>
  <si>
    <t>SEL9866</t>
  </si>
  <si>
    <t>SEL5239</t>
  </si>
  <si>
    <t>SEL7564</t>
  </si>
  <si>
    <t>SEL8961</t>
  </si>
  <si>
    <t>SEL6602</t>
  </si>
  <si>
    <t>SEL1393</t>
  </si>
  <si>
    <t>SEL4032</t>
  </si>
  <si>
    <t>SEL6640</t>
  </si>
  <si>
    <t>SEL1146</t>
  </si>
  <si>
    <t>SEL1329</t>
  </si>
  <si>
    <t>SEL9013</t>
  </si>
  <si>
    <t>SEL4056</t>
  </si>
  <si>
    <t>SEL1024</t>
  </si>
  <si>
    <t>SEL3058</t>
  </si>
  <si>
    <t>SEL3389</t>
  </si>
  <si>
    <t>SEL1115</t>
  </si>
  <si>
    <t>SEL4569</t>
  </si>
  <si>
    <t>SEL5202</t>
  </si>
  <si>
    <t>SEL4481</t>
  </si>
  <si>
    <t>SEL7403</t>
  </si>
  <si>
    <t>SEL6768</t>
  </si>
  <si>
    <t>SEL4948</t>
  </si>
  <si>
    <t>SEL5248</t>
  </si>
  <si>
    <t>SEL2976</t>
  </si>
  <si>
    <t>SEL7324</t>
  </si>
  <si>
    <t>SEL1004</t>
  </si>
  <si>
    <t>SEL3275</t>
  </si>
  <si>
    <t>SEL9817</t>
  </si>
  <si>
    <t>SEL8019</t>
  </si>
  <si>
    <t>SEL1048</t>
  </si>
  <si>
    <t>SEL9359</t>
  </si>
  <si>
    <t>SEL4212</t>
  </si>
  <si>
    <t>SEL7147</t>
  </si>
  <si>
    <t>SEL5411</t>
  </si>
  <si>
    <t>SEL6618</t>
  </si>
  <si>
    <t>SEL7643</t>
  </si>
  <si>
    <t>SEL9081</t>
  </si>
  <si>
    <t>SEL3739</t>
  </si>
  <si>
    <t>SEL6931</t>
  </si>
  <si>
    <t>SEL7958</t>
  </si>
  <si>
    <t>SEL8644</t>
  </si>
  <si>
    <t>SEL3279</t>
  </si>
  <si>
    <t>SEL1033</t>
  </si>
  <si>
    <t>SEL3986</t>
  </si>
  <si>
    <t>SEL3543</t>
  </si>
  <si>
    <t>SEL5428</t>
  </si>
  <si>
    <t>SEL2580</t>
  </si>
  <si>
    <t>SEL8175</t>
  </si>
  <si>
    <t>SEL4339</t>
  </si>
  <si>
    <t>SEL3718</t>
  </si>
  <si>
    <t>SEL7267</t>
  </si>
  <si>
    <t>SEL8136</t>
  </si>
  <si>
    <t>SEL7586</t>
  </si>
  <si>
    <t>SEL1783</t>
  </si>
  <si>
    <t>SEL2774</t>
  </si>
  <si>
    <t>SEL6346</t>
  </si>
  <si>
    <t>SEL7490</t>
  </si>
  <si>
    <t>SEL7118</t>
  </si>
  <si>
    <t>SEL3486</t>
  </si>
  <si>
    <t>SEL4206</t>
  </si>
  <si>
    <t>SEL4794</t>
  </si>
  <si>
    <t>SEL8040</t>
  </si>
  <si>
    <t>SEL7103</t>
  </si>
  <si>
    <t>SEL8874</t>
  </si>
  <si>
    <t>SEL4028</t>
  </si>
  <si>
    <t>SEL1846</t>
  </si>
  <si>
    <t>SEL3177</t>
  </si>
  <si>
    <t>SEL8878</t>
  </si>
  <si>
    <t>SEL4519</t>
  </si>
  <si>
    <t>SEL1141</t>
  </si>
  <si>
    <t>SEL2408</t>
  </si>
  <si>
    <t>SEL1760</t>
  </si>
  <si>
    <t>MegaTech Store</t>
  </si>
  <si>
    <t>ElectroHub</t>
  </si>
  <si>
    <t>DigitalMart</t>
  </si>
  <si>
    <t>GadgetWorld</t>
  </si>
  <si>
    <t>Prime Electronics</t>
  </si>
  <si>
    <t>BestDeals</t>
  </si>
  <si>
    <t>2010-09-07</t>
  </si>
  <si>
    <t>2018-03-02</t>
  </si>
  <si>
    <t>2012-11-29</t>
  </si>
  <si>
    <t>2019-03-20</t>
  </si>
  <si>
    <t>2020-07-31</t>
  </si>
  <si>
    <t>2015-05-15</t>
  </si>
  <si>
    <t>2018-02-24</t>
  </si>
  <si>
    <t>2020-05-30</t>
  </si>
  <si>
    <t>2014-11-09</t>
  </si>
  <si>
    <t>2018-07-06</t>
  </si>
  <si>
    <t>2015-08-16</t>
  </si>
  <si>
    <t>2019-11-20</t>
  </si>
  <si>
    <t>2010-05-22</t>
  </si>
  <si>
    <t>2010-09-25</t>
  </si>
  <si>
    <t>2014-04-18</t>
  </si>
  <si>
    <t>2017-07-29</t>
  </si>
  <si>
    <t>2011-06-11</t>
  </si>
  <si>
    <t>2020-04-13</t>
  </si>
  <si>
    <t>2010-07-17</t>
  </si>
  <si>
    <t>2019-03-08</t>
  </si>
  <si>
    <t>2013-11-14</t>
  </si>
  <si>
    <t>2016-01-11</t>
  </si>
  <si>
    <t>2015-08-27</t>
  </si>
  <si>
    <t>2016-07-26</t>
  </si>
  <si>
    <t>2020-09-12</t>
  </si>
  <si>
    <t>2016-11-22</t>
  </si>
  <si>
    <t>2014-03-04</t>
  </si>
  <si>
    <t>2011-09-26</t>
  </si>
  <si>
    <t>2013-01-12</t>
  </si>
  <si>
    <t>2011-05-24</t>
  </si>
  <si>
    <t>2015-07-11</t>
  </si>
  <si>
    <t>2017-01-10</t>
  </si>
  <si>
    <t>2015-04-26</t>
  </si>
  <si>
    <t>2020-09-24</t>
  </si>
  <si>
    <t>2020-06-13</t>
  </si>
  <si>
    <t>2010-01-02</t>
  </si>
  <si>
    <t>2018-12-14</t>
  </si>
  <si>
    <t>2013-10-29</t>
  </si>
  <si>
    <t>2016-01-27</t>
  </si>
  <si>
    <t>2010-03-30</t>
  </si>
  <si>
    <t>2014-02-02</t>
  </si>
  <si>
    <t>2011-09-06</t>
  </si>
  <si>
    <t>2014-05-05</t>
  </si>
  <si>
    <t>2011-01-02</t>
  </si>
  <si>
    <t>2013-05-04</t>
  </si>
  <si>
    <t>2020-11-28</t>
  </si>
  <si>
    <t>2015-09-07</t>
  </si>
  <si>
    <t>2014-01-03</t>
  </si>
  <si>
    <t>2014-11-20</t>
  </si>
  <si>
    <t>2012-05-26</t>
  </si>
  <si>
    <t>2015-02-20</t>
  </si>
  <si>
    <t>2014-05-11</t>
  </si>
  <si>
    <t>2013-02-07</t>
  </si>
  <si>
    <t>2017-03-12</t>
  </si>
  <si>
    <t>2013-03-24</t>
  </si>
  <si>
    <t>2011-10-13</t>
  </si>
  <si>
    <t>2014-05-08</t>
  </si>
  <si>
    <t>2018-02-15</t>
  </si>
  <si>
    <t>2014-05-20</t>
  </si>
  <si>
    <t>2019-09-29</t>
  </si>
  <si>
    <t>2011-05-18</t>
  </si>
  <si>
    <t>2018-10-29</t>
  </si>
  <si>
    <t>2011-12-31</t>
  </si>
  <si>
    <t>2014-03-08</t>
  </si>
  <si>
    <t>2019-12-16</t>
  </si>
  <si>
    <t>2018-11-21</t>
  </si>
  <si>
    <t>2015-06-28</t>
  </si>
  <si>
    <t>2017-08-10</t>
  </si>
  <si>
    <t>2015-10-18</t>
  </si>
  <si>
    <t>2016-04-04</t>
  </si>
  <si>
    <t>2020-01-14</t>
  </si>
  <si>
    <t>2015-07-31</t>
  </si>
  <si>
    <t>2017-08-30</t>
  </si>
  <si>
    <t>2010-03-24</t>
  </si>
  <si>
    <t>2020-03-19</t>
  </si>
  <si>
    <t>2015-01-12</t>
  </si>
  <si>
    <t>2012-05-04</t>
  </si>
  <si>
    <t>2019-07-13</t>
  </si>
  <si>
    <t>2012-09-22</t>
  </si>
  <si>
    <t>2020-05-03</t>
  </si>
  <si>
    <t>2013-07-03</t>
  </si>
  <si>
    <t>2019-01-03</t>
  </si>
  <si>
    <t>2019-11-23</t>
  </si>
  <si>
    <t>2011-01-29</t>
  </si>
  <si>
    <t>2013-05-08</t>
  </si>
  <si>
    <t>2011-10-22</t>
  </si>
  <si>
    <t>2017-05-28</t>
  </si>
  <si>
    <t>2020-06-02</t>
  </si>
  <si>
    <t>2010-05-11</t>
  </si>
  <si>
    <t>2020-09-25</t>
  </si>
  <si>
    <t>2016-03-21</t>
  </si>
  <si>
    <t>2012-03-18</t>
  </si>
  <si>
    <t>2013-11-25</t>
  </si>
  <si>
    <t>2016-09-15</t>
  </si>
  <si>
    <t>2015-02-12</t>
  </si>
  <si>
    <t>2011-08-23</t>
  </si>
  <si>
    <t>2011-09-18</t>
  </si>
  <si>
    <t>2018-10-26</t>
  </si>
  <si>
    <t>2013-06-26</t>
  </si>
  <si>
    <t>2010-03-01</t>
  </si>
  <si>
    <t>2019-02-14</t>
  </si>
  <si>
    <t>2013-08-12</t>
  </si>
  <si>
    <t>2015-11-28</t>
  </si>
  <si>
    <t>2012-12-27</t>
  </si>
  <si>
    <t>2012-07-19</t>
  </si>
  <si>
    <t>2014-05-07</t>
  </si>
  <si>
    <t>2010-04-28</t>
  </si>
  <si>
    <t>2018-04-30</t>
  </si>
  <si>
    <t>2014-12-23</t>
  </si>
  <si>
    <t>2019-08-23</t>
  </si>
  <si>
    <t>2014-08-31</t>
  </si>
  <si>
    <t>2012-01-12</t>
  </si>
  <si>
    <t>2017-02-12</t>
  </si>
  <si>
    <t>2017-09-21</t>
  </si>
  <si>
    <t>2015-11-03</t>
  </si>
  <si>
    <t>2010-12-02</t>
  </si>
  <si>
    <t>2015-02-14</t>
  </si>
  <si>
    <t>2010-07-12</t>
  </si>
  <si>
    <t>2012-02-04</t>
  </si>
  <si>
    <t>2019-12-05</t>
  </si>
  <si>
    <t>2015-12-25</t>
  </si>
  <si>
    <t>2016-11-16</t>
  </si>
  <si>
    <t>2018-10-19</t>
  </si>
  <si>
    <t>2010-02-02</t>
  </si>
  <si>
    <t>2016-06-22</t>
  </si>
  <si>
    <t>2020-04-02</t>
  </si>
  <si>
    <t>2013-01-07</t>
  </si>
  <si>
    <t>2020-07-06</t>
  </si>
  <si>
    <t>2013-10-21</t>
  </si>
  <si>
    <t>2017-04-17</t>
  </si>
  <si>
    <t>2011-08-19</t>
  </si>
  <si>
    <t>2020-09-18</t>
  </si>
  <si>
    <t>2017-02-14</t>
  </si>
  <si>
    <t>2011-06-18</t>
  </si>
  <si>
    <t>2013-10-10</t>
  </si>
  <si>
    <t>2015-05-10</t>
  </si>
  <si>
    <t>2019-06-05</t>
  </si>
  <si>
    <t>2012-12-20</t>
  </si>
  <si>
    <t>2013-02-09</t>
  </si>
  <si>
    <t>2016-11-30</t>
  </si>
  <si>
    <t>2015-01-19</t>
  </si>
  <si>
    <t>2015-10-09</t>
  </si>
  <si>
    <t>Amazons</t>
  </si>
  <si>
    <t>✅ 💚 PART 1 — 20 Beginner Level (Simple + Tricky)</t>
  </si>
  <si>
    <t>Focus: basic formulas, text, date, min/max, logical.</t>
  </si>
  <si>
    <t>1. Extract the first 3 letters of each Brand.</t>
  </si>
  <si>
    <t>(Hint: LEFT)</t>
  </si>
  <si>
    <t>2. Extract the last 2 digits from SellerID.</t>
  </si>
  <si>
    <t>(Hint: RIGHT)</t>
  </si>
  <si>
    <t>3. Convert all Customer Names to UPPERCASE.</t>
  </si>
  <si>
    <t>(Hint: UPPER)</t>
  </si>
  <si>
    <t>4. Find the total revenue (Sum of FinalPrice).</t>
  </si>
  <si>
    <t>5. Count how many orders were DELIVERED.</t>
  </si>
  <si>
    <t>(Hint: COUNTIF)</t>
  </si>
  <si>
    <t>6. Count orders from location “Bengaluru”.</t>
  </si>
  <si>
    <t>7. Find the highest Unit Price.</t>
  </si>
  <si>
    <t>8. Find the lowest Quantity ordered.</t>
  </si>
  <si>
    <t>9. Extract the YEAR from OrderDate.</t>
  </si>
  <si>
    <t>(Hint: YEAR)</t>
  </si>
  <si>
    <t>10. Extract the MONTH NAME from DeliveryDate.</t>
  </si>
  <si>
    <t>(Hint: TEXT)</t>
  </si>
  <si>
    <t>11. Check if Email contains “gmail”. (TRUE/FALSE)</t>
  </si>
  <si>
    <t>(Hint: SEARCH)</t>
  </si>
  <si>
    <t>12. Get only the first name from CustomerName.</t>
  </si>
  <si>
    <t>(Hint: LEFT + FIND)</t>
  </si>
  <si>
    <t>13. Get only the last name from CustomerName.</t>
  </si>
  <si>
    <t>(Hint: RIGHT + FIND)</t>
  </si>
  <si>
    <t>14. Combine Brand and Model in one column.</t>
  </si>
  <si>
    <t>(Hint: CONCAT or &amp;)</t>
  </si>
  <si>
    <t>15. Remove spaces from CustomerName.</t>
  </si>
  <si>
    <t>(Hint: TRIM)</t>
  </si>
  <si>
    <t>16. Multiply Quantity × UnitPrice (without discount).</t>
  </si>
  <si>
    <t>17. Check if OrderDate is a weekend.</t>
  </si>
  <si>
    <t>(Hint: WEEKDAY)</t>
  </si>
  <si>
    <t>18. Extract domain name from Email.</t>
  </si>
  <si>
    <t>Example output: "gmail.com"</t>
  </si>
  <si>
    <t>19. Show “YES” if Rating ≥ 4, else “NO”.</t>
  </si>
  <si>
    <t>(Hint: IF)</t>
  </si>
  <si>
    <t>20. Count how many orders used UPI.</t>
  </si>
  <si>
    <t>🟨 💛 PART 2 — 20 Intermediate (Combined Functions)</t>
  </si>
  <si>
    <t>Focus: IFs, text + lookup, dates, conditions.</t>
  </si>
  <si>
    <t>21. Find total revenue for each Brand.</t>
  </si>
  <si>
    <t>(Hint: SUMIF)</t>
  </si>
  <si>
    <t>22. Count orders where Quantity &gt; 2 AND PaymentType = “Card”.</t>
  </si>
  <si>
    <t>(Hint: COUNTIFS)</t>
  </si>
  <si>
    <t>23. Find the average Unit Price for Apple products.</t>
  </si>
  <si>
    <t>(Hint: AVERAGEIF)</t>
  </si>
  <si>
    <t>24. Get how many orders were placed in YEAR 2023.</t>
  </si>
  <si>
    <t>(Hint: YEAR + COUNTIF/COUNTIFS)</t>
  </si>
  <si>
    <t>25. Find total discount amount applied per order.</t>
  </si>
  <si>
    <t>Formula = UnitPrice × Qty × Discount%</t>
  </si>
  <si>
    <t>26. Calculate delivery time in days (DeliveryDate – OrderDate).</t>
  </si>
  <si>
    <t>**27. Categorize Rating:</t>
  </si>
  <si>
    <t>5 = Excellent</t>
  </si>
  <si>
    <t>4 = Good</t>
  </si>
  <si>
    <t>3 = Average</t>
  </si>
  <si>
    <t>2 = Poor</t>
  </si>
  <si>
    <t>1 = Bad**</t>
  </si>
  <si>
    <t>(Hint: IFS)</t>
  </si>
  <si>
    <t>28. Extract first 2 letters of City + last 2 digits of OrderID.</t>
  </si>
  <si>
    <t>Example: “DE34”</t>
  </si>
  <si>
    <t>29. Check if product belongs to “Mobiles” category.</t>
  </si>
  <si>
    <t>Return Yes/No using IF + SEARCH.</t>
  </si>
  <si>
    <t>30. Get unique list of Locations.</t>
  </si>
  <si>
    <t>(Hint: UNIQUE)</t>
  </si>
  <si>
    <t>31. Sort all orders by highest FinalPrice.</t>
  </si>
  <si>
    <t>(Hint: SORT)</t>
  </si>
  <si>
    <t>32. Filter only “Returned” orders.</t>
  </si>
  <si>
    <t>(Hint: FILTER)</t>
  </si>
  <si>
    <t>33. Show first 10 orders of 2022.</t>
  </si>
  <si>
    <t>(Hint: FILTER + TAKE)</t>
  </si>
  <si>
    <t>34. Combine all CustomerNames into a single cell separated by comma.</t>
  </si>
  <si>
    <t>(Hint: TEXTJOIN)</t>
  </si>
  <si>
    <t>35. Get model name length (LEN).</t>
  </si>
  <si>
    <t>36. Extract the brand name from Model using XLOOKUP.</t>
  </si>
  <si>
    <t>Model → Brand</t>
  </si>
  <si>
    <t>37. Use INDEX + MATCH to get UnitPrice from Model.</t>
  </si>
  <si>
    <t>**38. Create a formula to classify order value:</t>
  </si>
  <si>
    <t>50000 = High</t>
  </si>
  <si>
    <t>20000–50000 = Medium</t>
  </si>
  <si>
    <t>&lt;20000 = Low**</t>
  </si>
  <si>
    <t>39. Calculate profit = FinalPrice × 12% (assume).</t>
  </si>
  <si>
    <t>40. Show “Delay” if delivery took more than SLA days.</t>
  </si>
  <si>
    <t>🔥 ❤️ PART 3 — 20 Advanced Level (Multi-Function + Tricky)</t>
  </si>
  <si>
    <t>These questions simulate real company data analysis.</t>
  </si>
  <si>
    <t>41. Find total revenue per City per Year.</t>
  </si>
  <si>
    <t>(Hint: SUMIFS with YEAR)</t>
  </si>
  <si>
    <t>42. Calculate Return Rate per Brand.</t>
  </si>
  <si>
    <t>Return Rate = Returned Orders / Total Orders</t>
  </si>
  <si>
    <t>43. List Top 5 highest value orders.</t>
  </si>
  <si>
    <t>(Hint: SORT + TAKE)</t>
  </si>
  <si>
    <t>44. Create dynamic list of “Delayed deliveries”.</t>
  </si>
  <si>
    <t>(Hint: FILTER with comparison)</t>
  </si>
  <si>
    <t>**45. Create Pivot Table summary:</t>
  </si>
  <si>
    <t>Brand → Total Sales, Average Rating, No. of Orders**</t>
  </si>
  <si>
    <t>46. Create “Customer Lifetime Value (CLV)” using SUMIF per customer.</t>
  </si>
  <si>
    <t>47. Calculate "Customer Order Frequency"</t>
  </si>
  <si>
    <t>orders per customer.</t>
  </si>
  <si>
    <t>48. Create Year-wise sales: 2019–2024</t>
  </si>
  <si>
    <t>(Hint: YEAR + SUMIFS)</t>
  </si>
  <si>
    <t>49. Find average delivery time per shipment partner.</t>
  </si>
  <si>
    <t>50. Find seller with highest total revenue.</t>
  </si>
  <si>
    <t>(Hint: SUMIF + SORT)</t>
  </si>
  <si>
    <t>**51. Build formula to classify customers:</t>
  </si>
  <si>
    <t>5+ orders = Loyal</t>
  </si>
  <si>
    <t>3–4 orders = Regular</t>
  </si>
  <si>
    <t>1–2 orders = New**</t>
  </si>
  <si>
    <t>52. Using XLOOKUP, fetch SellerRating based on SellerID.</t>
  </si>
  <si>
    <t>53. Using XMATCH, find the position of the highest rating.</t>
  </si>
  <si>
    <t>54. Create a “Product Category Split” (TV/Mobiles/AC).</t>
  </si>
  <si>
    <t>55. Calculate % of payments via UPI vs Card vs COD.</t>
  </si>
  <si>
    <t>56. Build a formula to check if OrderID starts with “ORD0”.</t>
  </si>
  <si>
    <t>57. Extract only Apple mobile orders (not laptops).</t>
  </si>
  <si>
    <t>(Hint: FILTER + SEARCH “iPhone”)</t>
  </si>
  <si>
    <t>58. Show sellers who joined before 2015.</t>
  </si>
  <si>
    <t>59. Count how many orders got full refund.</t>
  </si>
  <si>
    <t>(Hint: RefundAmount &gt; 0)</t>
  </si>
  <si>
    <t>**60. Create a dashboard metric:</t>
  </si>
  <si>
    <t>Total Revenue, Year Growth %, Avg Rating, Return Rate, Top Brand**</t>
  </si>
  <si>
    <t>Fetching first 3 letters from Brand</t>
  </si>
  <si>
    <t>Fetching first 3 letters from Brand with conver UPPER</t>
  </si>
  <si>
    <t>Extract last 2 digits from seller id</t>
  </si>
  <si>
    <t>Convert all customer names to upper case</t>
  </si>
  <si>
    <t>Sum of sales worth ordered</t>
  </si>
  <si>
    <t>Where Delivered revenue.. Using sumif</t>
  </si>
  <si>
    <t>Where Delivered revenue.. Using sumifs</t>
  </si>
  <si>
    <t>TotaL delivered Products</t>
  </si>
  <si>
    <t>count orders from bang</t>
  </si>
  <si>
    <t>find the highest unit price</t>
  </si>
  <si>
    <t>Find the loweset quantity ordered</t>
  </si>
  <si>
    <t>extract the year from order date</t>
  </si>
  <si>
    <t>extract month name from delivery date</t>
  </si>
  <si>
    <t>If Email contains Gamil or not .?</t>
  </si>
  <si>
    <t>shivaparimi@gmail.com</t>
  </si>
  <si>
    <t>shivaparimigamil.com</t>
  </si>
  <si>
    <t>Brand+ Model</t>
  </si>
  <si>
    <t>remove customer name spaces</t>
  </si>
  <si>
    <t>1. Trim tariling spaces</t>
  </si>
  <si>
    <t>2. substitute</t>
  </si>
  <si>
    <t xml:space="preserve">Result </t>
  </si>
  <si>
    <t>Order date</t>
  </si>
  <si>
    <t>Row Labels</t>
  </si>
  <si>
    <t>Grand Total</t>
  </si>
  <si>
    <t>Sum of FinalPrice</t>
  </si>
  <si>
    <t>Q*Unit price</t>
  </si>
  <si>
    <t>weather its weekend or weekday</t>
  </si>
  <si>
    <t>extract domain name from email</t>
  </si>
  <si>
    <t>after @</t>
  </si>
  <si>
    <t>before .</t>
  </si>
  <si>
    <t>shiva.parimi@gmail.com</t>
  </si>
  <si>
    <t>&gt;</t>
  </si>
  <si>
    <t>&lt;</t>
  </si>
  <si>
    <t>Discounts%</t>
  </si>
  <si>
    <t>shiva</t>
  </si>
  <si>
    <t>mobile</t>
  </si>
  <si>
    <t>laptop</t>
  </si>
  <si>
    <t>mi</t>
  </si>
  <si>
    <t>hp</t>
  </si>
  <si>
    <t>vivo</t>
  </si>
  <si>
    <t>cat</t>
  </si>
  <si>
    <t>pro</t>
  </si>
  <si>
    <t>on_Data!J2,Amazon_Data!F:F,0)</t>
  </si>
  <si>
    <t>MI 9</t>
  </si>
  <si>
    <t>apple 10</t>
  </si>
  <si>
    <t>asus 9</t>
  </si>
  <si>
    <t>ZTE 19</t>
  </si>
  <si>
    <t>hp 10</t>
  </si>
  <si>
    <t>model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</si>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</sst>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3.5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5" fillId="2" borderId="5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1"/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4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0" xfId="0" applyFill="1" applyBorder="1"/>
    <xf numFmtId="0" fontId="0" fillId="0" borderId="11" xfId="0" applyBorder="1"/>
    <xf numFmtId="0" fontId="0" fillId="6" borderId="12" xfId="0" applyFill="1" applyBorder="1"/>
    <xf numFmtId="0" fontId="0" fillId="0" borderId="13" xfId="0" applyBorder="1"/>
    <xf numFmtId="0" fontId="0" fillId="5" borderId="12" xfId="0" applyFill="1" applyBorder="1"/>
    <xf numFmtId="0" fontId="0" fillId="5" borderId="14" xfId="0" applyFill="1" applyBorder="1"/>
    <xf numFmtId="0" fontId="0" fillId="0" borderId="15" xfId="0" applyBorder="1"/>
    <xf numFmtId="14" fontId="0" fillId="0" borderId="1" xfId="0" applyNumberFormat="1" applyBorder="1"/>
    <xf numFmtId="14" fontId="0" fillId="0" borderId="2" xfId="0" applyNumberFormat="1" applyBorder="1"/>
    <xf numFmtId="14" fontId="5" fillId="2" borderId="6" xfId="0" applyNumberFormat="1" applyFont="1" applyFill="1" applyBorder="1" applyAlignment="1">
      <alignment horizontal="center" vertical="top"/>
    </xf>
    <xf numFmtId="10" fontId="5" fillId="2" borderId="6" xfId="0" applyNumberFormat="1" applyFont="1" applyFill="1" applyBorder="1" applyAlignment="1">
      <alignment horizontal="center" vertical="top"/>
    </xf>
    <xf numFmtId="10" fontId="0" fillId="0" borderId="1" xfId="0" applyNumberFormat="1" applyBorder="1"/>
    <xf numFmtId="10" fontId="0" fillId="0" borderId="2" xfId="0" applyNumberFormat="1" applyBorder="1"/>
    <xf numFmtId="10" fontId="0" fillId="0" borderId="0" xfId="0" applyNumberFormat="1"/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man sree" refreshedDate="45979.986061111114" createdVersion="8" refreshedVersion="8" minRefreshableVersion="3" recordCount="150" xr:uid="{6D4AA630-0464-43A6-BDDE-8CEF2613A471}">
  <cacheSource type="worksheet">
    <worksheetSource name="Amazon"/>
  </cacheSource>
  <cacheFields count="21">
    <cacheField name="OrderID" numFmtId="0">
      <sharedItems/>
    </cacheField>
    <cacheField name="CustomerName" numFmtId="0">
      <sharedItems/>
    </cacheField>
    <cacheField name="Email" numFmtId="0">
      <sharedItems/>
    </cacheField>
    <cacheField name="Location" numFmtId="0">
      <sharedItems/>
    </cacheField>
    <cacheField name="Brand" numFmtId="0">
      <sharedItems count="13">
        <s v="Mi"/>
        <s v="Vivo"/>
        <s v="ZTE"/>
        <s v="LG"/>
        <s v="HTC"/>
        <s v="Dell"/>
        <s v="Apple"/>
        <s v="Oppo"/>
        <s v="Samsung"/>
        <s v="Sony"/>
        <s v="Hindustan Unilever"/>
        <s v="Nikon"/>
        <s v="Godrej"/>
      </sharedItems>
    </cacheField>
    <cacheField name="Model" numFmtId="0">
      <sharedItems/>
    </cacheField>
    <cacheField name="OrderDate" numFmtId="0">
      <sharedItems/>
    </cacheField>
    <cacheField name="DeliveryDate" numFmtId="0">
      <sharedItems/>
    </cacheField>
    <cacheField name="Quantity" numFmtId="0">
      <sharedItems containsSemiMixedTypes="0" containsString="0" containsNumber="1" containsInteger="1" minValue="1" maxValue="5" count="5">
        <n v="4"/>
        <n v="1"/>
        <n v="2"/>
        <n v="5"/>
        <n v="3"/>
      </sharedItems>
    </cacheField>
    <cacheField name="UnitPrice" numFmtId="0">
      <sharedItems containsSemiMixedTypes="0" containsString="0" containsNumber="1" containsInteger="1" minValue="244" maxValue="119513" count="150">
        <n v="77523"/>
        <n v="92974"/>
        <n v="66773"/>
        <n v="46382"/>
        <n v="46518"/>
        <n v="26057"/>
        <n v="25771"/>
        <n v="56748"/>
        <n v="57083"/>
        <n v="92803"/>
        <n v="58549"/>
        <n v="104023"/>
        <n v="34113"/>
        <n v="34032"/>
        <n v="47528"/>
        <n v="47596"/>
        <n v="54835"/>
        <n v="38001"/>
        <n v="19283"/>
        <n v="50606"/>
        <n v="20210"/>
        <n v="28447"/>
        <n v="20538"/>
        <n v="75581"/>
        <n v="85287"/>
        <n v="61884"/>
        <n v="55756"/>
        <n v="102214"/>
        <n v="92372"/>
        <n v="27354"/>
        <n v="79437"/>
        <n v="99374"/>
        <n v="24386"/>
        <n v="67637"/>
        <n v="62476"/>
        <n v="2623"/>
        <n v="44506"/>
        <n v="61199"/>
        <n v="46664"/>
        <n v="97320"/>
        <n v="116065"/>
        <n v="58450"/>
        <n v="69946"/>
        <n v="107930"/>
        <n v="27366"/>
        <n v="115251"/>
        <n v="92182"/>
        <n v="82587"/>
        <n v="63859"/>
        <n v="113850"/>
        <n v="5515"/>
        <n v="76240"/>
        <n v="55251"/>
        <n v="79409"/>
        <n v="75822"/>
        <n v="47809"/>
        <n v="53108"/>
        <n v="85966"/>
        <n v="84051"/>
        <n v="103092"/>
        <n v="34135"/>
        <n v="73166"/>
        <n v="83854"/>
        <n v="44874"/>
        <n v="78292"/>
        <n v="28307"/>
        <n v="107502"/>
        <n v="41277"/>
        <n v="77515"/>
        <n v="24987"/>
        <n v="81873"/>
        <n v="85182"/>
        <n v="56542"/>
        <n v="24312"/>
        <n v="80966"/>
        <n v="35258"/>
        <n v="10120"/>
        <n v="80875"/>
        <n v="85658"/>
        <n v="4888"/>
        <n v="97207"/>
        <n v="1536"/>
        <n v="97853"/>
        <n v="61644"/>
        <n v="80718"/>
        <n v="12724"/>
        <n v="37691"/>
        <n v="59895"/>
        <n v="67562"/>
        <n v="38082"/>
        <n v="88772"/>
        <n v="34661"/>
        <n v="14902"/>
        <n v="89940"/>
        <n v="52751"/>
        <n v="32601"/>
        <n v="79621"/>
        <n v="244"/>
        <n v="67442"/>
        <n v="6954"/>
        <n v="102740"/>
        <n v="115547"/>
        <n v="99561"/>
        <n v="103870"/>
        <n v="80069"/>
        <n v="119513"/>
        <n v="112196"/>
        <n v="78640"/>
        <n v="86807"/>
        <n v="87019"/>
        <n v="66298"/>
        <n v="106000"/>
        <n v="81340"/>
        <n v="38402"/>
        <n v="89192"/>
        <n v="89216"/>
        <n v="6598"/>
        <n v="113566"/>
        <n v="16837"/>
        <n v="105199"/>
        <n v="90266"/>
        <n v="19149"/>
        <n v="61218"/>
        <n v="84795"/>
        <n v="85308"/>
        <n v="111458"/>
        <n v="73879"/>
        <n v="70701"/>
        <n v="57064"/>
        <n v="5824"/>
        <n v="45765"/>
        <n v="114028"/>
        <n v="65819"/>
        <n v="113440"/>
        <n v="111414"/>
        <n v="81365"/>
        <n v="43791"/>
        <n v="11161"/>
        <n v="109950"/>
        <n v="42563"/>
        <n v="19740"/>
        <n v="116675"/>
        <n v="66886"/>
        <n v="109421"/>
        <n v="99097"/>
        <n v="46196"/>
        <n v="52402"/>
        <n v="79190"/>
        <n v="92672"/>
        <n v="57551"/>
      </sharedItems>
    </cacheField>
    <cacheField name="Discount%" numFmtId="0">
      <sharedItems containsSemiMixedTypes="0" containsString="0" containsNumber="1" containsInteger="1" minValue="0" maxValue="20"/>
    </cacheField>
    <cacheField name="OrderStatus" numFmtId="0">
      <sharedItems count="4">
        <s v="Cancelled"/>
        <s v="In-Progress"/>
        <s v="Delivered"/>
        <s v="Returned"/>
      </sharedItems>
    </cacheField>
    <cacheField name="FinalPrice" numFmtId="0">
      <sharedItems containsSemiMixedTypes="0" containsString="0" containsNumber="1" minValue="878.4" maxValue="560980" count="150">
        <n v="279082.8"/>
        <n v="92974"/>
        <n v="126868.7"/>
        <n v="185528"/>
        <n v="132576.29999999999"/>
        <n v="62536.800000000003"/>
        <n v="43810.7"/>
        <n v="269553"/>
        <n v="242602.75"/>
        <n v="440814.25"/>
        <n v="52694.1"/>
        <n v="280862.09999999998"/>
        <n v="122806.8"/>
        <n v="153144"/>
        <n v="161595.20000000001"/>
        <n v="152307.20000000001"/>
        <n v="175472"/>
        <n v="102602.7"/>
        <n v="69418.8"/>
        <n v="86030.2"/>
        <n v="60630"/>
        <n v="27024.65"/>
        <n v="87286.5"/>
        <n v="75581"/>
        <n v="136459.20000000001"/>
        <n v="293949"/>
        <n v="100360.8"/>
        <n v="204428"/>
        <n v="249404.4"/>
        <n v="109416"/>
        <n v="190648.8"/>
        <n v="377621.2"/>
        <n v="21947.4"/>
        <n v="172474.35"/>
        <n v="178056.6"/>
        <n v="4721.3999999999996"/>
        <n v="113490.3"/>
        <n v="244796"/>
        <n v="37331.199999999997"/>
        <n v="97320"/>
        <n v="208917"/>
        <n v="222110"/>
        <n v="314757"/>
        <n v="91740.5"/>
        <n v="27366"/>
        <n v="115251"/>
        <n v="165927.6"/>
        <n v="74328.3"/>
        <n v="162840.45000000001"/>
        <n v="102465"/>
        <n v="26196.25"/>
        <n v="274464"/>
        <n v="262442.25"/>
        <n v="317636"/>
        <n v="181972.8"/>
        <n v="191236"/>
        <n v="47797.2"/>
        <n v="343864"/>
        <n v="168102"/>
        <n v="371131.2"/>
        <n v="109232"/>
        <n v="347538.5"/>
        <n v="398306.5"/>
        <n v="89748"/>
        <n v="281851.2"/>
        <n v="76428.899999999994"/>
        <n v="172003.20000000001"/>
        <n v="99064.8"/>
        <n v="139527"/>
        <n v="49974"/>
        <n v="196495.2"/>
        <n v="323691.59999999998"/>
        <n v="240303.5"/>
        <n v="103326"/>
        <n v="206463.3"/>
        <n v="176290"/>
        <n v="16192"/>
        <n v="153662.5"/>
        <n v="154184.4"/>
        <n v="11731.2"/>
        <n v="165251.9"/>
        <n v="1536"/>
        <n v="166350.1"/>
        <n v="61644"/>
        <n v="343051.5"/>
        <n v="11451.6"/>
        <n v="101765.7"/>
        <n v="113800.5"/>
        <n v="60805.8"/>
        <n v="161848.5"/>
        <n v="177544"/>
        <n v="138644"/>
        <n v="13411.8"/>
        <n v="71952"/>
        <n v="42200.800000000003"/>
        <n v="26080.799999999999"/>
        <n v="159242"/>
        <n v="878.4"/>
        <n v="229302.8"/>
        <n v="5563.2"/>
        <n v="349316"/>
        <n v="219539.3"/>
        <n v="318595.20000000001"/>
        <n v="373932"/>
        <n v="400345"/>
        <n v="358539"/>
        <n v="560980"/>
        <n v="200532"/>
        <n v="412333.25"/>
        <n v="87019"/>
        <n v="59668.2"/>
        <n v="381600"/>
        <n v="138278"/>
        <n v="97925.1"/>
        <n v="267576"/>
        <n v="160588.79999999999"/>
        <n v="23752.799999999999"/>
        <n v="511047"/>
        <n v="33674"/>
        <n v="525995"/>
        <n v="180532"/>
        <n v="81383.25"/>
        <n v="174471.3"/>
        <n v="322221"/>
        <n v="426540"/>
        <n v="529425.5"/>
        <n v="210555.15"/>
        <n v="190892.7"/>
        <n v="136953.60000000001"/>
        <n v="4659.2"/>
        <n v="183060"/>
        <n v="193847.6"/>
        <n v="236948.4"/>
        <n v="107768"/>
        <n v="178262.39999999999"/>
        <n v="138320.5"/>
        <n v="175164"/>
        <n v="28460.55"/>
        <n v="549750"/>
        <n v="38306.699999999997"/>
        <n v="16779"/>
        <n v="186680"/>
        <n v="180592.2"/>
        <n v="437684"/>
        <n v="297291"/>
        <n v="117799.8"/>
        <n v="149345.70000000001"/>
        <n v="225691.5"/>
        <n v="222412.79999999999"/>
        <n v="146755.04999999999"/>
      </sharedItems>
    </cacheField>
    <cacheField name="PaymentType" numFmtId="0">
      <sharedItems/>
    </cacheField>
    <cacheField name="ShipmentPartner" numFmtId="0">
      <sharedItems/>
    </cacheField>
    <cacheField name="SellerID" numFmtId="0">
      <sharedItems/>
    </cacheField>
    <cacheField name="SellerName" numFmtId="0">
      <sharedItems/>
    </cacheField>
    <cacheField name="SellerRating" numFmtId="0">
      <sharedItems containsSemiMixedTypes="0" containsString="0" containsNumber="1" minValue="2.9" maxValue="4.8"/>
    </cacheField>
    <cacheField name="SellerJoinDate" numFmtId="0">
      <sharedItems/>
    </cacheField>
    <cacheField name="SLA_Days" numFmtId="0">
      <sharedItems containsSemiMixedTypes="0" containsString="0" containsNumber="1" containsInteger="1" minValue="0" maxValue="10"/>
    </cacheField>
    <cacheField name="RefundAmount" numFmtId="0">
      <sharedItems containsSemiMixedTypes="0" containsString="0" containsNumber="1" minValue="0" maxValue="525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0001"/>
    <s v="Zoya Verma"/>
    <s v="zoya.verma86@gmail.com"/>
    <s v="Ahmedabad"/>
    <x v="0"/>
    <s v="Mi Soundbar"/>
    <s v="2020-06-20"/>
    <s v="2020-07-01"/>
    <x v="0"/>
    <x v="0"/>
    <n v="10"/>
    <x v="0"/>
    <x v="0"/>
    <s v="COD"/>
    <s v="Delhivery"/>
    <s v="SEL3424"/>
    <s v="MegaTech Store"/>
    <n v="3.3"/>
    <s v="2010-09-07"/>
    <n v="0"/>
    <n v="0"/>
  </r>
  <r>
    <s v="ORD0002"/>
    <s v="Sanjay Kapoor"/>
    <s v="sanjay.kapoor32@gmail.com"/>
    <s v="Chennai"/>
    <x v="1"/>
    <s v="Vivo X80"/>
    <s v="2023-06-03"/>
    <s v="2023-06-07"/>
    <x v="1"/>
    <x v="1"/>
    <n v="0"/>
    <x v="0"/>
    <x v="1"/>
    <s v="Coupon"/>
    <s v="Delhivery"/>
    <s v="SEL2649"/>
    <s v="ElectroHub"/>
    <n v="3.4"/>
    <s v="2018-03-02"/>
    <n v="0"/>
    <n v="0"/>
  </r>
  <r>
    <s v="ORD0003"/>
    <s v="Amit Gupta"/>
    <s v="amit.gupta78@gmail.com"/>
    <s v="Hyderabad"/>
    <x v="2"/>
    <s v="ZTE Blade A7"/>
    <s v="2021-10-18"/>
    <s v="2021-10-27"/>
    <x v="2"/>
    <x v="2"/>
    <n v="5"/>
    <x v="0"/>
    <x v="2"/>
    <s v="Coupon"/>
    <s v="Ekart"/>
    <s v="SEL9586"/>
    <s v="DigitalMart"/>
    <n v="3.6"/>
    <s v="2012-11-29"/>
    <n v="0"/>
    <n v="0"/>
  </r>
  <r>
    <s v="ORD0004"/>
    <s v="Hitesh Verma"/>
    <s v="hitesh.verma46@gmail.com"/>
    <s v="Delhi"/>
    <x v="2"/>
    <s v="ZTE Blade A7"/>
    <s v="2023-04-27"/>
    <s v="2023-05-03"/>
    <x v="3"/>
    <x v="3"/>
    <n v="20"/>
    <x v="0"/>
    <x v="3"/>
    <s v="Card"/>
    <s v="Ekart"/>
    <s v="SEL4758"/>
    <s v="GadgetWorld"/>
    <n v="4.8"/>
    <s v="2019-03-20"/>
    <n v="0"/>
    <n v="0"/>
  </r>
  <r>
    <s v="ORD0005"/>
    <s v="Hitesh Sharma"/>
    <s v="hitesh.sharma55@gmail.com"/>
    <s v="Mumbai"/>
    <x v="3"/>
    <s v="LG Washing Machine"/>
    <s v="2024-06-04"/>
    <s v="2024-06-13"/>
    <x v="4"/>
    <x v="4"/>
    <n v="5"/>
    <x v="0"/>
    <x v="4"/>
    <s v="Coupon"/>
    <s v="Ekart"/>
    <s v="SEL5186"/>
    <s v="Prime Electronics"/>
    <n v="4"/>
    <s v="2020-07-31"/>
    <n v="0"/>
    <n v="0"/>
  </r>
  <r>
    <s v="ORD0006"/>
    <s v="Lakshmi Reddy"/>
    <s v="lakshmi.reddy42@gmail.com"/>
    <s v="Mumbai"/>
    <x v="4"/>
    <s v="HTC Desire 12"/>
    <s v="2024-08-31"/>
    <s v="2024-09-05"/>
    <x v="4"/>
    <x v="5"/>
    <n v="20"/>
    <x v="1"/>
    <x v="5"/>
    <s v="UPI"/>
    <s v="Delhivery"/>
    <s v="SEL7335"/>
    <s v="DigitalMart"/>
    <n v="2.9"/>
    <s v="2015-05-15"/>
    <n v="9"/>
    <n v="0"/>
  </r>
  <r>
    <s v="ORD0007"/>
    <s v="Pooja Iyer"/>
    <s v="pooja.iyer89@gmail.com"/>
    <s v="Kochi"/>
    <x v="5"/>
    <s v="XPS 13"/>
    <s v="2023-04-15"/>
    <s v="2023-04-22"/>
    <x v="2"/>
    <x v="6"/>
    <n v="15"/>
    <x v="2"/>
    <x v="6"/>
    <s v="Card"/>
    <s v="BlueDart"/>
    <s v="SEL2075"/>
    <s v="Amazons"/>
    <n v="3.4"/>
    <s v="2018-02-24"/>
    <n v="0"/>
    <n v="0"/>
  </r>
  <r>
    <s v="ORD0008"/>
    <s v="Hitesh Reddy"/>
    <s v="hitesh.reddy74@gmail.com"/>
    <s v="Ahmedabad"/>
    <x v="6"/>
    <s v="iPhone 13"/>
    <s v="2023-08-12"/>
    <s v="2023-08-19"/>
    <x v="3"/>
    <x v="7"/>
    <n v="5"/>
    <x v="1"/>
    <x v="7"/>
    <s v="Card"/>
    <s v="ExpressBees"/>
    <s v="SEL5332"/>
    <s v="BestDeals"/>
    <n v="3.4"/>
    <s v="2020-05-30"/>
    <n v="6"/>
    <n v="0"/>
  </r>
  <r>
    <s v="ORD0009"/>
    <s v="Arjun Patel"/>
    <s v="arjun.patel90@gmail.com"/>
    <s v="Mumbai"/>
    <x v="6"/>
    <s v="MacBook Pro"/>
    <s v="2022-06-23"/>
    <s v="2022-07-04"/>
    <x v="3"/>
    <x v="8"/>
    <n v="15"/>
    <x v="1"/>
    <x v="8"/>
    <s v="UPI"/>
    <s v="ExpressBees"/>
    <s v="SEL4037"/>
    <s v="MegaTech Store"/>
    <n v="3.3"/>
    <s v="2014-11-09"/>
    <n v="10"/>
    <n v="0"/>
  </r>
  <r>
    <s v="ORD0010"/>
    <s v="Ravi Verma"/>
    <s v="ravi.verma87@gmail.com"/>
    <s v="Bengaluru"/>
    <x v="0"/>
    <s v="Mi TV 4A"/>
    <s v="2022-03-18"/>
    <s v="2022-03-24"/>
    <x v="3"/>
    <x v="9"/>
    <n v="5"/>
    <x v="2"/>
    <x v="9"/>
    <s v="COD"/>
    <s v="BlueDart"/>
    <s v="SEL5133"/>
    <s v="MegaTech Store"/>
    <n v="3.3"/>
    <s v="2018-07-06"/>
    <n v="0"/>
    <n v="0"/>
  </r>
  <r>
    <s v="ORD0011"/>
    <s v="Amit Sharma"/>
    <s v="amit.sharma93@gmail.com"/>
    <s v="Chennai"/>
    <x v="3"/>
    <s v="LG AC 1.5T"/>
    <s v="2021-10-13"/>
    <s v="2021-10-18"/>
    <x v="1"/>
    <x v="10"/>
    <n v="10"/>
    <x v="1"/>
    <x v="10"/>
    <s v="COD"/>
    <s v="BlueDart"/>
    <s v="SEL4311"/>
    <s v="ElectroHub"/>
    <n v="3.4"/>
    <s v="2015-08-16"/>
    <n v="6"/>
    <n v="0"/>
  </r>
  <r>
    <s v="ORD0012"/>
    <s v="Amit Verma"/>
    <s v="amit.verma39@gmail.com"/>
    <s v="Kochi"/>
    <x v="7"/>
    <s v="Oppo A54"/>
    <s v="2022-01-04"/>
    <s v="2022-01-12"/>
    <x v="4"/>
    <x v="11"/>
    <n v="10"/>
    <x v="3"/>
    <x v="11"/>
    <s v="Card"/>
    <s v="Delhivery"/>
    <s v="SEL5976"/>
    <s v="DigitalMart"/>
    <n v="3.6"/>
    <s v="2019-11-20"/>
    <n v="0"/>
    <n v="280862.09999999998"/>
  </r>
  <r>
    <s v="ORD0013"/>
    <s v="Neha Gupta"/>
    <s v="neha.gupta32@gmail.com"/>
    <s v="Bengaluru"/>
    <x v="3"/>
    <s v="LG Washing Machine"/>
    <s v="2020-02-27"/>
    <s v="2020-03-08"/>
    <x v="0"/>
    <x v="12"/>
    <n v="10"/>
    <x v="2"/>
    <x v="12"/>
    <s v="COD"/>
    <s v="BlueDart"/>
    <s v="SEL7923"/>
    <s v="GadgetWorld"/>
    <n v="4.8"/>
    <s v="2010-05-22"/>
    <n v="0"/>
    <n v="0"/>
  </r>
  <r>
    <s v="ORD0014"/>
    <s v="Lakshmi Verma"/>
    <s v="lakshmi.verma97@gmail.com"/>
    <s v="Hyderabad"/>
    <x v="1"/>
    <s v="Vivo X80"/>
    <s v="2023-12-09"/>
    <s v="2023-12-19"/>
    <x v="3"/>
    <x v="13"/>
    <n v="10"/>
    <x v="0"/>
    <x v="13"/>
    <s v="UPI"/>
    <s v="ExpressBees"/>
    <s v="SEL2621"/>
    <s v="Prime Electronics"/>
    <n v="4"/>
    <s v="2010-09-25"/>
    <n v="0"/>
    <n v="0"/>
  </r>
  <r>
    <s v="ORD0015"/>
    <s v="Ravi Patel"/>
    <s v="ravi.patel51@gmail.com"/>
    <s v="Delhi"/>
    <x v="8"/>
    <s v="Samsung Laptop 5"/>
    <s v="2022-05-13"/>
    <s v="2022-05-17"/>
    <x v="0"/>
    <x v="14"/>
    <n v="15"/>
    <x v="2"/>
    <x v="14"/>
    <s v="Coupon"/>
    <s v="Delhivery"/>
    <s v="SEL4761"/>
    <s v="DigitalMart"/>
    <n v="2.9"/>
    <s v="2014-04-18"/>
    <n v="0"/>
    <n v="0"/>
  </r>
  <r>
    <s v="ORD0016"/>
    <s v="Pooja Reddy"/>
    <s v="pooja.reddy91@gmail.com"/>
    <s v="Ahmedabad"/>
    <x v="3"/>
    <s v="LG Fridge"/>
    <s v="2019-09-14"/>
    <s v="2019-09-24"/>
    <x v="0"/>
    <x v="15"/>
    <n v="20"/>
    <x v="3"/>
    <x v="15"/>
    <s v="Card"/>
    <s v="ExpressBees"/>
    <s v="SEL5592"/>
    <s v="Amazons"/>
    <n v="3.4"/>
    <s v="2017-07-29"/>
    <n v="0"/>
    <n v="152307.20000000001"/>
  </r>
  <r>
    <s v="ORD0017"/>
    <s v="Zoya Verma"/>
    <s v="zoya.verma54@gmail.com"/>
    <s v="Mumbai"/>
    <x v="4"/>
    <s v="HTC One M9"/>
    <s v="2022-11-06"/>
    <s v="2022-11-17"/>
    <x v="0"/>
    <x v="16"/>
    <n v="20"/>
    <x v="2"/>
    <x v="16"/>
    <s v="Card"/>
    <s v="BlueDart"/>
    <s v="SEL4127"/>
    <s v="BestDeals"/>
    <n v="3.4"/>
    <s v="2011-06-11"/>
    <n v="0"/>
    <n v="0"/>
  </r>
  <r>
    <s v="ORD0018"/>
    <s v="Neha Iyer"/>
    <s v="neha.iyer27@gmail.com"/>
    <s v="Hyderabad"/>
    <x v="4"/>
    <s v="HTC Desire 12"/>
    <s v="2020-06-22"/>
    <s v="2020-06-25"/>
    <x v="4"/>
    <x v="17"/>
    <n v="10"/>
    <x v="2"/>
    <x v="17"/>
    <s v="COD"/>
    <s v="ExpressBees"/>
    <s v="SEL3201"/>
    <s v="MegaTech Store"/>
    <n v="3.3"/>
    <s v="2020-04-13"/>
    <n v="0"/>
    <n v="0"/>
  </r>
  <r>
    <s v="ORD0019"/>
    <s v="Zoya Rao"/>
    <s v="zoya.rao15@gmail.com"/>
    <s v="Mumbai"/>
    <x v="9"/>
    <s v="Sony Home Theater"/>
    <s v="2021-12-18"/>
    <s v="2021-12-27"/>
    <x v="0"/>
    <x v="18"/>
    <n v="10"/>
    <x v="0"/>
    <x v="18"/>
    <s v="Coupon"/>
    <s v="Ekart"/>
    <s v="SEL7233"/>
    <s v="MegaTech Store"/>
    <n v="3.3"/>
    <s v="2010-07-17"/>
    <n v="0"/>
    <n v="0"/>
  </r>
  <r>
    <s v="ORD0020"/>
    <s v="Sanjay Rao"/>
    <s v="sanjay.rao65@gmail.com"/>
    <s v="Hyderabad"/>
    <x v="10"/>
    <s v="CloseUp Toothpaste"/>
    <s v="2019-02-21"/>
    <s v="2019-03-05"/>
    <x v="2"/>
    <x v="19"/>
    <n v="15"/>
    <x v="1"/>
    <x v="19"/>
    <s v="COD"/>
    <s v="Ekart"/>
    <s v="SEL4305"/>
    <s v="ElectroHub"/>
    <n v="3.4"/>
    <s v="2019-03-08"/>
    <n v="3"/>
    <n v="0"/>
  </r>
  <r>
    <s v="ORD0021"/>
    <s v="Arjun Gupta"/>
    <s v="arjun.gupta27@gmail.com"/>
    <s v="Ahmedabad"/>
    <x v="11"/>
    <s v="Nikon D5600"/>
    <s v="2024-06-05"/>
    <s v="2024-06-15"/>
    <x v="4"/>
    <x v="20"/>
    <n v="0"/>
    <x v="3"/>
    <x v="20"/>
    <s v="UPI"/>
    <s v="ExpressBees"/>
    <s v="SEL5215"/>
    <s v="DigitalMart"/>
    <n v="3.6"/>
    <s v="2013-11-14"/>
    <n v="0"/>
    <n v="60630"/>
  </r>
  <r>
    <s v="ORD0022"/>
    <s v="Pooja Patel"/>
    <s v="pooja.patel63@gmail.com"/>
    <s v="Chennai"/>
    <x v="2"/>
    <s v="ZTE Blade A7"/>
    <s v="2021-09-08"/>
    <s v="2021-09-15"/>
    <x v="1"/>
    <x v="21"/>
    <n v="5"/>
    <x v="3"/>
    <x v="21"/>
    <s v="Card"/>
    <s v="Ekart"/>
    <s v="SEL2344"/>
    <s v="GadgetWorld"/>
    <n v="4.8"/>
    <s v="2016-01-11"/>
    <n v="0"/>
    <n v="27024.65"/>
  </r>
  <r>
    <s v="ORD0023"/>
    <s v="Arjun Patel"/>
    <s v="arjun.patel15@gmail.com"/>
    <s v="Mumbai"/>
    <x v="4"/>
    <s v="HTC One M9"/>
    <s v="2022-07-23"/>
    <s v="2022-07-28"/>
    <x v="3"/>
    <x v="22"/>
    <n v="15"/>
    <x v="2"/>
    <x v="22"/>
    <s v="Card"/>
    <s v="Delhivery"/>
    <s v="SEL9830"/>
    <s v="Prime Electronics"/>
    <n v="4"/>
    <s v="2015-08-27"/>
    <n v="0"/>
    <n v="0"/>
  </r>
  <r>
    <s v="ORD0024"/>
    <s v="Manoj Gupta"/>
    <s v="manoj.gupta63@gmail.com"/>
    <s v="Hyderabad"/>
    <x v="6"/>
    <s v="MacBook Air"/>
    <s v="2021-12-13"/>
    <s v="2021-12-24"/>
    <x v="1"/>
    <x v="23"/>
    <n v="0"/>
    <x v="2"/>
    <x v="23"/>
    <s v="Coupon"/>
    <s v="BlueDart"/>
    <s v="SEL9793"/>
    <s v="DigitalMart"/>
    <n v="2.9"/>
    <s v="2016-07-26"/>
    <n v="0"/>
    <n v="0"/>
  </r>
  <r>
    <s v="ORD0025"/>
    <s v="Hitesh Reddy"/>
    <s v="hitesh.reddy14@gmail.com"/>
    <s v="Kochi"/>
    <x v="9"/>
    <s v="Sony Bravia 50"/>
    <s v="2024-03-30"/>
    <s v="2024-04-06"/>
    <x v="2"/>
    <x v="24"/>
    <n v="20"/>
    <x v="2"/>
    <x v="24"/>
    <s v="Coupon"/>
    <s v="Ekart"/>
    <s v="SEL3757"/>
    <s v="Amazons"/>
    <n v="3.4"/>
    <s v="2020-09-12"/>
    <n v="0"/>
    <n v="0"/>
  </r>
  <r>
    <s v="ORD0026"/>
    <s v="Neha Sharma"/>
    <s v="neha.sharma70@gmail.com"/>
    <s v="Mumbai"/>
    <x v="4"/>
    <s v="HTC Desire 12"/>
    <s v="2019-02-05"/>
    <s v="2019-02-15"/>
    <x v="3"/>
    <x v="25"/>
    <n v="5"/>
    <x v="1"/>
    <x v="25"/>
    <s v="UPI"/>
    <s v="Delhivery"/>
    <s v="SEL6723"/>
    <s v="BestDeals"/>
    <n v="3.4"/>
    <s v="2016-11-22"/>
    <n v="5"/>
    <n v="0"/>
  </r>
  <r>
    <s v="ORD0027"/>
    <s v="Amit Verma"/>
    <s v="amit.verma25@gmail.com"/>
    <s v="Hyderabad"/>
    <x v="12"/>
    <s v="Godrej Washing Machine"/>
    <s v="2020-11-14"/>
    <s v="2020-11-22"/>
    <x v="2"/>
    <x v="26"/>
    <n v="10"/>
    <x v="2"/>
    <x v="26"/>
    <s v="COD"/>
    <s v="Delhivery"/>
    <s v="SEL1861"/>
    <s v="MegaTech Store"/>
    <n v="3.3"/>
    <s v="2014-03-04"/>
    <n v="0"/>
    <n v="0"/>
  </r>
  <r>
    <s v="ORD0028"/>
    <s v="Lakshmi Sharma"/>
    <s v="lakshmi.sharma35@gmail.com"/>
    <s v="Chennai"/>
    <x v="5"/>
    <s v="Alienware M15"/>
    <s v="2023-08-27"/>
    <s v="2023-09-04"/>
    <x v="2"/>
    <x v="27"/>
    <n v="0"/>
    <x v="2"/>
    <x v="27"/>
    <s v="UPI"/>
    <s v="Ekart"/>
    <s v="SEL6540"/>
    <s v="MegaTech Store"/>
    <n v="3.3"/>
    <s v="2011-09-26"/>
    <n v="0"/>
    <n v="0"/>
  </r>
  <r>
    <s v="ORD0029"/>
    <s v="Ravi Verma"/>
    <s v="ravi.verma37@gmail.com"/>
    <s v="Chennai"/>
    <x v="9"/>
    <s v="Sony Speaker HT"/>
    <s v="2021-02-18"/>
    <s v="2021-02-21"/>
    <x v="4"/>
    <x v="28"/>
    <n v="10"/>
    <x v="0"/>
    <x v="28"/>
    <s v="UPI"/>
    <s v="Ekart"/>
    <s v="SEL7662"/>
    <s v="ElectroHub"/>
    <n v="3.4"/>
    <s v="2013-01-12"/>
    <n v="0"/>
    <n v="0"/>
  </r>
  <r>
    <s v="ORD0030"/>
    <s v="Pooja Verma"/>
    <s v="pooja.verma72@gmail.com"/>
    <s v="Ahmedabad"/>
    <x v="2"/>
    <s v="ZTE Nubia Z20"/>
    <s v="2024-04-28"/>
    <s v="2024-05-04"/>
    <x v="0"/>
    <x v="29"/>
    <n v="0"/>
    <x v="1"/>
    <x v="29"/>
    <s v="UPI"/>
    <s v="BlueDart"/>
    <s v="SEL4106"/>
    <s v="DigitalMart"/>
    <n v="3.6"/>
    <s v="2011-05-24"/>
    <n v="4"/>
    <n v="0"/>
  </r>
  <r>
    <s v="ORD0031"/>
    <s v="Neha Sharma"/>
    <s v="neha.sharma68@gmail.com"/>
    <s v="Mumbai"/>
    <x v="12"/>
    <s v="Godrej AC"/>
    <s v="2024-12-25"/>
    <s v="2024-12-27"/>
    <x v="4"/>
    <x v="30"/>
    <n v="20"/>
    <x v="0"/>
    <x v="30"/>
    <s v="COD"/>
    <s v="Delhivery"/>
    <s v="SEL9799"/>
    <s v="GadgetWorld"/>
    <n v="4.8"/>
    <s v="2015-07-11"/>
    <n v="0"/>
    <n v="0"/>
  </r>
  <r>
    <s v="ORD0032"/>
    <s v="Ravi Verma"/>
    <s v="ravi.verma24@gmail.com"/>
    <s v="Chennai"/>
    <x v="0"/>
    <s v="Mi Air Purifier"/>
    <s v="2020-04-19"/>
    <s v="2020-04-26"/>
    <x v="0"/>
    <x v="31"/>
    <n v="5"/>
    <x v="3"/>
    <x v="31"/>
    <s v="Coupon"/>
    <s v="Ekart"/>
    <s v="SEL7865"/>
    <s v="Prime Electronics"/>
    <n v="4"/>
    <s v="2017-01-10"/>
    <n v="0"/>
    <n v="377621.2"/>
  </r>
  <r>
    <s v="ORD0033"/>
    <s v="Zoya Reddy"/>
    <s v="zoya.reddy73@gmail.com"/>
    <s v="Delhi"/>
    <x v="12"/>
    <s v="Godrej AC"/>
    <s v="2019-04-23"/>
    <s v="2019-04-30"/>
    <x v="1"/>
    <x v="32"/>
    <n v="10"/>
    <x v="2"/>
    <x v="32"/>
    <s v="UPI"/>
    <s v="Delhivery"/>
    <s v="SEL8244"/>
    <s v="DigitalMart"/>
    <n v="2.9"/>
    <s v="2015-04-26"/>
    <n v="0"/>
    <n v="0"/>
  </r>
  <r>
    <s v="ORD0034"/>
    <s v="Lakshmi Rao"/>
    <s v="lakshmi.rao76@gmail.com"/>
    <s v="Pune"/>
    <x v="3"/>
    <s v="LG AC 1.5T"/>
    <s v="2024-02-11"/>
    <s v="2024-02-17"/>
    <x v="4"/>
    <x v="33"/>
    <n v="15"/>
    <x v="3"/>
    <x v="33"/>
    <s v="Card"/>
    <s v="ExpressBees"/>
    <s v="SEL2303"/>
    <s v="Amazons"/>
    <n v="3.4"/>
    <s v="2020-09-24"/>
    <n v="0"/>
    <n v="172474.35"/>
  </r>
  <r>
    <s v="ORD0035"/>
    <s v="Hitesh Iyer"/>
    <s v="hitesh.iyer76@gmail.com"/>
    <s v="Hyderabad"/>
    <x v="7"/>
    <s v="Oppo F19"/>
    <s v="2019-06-01"/>
    <s v="2019-06-07"/>
    <x v="4"/>
    <x v="34"/>
    <n v="5"/>
    <x v="0"/>
    <x v="34"/>
    <s v="Coupon"/>
    <s v="ExpressBees"/>
    <s v="SEL5762"/>
    <s v="BestDeals"/>
    <n v="3.4"/>
    <s v="2020-06-13"/>
    <n v="0"/>
    <n v="0"/>
  </r>
  <r>
    <s v="ORD0036"/>
    <s v="Kiran Iyer"/>
    <s v="kiran.iyer53@gmail.com"/>
    <s v="Chennai"/>
    <x v="10"/>
    <s v="Lifebuoy Soap"/>
    <s v="2024-07-03"/>
    <s v="2024-07-10"/>
    <x v="2"/>
    <x v="35"/>
    <n v="10"/>
    <x v="0"/>
    <x v="35"/>
    <s v="COD"/>
    <s v="BlueDart"/>
    <s v="SEL9321"/>
    <s v="MegaTech Store"/>
    <n v="3.3"/>
    <s v="2010-01-02"/>
    <n v="0"/>
    <n v="0"/>
  </r>
  <r>
    <s v="ORD0037"/>
    <s v="Kiran Rao"/>
    <s v="kiran.rao22@gmail.com"/>
    <s v="Chennai"/>
    <x v="0"/>
    <s v="Mi Air Purifier"/>
    <s v="2019-10-13"/>
    <s v="2019-10-25"/>
    <x v="4"/>
    <x v="36"/>
    <n v="15"/>
    <x v="1"/>
    <x v="36"/>
    <s v="COD"/>
    <s v="ExpressBees"/>
    <s v="SEL6927"/>
    <s v="MegaTech Store"/>
    <n v="3.3"/>
    <s v="2018-12-14"/>
    <n v="8"/>
    <n v="0"/>
  </r>
  <r>
    <s v="ORD0038"/>
    <s v="Amit Gupta"/>
    <s v="amit.gupta68@gmail.com"/>
    <s v="Chennai"/>
    <x v="0"/>
    <s v="Mi Air Purifier"/>
    <s v="2019-02-23"/>
    <s v="2019-03-05"/>
    <x v="0"/>
    <x v="37"/>
    <n v="0"/>
    <x v="3"/>
    <x v="37"/>
    <s v="UPI"/>
    <s v="Delhivery"/>
    <s v="SEL6810"/>
    <s v="ElectroHub"/>
    <n v="3.4"/>
    <s v="2013-10-29"/>
    <n v="0"/>
    <n v="244796"/>
  </r>
  <r>
    <s v="ORD0039"/>
    <s v="Sanjay Gupta"/>
    <s v="sanjay.gupta32@gmail.com"/>
    <s v="Ahmedabad"/>
    <x v="8"/>
    <s v="Samsung Laptop 5"/>
    <s v="2021-06-11"/>
    <s v="2021-06-17"/>
    <x v="1"/>
    <x v="38"/>
    <n v="20"/>
    <x v="3"/>
    <x v="38"/>
    <s v="Card"/>
    <s v="Delhivery"/>
    <s v="SEL4159"/>
    <s v="DigitalMart"/>
    <n v="3.6"/>
    <s v="2016-01-27"/>
    <n v="0"/>
    <n v="37331.199999999997"/>
  </r>
  <r>
    <s v="ORD0040"/>
    <s v="Ravi Kapoor"/>
    <s v="ravi.kapoor97@gmail.com"/>
    <s v="Hyderabad"/>
    <x v="1"/>
    <s v="Vivo V20"/>
    <s v="2023-12-21"/>
    <s v="2023-12-27"/>
    <x v="1"/>
    <x v="39"/>
    <n v="0"/>
    <x v="0"/>
    <x v="39"/>
    <s v="COD"/>
    <s v="Ekart"/>
    <s v="SEL1090"/>
    <s v="GadgetWorld"/>
    <n v="4.8"/>
    <s v="2010-03-30"/>
    <n v="0"/>
    <n v="0"/>
  </r>
  <r>
    <s v="ORD0041"/>
    <s v="Lakshmi Verma"/>
    <s v="lakshmi.verma83@gmail.com"/>
    <s v="Ahmedabad"/>
    <x v="7"/>
    <s v="Oppo F19"/>
    <s v="2021-06-17"/>
    <s v="2021-06-24"/>
    <x v="2"/>
    <x v="40"/>
    <n v="10"/>
    <x v="1"/>
    <x v="40"/>
    <s v="UPI"/>
    <s v="ExpressBees"/>
    <s v="SEL6007"/>
    <s v="Prime Electronics"/>
    <n v="4"/>
    <s v="2014-02-02"/>
    <n v="4"/>
    <n v="0"/>
  </r>
  <r>
    <s v="ORD0042"/>
    <s v="Kiran Rao"/>
    <s v="kiran.rao83@gmail.com"/>
    <s v="Hyderabad"/>
    <x v="4"/>
    <s v="HTC Desire 12"/>
    <s v="2019-08-13"/>
    <s v="2019-08-24"/>
    <x v="0"/>
    <x v="41"/>
    <n v="5"/>
    <x v="1"/>
    <x v="41"/>
    <s v="Card"/>
    <s v="BlueDart"/>
    <s v="SEL7458"/>
    <s v="DigitalMart"/>
    <n v="2.9"/>
    <s v="2011-09-06"/>
    <n v="6"/>
    <n v="0"/>
  </r>
  <r>
    <s v="ORD0043"/>
    <s v="Pooja Gupta"/>
    <s v="pooja.gupta29@gmail.com"/>
    <s v="Kochi"/>
    <x v="0"/>
    <s v="Mi Speaker"/>
    <s v="2021-08-11"/>
    <s v="2021-08-21"/>
    <x v="3"/>
    <x v="42"/>
    <n v="10"/>
    <x v="3"/>
    <x v="42"/>
    <s v="UPI"/>
    <s v="Ekart"/>
    <s v="SEL6223"/>
    <s v="Amazons"/>
    <n v="3.4"/>
    <s v="2014-05-05"/>
    <n v="0"/>
    <n v="314757"/>
  </r>
  <r>
    <s v="ORD0044"/>
    <s v="Neha Iyer"/>
    <s v="neha.iyer90@gmail.com"/>
    <s v="Kochi"/>
    <x v="10"/>
    <s v="Lifebuoy Soap"/>
    <s v="2023-09-25"/>
    <s v="2023-10-03"/>
    <x v="1"/>
    <x v="43"/>
    <n v="15"/>
    <x v="3"/>
    <x v="43"/>
    <s v="COD"/>
    <s v="Delhivery"/>
    <s v="SEL3505"/>
    <s v="BestDeals"/>
    <n v="3.4"/>
    <s v="2011-01-02"/>
    <n v="0"/>
    <n v="91740.5"/>
  </r>
  <r>
    <s v="ORD0045"/>
    <s v="Zoya Iyer"/>
    <s v="zoya.iyer31@gmail.com"/>
    <s v="Delhi"/>
    <x v="10"/>
    <s v="CloseUp Toothpaste"/>
    <s v="2023-03-30"/>
    <s v="2023-04-01"/>
    <x v="1"/>
    <x v="44"/>
    <n v="0"/>
    <x v="3"/>
    <x v="44"/>
    <s v="UPI"/>
    <s v="Ekart"/>
    <s v="SEL2870"/>
    <s v="MegaTech Store"/>
    <n v="3.3"/>
    <s v="2013-05-04"/>
    <n v="0"/>
    <n v="27366"/>
  </r>
  <r>
    <s v="ORD0046"/>
    <s v="Pooja Verma"/>
    <s v="pooja.verma85@gmail.com"/>
    <s v="Mumbai"/>
    <x v="8"/>
    <s v="Samsung 55 TV"/>
    <s v="2023-05-14"/>
    <s v="2023-05-16"/>
    <x v="1"/>
    <x v="45"/>
    <n v="0"/>
    <x v="2"/>
    <x v="45"/>
    <s v="UPI"/>
    <s v="BlueDart"/>
    <s v="SEL5057"/>
    <s v="MegaTech Store"/>
    <n v="3.3"/>
    <s v="2020-11-28"/>
    <n v="0"/>
    <n v="0"/>
  </r>
  <r>
    <s v="ORD0047"/>
    <s v="Sanjay Reddy"/>
    <s v="sanjay.reddy73@gmail.com"/>
    <s v="Chennai"/>
    <x v="4"/>
    <s v="HTC One M9"/>
    <s v="2024-03-28"/>
    <s v="2024-04-02"/>
    <x v="2"/>
    <x v="46"/>
    <n v="10"/>
    <x v="2"/>
    <x v="46"/>
    <s v="UPI"/>
    <s v="BlueDart"/>
    <s v="SEL2906"/>
    <s v="ElectroHub"/>
    <n v="3.4"/>
    <s v="2015-09-07"/>
    <n v="0"/>
    <n v="0"/>
  </r>
  <r>
    <s v="ORD0048"/>
    <s v="Arjun Rao"/>
    <s v="arjun.rao58@gmail.com"/>
    <s v="Hyderabad"/>
    <x v="3"/>
    <s v="LG Washing Machine"/>
    <s v="2020-04-11"/>
    <s v="2020-04-17"/>
    <x v="1"/>
    <x v="47"/>
    <n v="10"/>
    <x v="1"/>
    <x v="47"/>
    <s v="UPI"/>
    <s v="Ekart"/>
    <s v="SEL3004"/>
    <s v="DigitalMart"/>
    <n v="3.6"/>
    <s v="2014-01-03"/>
    <n v="3"/>
    <n v="0"/>
  </r>
  <r>
    <s v="ORD0049"/>
    <s v="Kiran Verma"/>
    <s v="kiran.verma90@gmail.com"/>
    <s v="Delhi"/>
    <x v="3"/>
    <s v="LG Washing Machine"/>
    <s v="2021-09-09"/>
    <s v="2021-09-17"/>
    <x v="4"/>
    <x v="48"/>
    <n v="15"/>
    <x v="0"/>
    <x v="48"/>
    <s v="Card"/>
    <s v="BlueDart"/>
    <s v="SEL8553"/>
    <s v="GadgetWorld"/>
    <n v="4.8"/>
    <s v="2014-11-20"/>
    <n v="0"/>
    <n v="0"/>
  </r>
  <r>
    <s v="ORD0050"/>
    <s v="Hitesh Gupta"/>
    <s v="hitesh.gupta28@gmail.com"/>
    <s v="Mumbai"/>
    <x v="7"/>
    <s v="Oppo Reno 8"/>
    <s v="2019-11-13"/>
    <s v="2019-11-24"/>
    <x v="1"/>
    <x v="49"/>
    <n v="10"/>
    <x v="0"/>
    <x v="49"/>
    <s v="Coupon"/>
    <s v="ExpressBees"/>
    <s v="SEL1812"/>
    <s v="Prime Electronics"/>
    <n v="4"/>
    <s v="2012-05-26"/>
    <n v="0"/>
    <n v="0"/>
  </r>
  <r>
    <s v="ORD0051"/>
    <s v="Kiran Patel"/>
    <s v="kiran.patel72@gmail.com"/>
    <s v="Hyderabad"/>
    <x v="12"/>
    <s v="Godrej Fridge"/>
    <s v="2019-03-28"/>
    <s v="2019-03-30"/>
    <x v="3"/>
    <x v="50"/>
    <n v="5"/>
    <x v="1"/>
    <x v="50"/>
    <s v="Coupon"/>
    <s v="Delhivery"/>
    <s v="SEL8243"/>
    <s v="DigitalMart"/>
    <n v="2.9"/>
    <s v="2015-02-20"/>
    <n v="4"/>
    <n v="0"/>
  </r>
  <r>
    <s v="ORD0052"/>
    <s v="Lakshmi Sharma"/>
    <s v="lakshmi.sharma73@gmail.com"/>
    <s v="Delhi"/>
    <x v="3"/>
    <s v="LG Fridge"/>
    <s v="2023-08-03"/>
    <s v="2023-08-13"/>
    <x v="0"/>
    <x v="51"/>
    <n v="10"/>
    <x v="3"/>
    <x v="51"/>
    <s v="Coupon"/>
    <s v="ExpressBees"/>
    <s v="SEL9573"/>
    <s v="Amazons"/>
    <n v="3.4"/>
    <s v="2019-06-17"/>
    <n v="0"/>
    <n v="274464"/>
  </r>
  <r>
    <s v="ORD0053"/>
    <s v="Pooja Iyer"/>
    <s v="pooja.iyer43@gmail.com"/>
    <s v="Pune"/>
    <x v="0"/>
    <s v="Mi TV 4A"/>
    <s v="2024-06-08"/>
    <s v="2024-06-14"/>
    <x v="3"/>
    <x v="52"/>
    <n v="5"/>
    <x v="1"/>
    <x v="52"/>
    <s v="Card"/>
    <s v="ExpressBees"/>
    <s v="SEL8953"/>
    <s v="BestDeals"/>
    <n v="3.4"/>
    <s v="2014-05-11"/>
    <n v="7"/>
    <n v="0"/>
  </r>
  <r>
    <s v="ORD0054"/>
    <s v="Manoj Sharma"/>
    <s v="manoj.sharma60@gmail.com"/>
    <s v="Hyderabad"/>
    <x v="9"/>
    <s v="Sony Bravia 50"/>
    <s v="2024-09-19"/>
    <s v="2024-09-30"/>
    <x v="0"/>
    <x v="53"/>
    <n v="0"/>
    <x v="2"/>
    <x v="53"/>
    <s v="COD"/>
    <s v="Delhivery"/>
    <s v="SEL5328"/>
    <s v="MegaTech Store"/>
    <n v="3.3"/>
    <s v="2013-02-07"/>
    <n v="0"/>
    <n v="0"/>
  </r>
  <r>
    <s v="ORD0055"/>
    <s v="Ravi Rao"/>
    <s v="ravi.rao20@gmail.com"/>
    <s v="Mumbai"/>
    <x v="0"/>
    <s v="Mi Speaker"/>
    <s v="2021-04-27"/>
    <s v="2021-05-09"/>
    <x v="4"/>
    <x v="54"/>
    <n v="20"/>
    <x v="1"/>
    <x v="54"/>
    <s v="UPI"/>
    <s v="Delhivery"/>
    <s v="SEL6740"/>
    <s v="MegaTech Store"/>
    <n v="3.3"/>
    <s v="2017-03-12"/>
    <n v="8"/>
    <n v="0"/>
  </r>
  <r>
    <s v="ORD0056"/>
    <s v="Kiran Iyer"/>
    <s v="kiran.iyer53@gmail.com"/>
    <s v="Pune"/>
    <x v="4"/>
    <s v="HTC Desire 12"/>
    <s v="2023-07-21"/>
    <s v="2023-08-01"/>
    <x v="0"/>
    <x v="55"/>
    <n v="0"/>
    <x v="3"/>
    <x v="55"/>
    <s v="Coupon"/>
    <s v="Delhivery"/>
    <s v="SEL2753"/>
    <s v="ElectroHub"/>
    <n v="3.4"/>
    <s v="2013-03-24"/>
    <n v="0"/>
    <n v="191236"/>
  </r>
  <r>
    <s v="ORD0057"/>
    <s v="Sanjay Reddy"/>
    <s v="sanjay.reddy62@gmail.com"/>
    <s v="Hyderabad"/>
    <x v="6"/>
    <s v="MacBook Pro"/>
    <s v="2024-04-26"/>
    <s v="2024-05-07"/>
    <x v="1"/>
    <x v="56"/>
    <n v="10"/>
    <x v="2"/>
    <x v="56"/>
    <s v="Coupon"/>
    <s v="ExpressBees"/>
    <s v="SEL5330"/>
    <s v="DigitalMart"/>
    <n v="3.6"/>
    <s v="2011-10-13"/>
    <n v="0"/>
    <n v="0"/>
  </r>
  <r>
    <s v="ORD0058"/>
    <s v="Manoj Patel"/>
    <s v="manoj.patel80@gmail.com"/>
    <s v="Bengaluru"/>
    <x v="0"/>
    <s v="Mi TV 4A"/>
    <s v="2020-02-11"/>
    <s v="2020-02-13"/>
    <x v="0"/>
    <x v="57"/>
    <n v="0"/>
    <x v="1"/>
    <x v="57"/>
    <s v="Card"/>
    <s v="Ekart"/>
    <s v="SEL9084"/>
    <s v="GadgetWorld"/>
    <n v="4.8"/>
    <s v="2014-05-08"/>
    <n v="3"/>
    <n v="0"/>
  </r>
  <r>
    <s v="ORD0059"/>
    <s v="Zoya Reddy"/>
    <s v="zoya.reddy66@gmail.com"/>
    <s v="Hyderabad"/>
    <x v="11"/>
    <s v="Nikon D3500"/>
    <s v="2020-11-29"/>
    <s v="2020-12-03"/>
    <x v="2"/>
    <x v="58"/>
    <n v="0"/>
    <x v="3"/>
    <x v="58"/>
    <s v="Coupon"/>
    <s v="Delhivery"/>
    <s v="SEL2785"/>
    <s v="Prime Electronics"/>
    <n v="4"/>
    <s v="2020-07-01"/>
    <n v="0"/>
    <n v="168102"/>
  </r>
  <r>
    <s v="ORD0060"/>
    <s v="Neha Iyer"/>
    <s v="neha.iyer75@gmail.com"/>
    <s v="Pune"/>
    <x v="7"/>
    <s v="Oppo A54"/>
    <s v="2024-05-11"/>
    <s v="2024-05-16"/>
    <x v="0"/>
    <x v="59"/>
    <n v="10"/>
    <x v="0"/>
    <x v="59"/>
    <s v="Coupon"/>
    <s v="ExpressBees"/>
    <s v="SEL9499"/>
    <s v="DigitalMart"/>
    <n v="2.9"/>
    <s v="2018-02-15"/>
    <n v="0"/>
    <n v="0"/>
  </r>
  <r>
    <s v="ORD0061"/>
    <s v="Sanjay Kapoor"/>
    <s v="sanjay.kapoor31@gmail.com"/>
    <s v="Chennai"/>
    <x v="1"/>
    <s v="Vivo X80"/>
    <s v="2022-09-15"/>
    <s v="2022-09-21"/>
    <x v="0"/>
    <x v="60"/>
    <n v="20"/>
    <x v="3"/>
    <x v="60"/>
    <s v="Coupon"/>
    <s v="Delhivery"/>
    <s v="SEL7668"/>
    <s v="Amazons"/>
    <n v="3.4"/>
    <s v="2014-05-20"/>
    <n v="0"/>
    <n v="109232"/>
  </r>
  <r>
    <s v="ORD0062"/>
    <s v="Ravi Rao"/>
    <s v="ravi.rao55@gmail.com"/>
    <s v="Pune"/>
    <x v="6"/>
    <s v="iPhone 13"/>
    <s v="2019-12-01"/>
    <s v="2019-12-03"/>
    <x v="3"/>
    <x v="61"/>
    <n v="5"/>
    <x v="3"/>
    <x v="61"/>
    <s v="Coupon"/>
    <s v="ExpressBees"/>
    <s v="SEL8989"/>
    <s v="BestDeals"/>
    <n v="3.4"/>
    <s v="2019-09-29"/>
    <n v="0"/>
    <n v="347538.5"/>
  </r>
  <r>
    <s v="ORD0063"/>
    <s v="Kiran Gupta"/>
    <s v="kiran.gupta77@gmail.com"/>
    <s v="Bengaluru"/>
    <x v="7"/>
    <s v="Oppo F19"/>
    <s v="2022-11-30"/>
    <s v="2022-12-03"/>
    <x v="3"/>
    <x v="62"/>
    <n v="5"/>
    <x v="2"/>
    <x v="62"/>
    <s v="Coupon"/>
    <s v="ExpressBees"/>
    <s v="SEL6360"/>
    <s v="MegaTech Store"/>
    <n v="3.3"/>
    <s v="2011-05-18"/>
    <n v="0"/>
    <n v="0"/>
  </r>
  <r>
    <s v="ORD0064"/>
    <s v="Ravi Rao"/>
    <s v="ravi.rao43@gmail.com"/>
    <s v="Kochi"/>
    <x v="8"/>
    <s v="Samsung Laptop 5"/>
    <s v="2020-03-17"/>
    <s v="2020-03-23"/>
    <x v="2"/>
    <x v="63"/>
    <n v="0"/>
    <x v="0"/>
    <x v="63"/>
    <s v="Card"/>
    <s v="Ekart"/>
    <s v="SEL4997"/>
    <s v="MegaTech Store"/>
    <n v="3.3"/>
    <s v="2018-10-29"/>
    <n v="0"/>
    <n v="0"/>
  </r>
  <r>
    <s v="ORD0065"/>
    <s v="Pooja Rao"/>
    <s v="pooja.rao94@gmail.com"/>
    <s v="Mumbai"/>
    <x v="10"/>
    <s v="Lifebuoy Soap"/>
    <s v="2024-04-11"/>
    <s v="2024-04-18"/>
    <x v="0"/>
    <x v="64"/>
    <n v="10"/>
    <x v="3"/>
    <x v="64"/>
    <s v="Coupon"/>
    <s v="ExpressBees"/>
    <s v="SEL6897"/>
    <s v="ElectroHub"/>
    <n v="3.4"/>
    <s v="2011-12-31"/>
    <n v="0"/>
    <n v="281851.2"/>
  </r>
  <r>
    <s v="ORD0066"/>
    <s v="Zoya Reddy"/>
    <s v="zoya.reddy18@gmail.com"/>
    <s v="Ahmedabad"/>
    <x v="10"/>
    <s v="Lifebuoy Soap"/>
    <s v="2022-01-09"/>
    <s v="2022-01-15"/>
    <x v="4"/>
    <x v="65"/>
    <n v="10"/>
    <x v="1"/>
    <x v="65"/>
    <s v="COD"/>
    <s v="Delhivery"/>
    <s v="SEL4649"/>
    <s v="DigitalMart"/>
    <n v="3.6"/>
    <s v="2019-09-29"/>
    <n v="3"/>
    <n v="0"/>
  </r>
  <r>
    <s v="ORD0067"/>
    <s v="Zoya Iyer"/>
    <s v="zoya.iyer76@gmail.com"/>
    <s v="Pune"/>
    <x v="8"/>
    <s v="Galaxy M33"/>
    <s v="2019-03-16"/>
    <s v="2019-03-26"/>
    <x v="2"/>
    <x v="66"/>
    <n v="20"/>
    <x v="1"/>
    <x v="66"/>
    <s v="COD"/>
    <s v="BlueDart"/>
    <s v="SEL9291"/>
    <s v="GadgetWorld"/>
    <n v="4.8"/>
    <s v="2014-03-08"/>
    <n v="7"/>
    <n v="0"/>
  </r>
  <r>
    <s v="ORD0068"/>
    <s v="Sanjay Patel"/>
    <s v="sanjay.patel38@gmail.com"/>
    <s v="Kochi"/>
    <x v="7"/>
    <s v="Oppo F19"/>
    <s v="2022-12-20"/>
    <s v="2022-12-26"/>
    <x v="4"/>
    <x v="67"/>
    <n v="20"/>
    <x v="0"/>
    <x v="67"/>
    <s v="UPI"/>
    <s v="ExpressBees"/>
    <s v="SEL4477"/>
    <s v="Prime Electronics"/>
    <n v="4"/>
    <s v="2019-12-16"/>
    <n v="0"/>
    <n v="0"/>
  </r>
  <r>
    <s v="ORD0069"/>
    <s v="Lakshmi Iyer"/>
    <s v="lakshmi.iyer64@gmail.com"/>
    <s v="Hyderabad"/>
    <x v="2"/>
    <s v="ZTE Nubia Z20"/>
    <s v="2024-12-16"/>
    <s v="2024-12-27"/>
    <x v="2"/>
    <x v="68"/>
    <n v="10"/>
    <x v="2"/>
    <x v="68"/>
    <s v="Card"/>
    <s v="ExpressBees"/>
    <s v="SEL8242"/>
    <s v="DigitalMart"/>
    <n v="2.9"/>
    <s v="2018-11-21"/>
    <n v="0"/>
    <n v="0"/>
  </r>
  <r>
    <s v="ORD0070"/>
    <s v="Neha Iyer"/>
    <s v="neha.iyer53@gmail.com"/>
    <s v="Delhi"/>
    <x v="4"/>
    <s v="HTC Desire 12"/>
    <s v="2022-09-01"/>
    <s v="2022-09-07"/>
    <x v="2"/>
    <x v="69"/>
    <n v="0"/>
    <x v="3"/>
    <x v="69"/>
    <s v="UPI"/>
    <s v="BlueDart"/>
    <s v="SEL1356"/>
    <s v="Amazons"/>
    <n v="3.4"/>
    <s v="2015-06-28"/>
    <n v="0"/>
    <n v="49974"/>
  </r>
  <r>
    <s v="ORD0071"/>
    <s v="Divya Gupta"/>
    <s v="divya.gupta46@gmail.com"/>
    <s v="Chennai"/>
    <x v="5"/>
    <s v="Alienware M15"/>
    <s v="2024-09-02"/>
    <s v="2024-09-12"/>
    <x v="4"/>
    <x v="70"/>
    <n v="20"/>
    <x v="1"/>
    <x v="70"/>
    <s v="Coupon"/>
    <s v="Delhivery"/>
    <s v="SEL3115"/>
    <s v="BestDeals"/>
    <n v="3.4"/>
    <s v="2017-08-10"/>
    <n v="9"/>
    <n v="0"/>
  </r>
  <r>
    <s v="ORD0072"/>
    <s v="Arjun Verma"/>
    <s v="arjun.verma88@gmail.com"/>
    <s v="Pune"/>
    <x v="11"/>
    <s v="Nikon CoolPix"/>
    <s v="2022-06-03"/>
    <s v="2022-06-06"/>
    <x v="0"/>
    <x v="71"/>
    <n v="5"/>
    <x v="1"/>
    <x v="71"/>
    <s v="Card"/>
    <s v="ExpressBees"/>
    <s v="SEL2187"/>
    <s v="MegaTech Store"/>
    <n v="3.3"/>
    <s v="2015-10-18"/>
    <n v="3"/>
    <n v="0"/>
  </r>
  <r>
    <s v="ORD0073"/>
    <s v="Hitesh Verma"/>
    <s v="hitesh.verma81@gmail.com"/>
    <s v="Hyderabad"/>
    <x v="4"/>
    <s v="HTC One M9"/>
    <s v="2024-07-01"/>
    <s v="2024-07-10"/>
    <x v="3"/>
    <x v="72"/>
    <n v="15"/>
    <x v="0"/>
    <x v="72"/>
    <s v="Card"/>
    <s v="BlueDart"/>
    <s v="SEL5702"/>
    <s v="MegaTech Store"/>
    <n v="3.3"/>
    <s v="2016-04-04"/>
    <n v="0"/>
    <n v="0"/>
  </r>
  <r>
    <s v="ORD0074"/>
    <s v="Kiran Reddy"/>
    <s v="kiran.reddy17@gmail.com"/>
    <s v="Bengaluru"/>
    <x v="6"/>
    <s v="MacBook Pro"/>
    <s v="2019-08-28"/>
    <s v="2019-09-04"/>
    <x v="3"/>
    <x v="73"/>
    <n v="15"/>
    <x v="0"/>
    <x v="73"/>
    <s v="COD"/>
    <s v="Delhivery"/>
    <s v="SEL5013"/>
    <s v="ElectroHub"/>
    <n v="3.4"/>
    <s v="2020-01-14"/>
    <n v="0"/>
    <n v="0"/>
  </r>
  <r>
    <s v="ORD0075"/>
    <s v="Neha Rao"/>
    <s v="neha.rao33@gmail.com"/>
    <s v="Kochi"/>
    <x v="12"/>
    <s v="Godrej AC"/>
    <s v="2019-04-11"/>
    <s v="2019-04-16"/>
    <x v="4"/>
    <x v="74"/>
    <n v="15"/>
    <x v="1"/>
    <x v="74"/>
    <s v="Card"/>
    <s v="Ekart"/>
    <s v="SEL5096"/>
    <s v="DigitalMart"/>
    <n v="3.6"/>
    <s v="2015-07-31"/>
    <n v="4"/>
    <n v="0"/>
  </r>
  <r>
    <s v="ORD0076"/>
    <s v="Ravi Verma"/>
    <s v="ravi.verma62@gmail.com"/>
    <s v="Chennai"/>
    <x v="11"/>
    <s v="Nikon D3500"/>
    <s v="2019-07-07"/>
    <s v="2019-07-10"/>
    <x v="3"/>
    <x v="75"/>
    <n v="0"/>
    <x v="1"/>
    <x v="75"/>
    <s v="UPI"/>
    <s v="BlueDart"/>
    <s v="SEL8344"/>
    <s v="GadgetWorld"/>
    <n v="4.8"/>
    <s v="2017-08-30"/>
    <n v="10"/>
    <n v="0"/>
  </r>
  <r>
    <s v="ORD0077"/>
    <s v="Neha Verma"/>
    <s v="neha.verma69@gmail.com"/>
    <s v="Pune"/>
    <x v="0"/>
    <s v="Mi TV 4A"/>
    <s v="2020-02-22"/>
    <s v="2020-03-03"/>
    <x v="2"/>
    <x v="76"/>
    <n v="20"/>
    <x v="1"/>
    <x v="76"/>
    <s v="Card"/>
    <s v="Delhivery"/>
    <s v="SEL4947"/>
    <s v="Prime Electronics"/>
    <n v="4"/>
    <s v="2010-03-24"/>
    <n v="10"/>
    <n v="0"/>
  </r>
  <r>
    <s v="ORD0078"/>
    <s v="Arjun Patel"/>
    <s v="arjun.patel56@gmail.com"/>
    <s v="Pune"/>
    <x v="11"/>
    <s v="Nikon CoolPix"/>
    <s v="2020-01-28"/>
    <s v="2020-02-02"/>
    <x v="2"/>
    <x v="77"/>
    <n v="5"/>
    <x v="1"/>
    <x v="77"/>
    <s v="COD"/>
    <s v="Ekart"/>
    <s v="SEL9866"/>
    <s v="DigitalMart"/>
    <n v="2.9"/>
    <s v="2020-03-19"/>
    <n v="9"/>
    <n v="0"/>
  </r>
  <r>
    <s v="ORD0079"/>
    <s v="Arjun Gupta"/>
    <s v="arjun.gupta49@gmail.com"/>
    <s v="Delhi"/>
    <x v="4"/>
    <s v="HTC Desire 12"/>
    <s v="2024-04-10"/>
    <s v="2024-04-17"/>
    <x v="2"/>
    <x v="78"/>
    <n v="10"/>
    <x v="3"/>
    <x v="78"/>
    <s v="Coupon"/>
    <s v="ExpressBees"/>
    <s v="SEL5239"/>
    <s v="Amazons"/>
    <n v="3.4"/>
    <s v="2015-01-12"/>
    <n v="0"/>
    <n v="154184.4"/>
  </r>
  <r>
    <s v="ORD0080"/>
    <s v="Hitesh Verma"/>
    <s v="hitesh.verma73@gmail.com"/>
    <s v="Hyderabad"/>
    <x v="12"/>
    <s v="Godrej AC"/>
    <s v="2023-08-24"/>
    <s v="2023-08-29"/>
    <x v="4"/>
    <x v="79"/>
    <n v="20"/>
    <x v="3"/>
    <x v="79"/>
    <s v="UPI"/>
    <s v="Ekart"/>
    <s v="SEL7564"/>
    <s v="BestDeals"/>
    <n v="3.4"/>
    <s v="2012-05-04"/>
    <n v="0"/>
    <n v="11731.2"/>
  </r>
  <r>
    <s v="ORD0081"/>
    <s v="Kiran Patel"/>
    <s v="kiran.patel63@gmail.com"/>
    <s v="Hyderabad"/>
    <x v="1"/>
    <s v="Vivo Y21"/>
    <s v="2021-06-07"/>
    <s v="2021-06-16"/>
    <x v="2"/>
    <x v="80"/>
    <n v="15"/>
    <x v="3"/>
    <x v="80"/>
    <s v="Card"/>
    <s v="Ekart"/>
    <s v="SEL8961"/>
    <s v="MegaTech Store"/>
    <n v="3.3"/>
    <s v="2019-07-13"/>
    <n v="0"/>
    <n v="165251.9"/>
  </r>
  <r>
    <s v="ORD0082"/>
    <s v="Lakshmi Reddy"/>
    <s v="lakshmi.reddy65@gmail.com"/>
    <s v="Ahmedabad"/>
    <x v="4"/>
    <s v="HTC One M9"/>
    <s v="2021-09-12"/>
    <s v="2021-09-21"/>
    <x v="1"/>
    <x v="81"/>
    <n v="0"/>
    <x v="1"/>
    <x v="81"/>
    <s v="COD"/>
    <s v="ExpressBees"/>
    <s v="SEL6602"/>
    <s v="MegaTech Store"/>
    <n v="3.3"/>
    <s v="2012-09-22"/>
    <n v="4"/>
    <n v="0"/>
  </r>
  <r>
    <s v="ORD0083"/>
    <s v="Neha Verma"/>
    <s v="neha.verma41@gmail.com"/>
    <s v="Delhi"/>
    <x v="1"/>
    <s v="Vivo V20"/>
    <s v="2022-12-15"/>
    <s v="2022-12-19"/>
    <x v="2"/>
    <x v="82"/>
    <n v="15"/>
    <x v="1"/>
    <x v="82"/>
    <s v="Card"/>
    <s v="Ekart"/>
    <s v="SEL1393"/>
    <s v="ElectroHub"/>
    <n v="3.4"/>
    <s v="2020-05-03"/>
    <n v="5"/>
    <n v="0"/>
  </r>
  <r>
    <s v="ORD0084"/>
    <s v="Hitesh Reddy"/>
    <s v="hitesh.reddy31@gmail.com"/>
    <s v="Kochi"/>
    <x v="6"/>
    <s v="AirPods Pro"/>
    <s v="2024-03-14"/>
    <s v="2024-03-23"/>
    <x v="1"/>
    <x v="83"/>
    <n v="0"/>
    <x v="0"/>
    <x v="83"/>
    <s v="UPI"/>
    <s v="ExpressBees"/>
    <s v="SEL4032"/>
    <s v="DigitalMart"/>
    <n v="3.6"/>
    <s v="2013-07-03"/>
    <n v="0"/>
    <n v="0"/>
  </r>
  <r>
    <s v="ORD0085"/>
    <s v="Arjun Reddy"/>
    <s v="arjun.reddy50@gmail.com"/>
    <s v="Chennai"/>
    <x v="9"/>
    <s v="Sony Home Theater"/>
    <s v="2021-01-18"/>
    <s v="2021-01-27"/>
    <x v="3"/>
    <x v="84"/>
    <n v="15"/>
    <x v="3"/>
    <x v="84"/>
    <s v="Coupon"/>
    <s v="BlueDart"/>
    <s v="SEL6640"/>
    <s v="GadgetWorld"/>
    <n v="4.8"/>
    <s v="2019-01-03"/>
    <n v="0"/>
    <n v="343051.5"/>
  </r>
  <r>
    <s v="ORD0086"/>
    <s v="Manoj Patel"/>
    <s v="manoj.patel42@gmail.com"/>
    <s v="Mumbai"/>
    <x v="5"/>
    <s v="Alienware M15"/>
    <s v="2024-06-07"/>
    <s v="2024-06-11"/>
    <x v="1"/>
    <x v="85"/>
    <n v="10"/>
    <x v="0"/>
    <x v="85"/>
    <s v="COD"/>
    <s v="ExpressBees"/>
    <s v="SEL1146"/>
    <s v="Prime Electronics"/>
    <n v="4"/>
    <s v="2019-11-23"/>
    <n v="0"/>
    <n v="0"/>
  </r>
  <r>
    <s v="ORD0087"/>
    <s v="Amit Rao"/>
    <s v="amit.rao43@gmail.com"/>
    <s v="Pune"/>
    <x v="4"/>
    <s v="HTC Desire 12"/>
    <s v="2024-11-10"/>
    <s v="2024-11-19"/>
    <x v="4"/>
    <x v="86"/>
    <n v="10"/>
    <x v="2"/>
    <x v="86"/>
    <s v="Coupon"/>
    <s v="Delhivery"/>
    <s v="SEL1329"/>
    <s v="DigitalMart"/>
    <n v="2.9"/>
    <s v="2011-01-29"/>
    <n v="0"/>
    <n v="0"/>
  </r>
  <r>
    <s v="ORD0088"/>
    <s v="Ravi Reddy"/>
    <s v="ravi.reddy80@gmail.com"/>
    <s v="Kochi"/>
    <x v="8"/>
    <s v="Galaxy S21"/>
    <s v="2019-07-19"/>
    <s v="2019-07-21"/>
    <x v="2"/>
    <x v="87"/>
    <n v="5"/>
    <x v="0"/>
    <x v="87"/>
    <s v="COD"/>
    <s v="Ekart"/>
    <s v="SEL9013"/>
    <s v="Amazons"/>
    <n v="3.4"/>
    <s v="2013-05-08"/>
    <n v="0"/>
    <n v="0"/>
  </r>
  <r>
    <s v="ORD0089"/>
    <s v="Kiran Verma"/>
    <s v="kiran.verma26@gmail.com"/>
    <s v="Chennai"/>
    <x v="1"/>
    <s v="Vivo X80"/>
    <s v="2021-12-23"/>
    <s v="2022-01-01"/>
    <x v="1"/>
    <x v="88"/>
    <n v="10"/>
    <x v="0"/>
    <x v="88"/>
    <s v="Card"/>
    <s v="ExpressBees"/>
    <s v="SEL4056"/>
    <s v="BestDeals"/>
    <n v="3.4"/>
    <s v="2020-12-03"/>
    <n v="0"/>
    <n v="0"/>
  </r>
  <r>
    <s v="ORD0090"/>
    <s v="Sanjay Patel"/>
    <s v="sanjay.patel11@gmail.com"/>
    <s v="Hyderabad"/>
    <x v="3"/>
    <s v="LG Washing Machine"/>
    <s v="2023-01-07"/>
    <s v="2023-01-14"/>
    <x v="3"/>
    <x v="89"/>
    <n v="15"/>
    <x v="2"/>
    <x v="89"/>
    <s v="Coupon"/>
    <s v="ExpressBees"/>
    <s v="SEL1024"/>
    <s v="MegaTech Store"/>
    <n v="3.3"/>
    <s v="2011-10-22"/>
    <n v="0"/>
    <n v="0"/>
  </r>
  <r>
    <s v="ORD0091"/>
    <s v="Divya Kapoor"/>
    <s v="divya.kapoor50@gmail.com"/>
    <s v="Pune"/>
    <x v="6"/>
    <s v="MacBook Air"/>
    <s v="2020-10-11"/>
    <s v="2020-10-23"/>
    <x v="2"/>
    <x v="90"/>
    <n v="0"/>
    <x v="3"/>
    <x v="90"/>
    <s v="Coupon"/>
    <s v="ExpressBees"/>
    <s v="SEL3058"/>
    <s v="MegaTech Store"/>
    <n v="3.3"/>
    <s v="2017-05-28"/>
    <n v="0"/>
    <n v="177544"/>
  </r>
  <r>
    <s v="ORD0092"/>
    <s v="Amit Verma"/>
    <s v="amit.verma33@gmail.com"/>
    <s v="Pune"/>
    <x v="1"/>
    <s v="Vivo Y21"/>
    <s v="2021-02-26"/>
    <s v="2021-03-07"/>
    <x v="0"/>
    <x v="91"/>
    <n v="0"/>
    <x v="1"/>
    <x v="91"/>
    <s v="UPI"/>
    <s v="Ekart"/>
    <s v="SEL3389"/>
    <s v="ElectroHub"/>
    <n v="3.4"/>
    <s v="2020-06-02"/>
    <n v="7"/>
    <n v="0"/>
  </r>
  <r>
    <s v="ORD0093"/>
    <s v="Kiran Kapoor"/>
    <s v="kiran.kapoor67@gmail.com"/>
    <s v="Kochi"/>
    <x v="1"/>
    <s v="Vivo V20"/>
    <s v="2019-06-09"/>
    <s v="2019-06-17"/>
    <x v="1"/>
    <x v="92"/>
    <n v="10"/>
    <x v="0"/>
    <x v="92"/>
    <s v="Coupon"/>
    <s v="BlueDart"/>
    <s v="SEL1115"/>
    <s v="DigitalMart"/>
    <n v="3.6"/>
    <s v="2010-05-11"/>
    <n v="0"/>
    <n v="0"/>
  </r>
  <r>
    <s v="ORD0094"/>
    <s v="Amit Verma"/>
    <s v="amit.verma92@gmail.com"/>
    <s v="Chennai"/>
    <x v="2"/>
    <s v="ZTE Nubia Z20"/>
    <s v="2022-02-28"/>
    <s v="2022-03-04"/>
    <x v="1"/>
    <x v="93"/>
    <n v="20"/>
    <x v="1"/>
    <x v="93"/>
    <s v="UPI"/>
    <s v="BlueDart"/>
    <s v="SEL4569"/>
    <s v="GadgetWorld"/>
    <n v="4.8"/>
    <s v="2010-01-02"/>
    <n v="7"/>
    <n v="0"/>
  </r>
  <r>
    <s v="ORD0095"/>
    <s v="Kiran Rao"/>
    <s v="kiran.rao97@gmail.com"/>
    <s v="Bengaluru"/>
    <x v="11"/>
    <s v="Nikon CoolPix"/>
    <s v="2020-03-05"/>
    <s v="2020-03-13"/>
    <x v="1"/>
    <x v="94"/>
    <n v="20"/>
    <x v="2"/>
    <x v="94"/>
    <s v="UPI"/>
    <s v="ExpressBees"/>
    <s v="SEL5202"/>
    <s v="Prime Electronics"/>
    <n v="4"/>
    <s v="2020-09-25"/>
    <n v="0"/>
    <n v="0"/>
  </r>
  <r>
    <s v="ORD0096"/>
    <s v="Ravi Reddy"/>
    <s v="ravi.reddy40@gmail.com"/>
    <s v="Ahmedabad"/>
    <x v="8"/>
    <s v="Galaxy Tab A8"/>
    <s v="2021-01-26"/>
    <s v="2021-02-03"/>
    <x v="1"/>
    <x v="95"/>
    <n v="20"/>
    <x v="3"/>
    <x v="95"/>
    <s v="UPI"/>
    <s v="Ekart"/>
    <s v="SEL4481"/>
    <s v="DigitalMart"/>
    <n v="2.9"/>
    <s v="2016-03-21"/>
    <n v="0"/>
    <n v="26080.799999999999"/>
  </r>
  <r>
    <s v="ORD0097"/>
    <s v="Kiran Gupta"/>
    <s v="kiran.gupta29@gmail.com"/>
    <s v="Pune"/>
    <x v="11"/>
    <s v="Nikon CoolPix"/>
    <s v="2021-02-19"/>
    <s v="2021-03-02"/>
    <x v="2"/>
    <x v="96"/>
    <n v="0"/>
    <x v="0"/>
    <x v="96"/>
    <s v="COD"/>
    <s v="Delhivery"/>
    <s v="SEL7403"/>
    <s v="Amazons"/>
    <n v="3.4"/>
    <s v="2012-03-18"/>
    <n v="0"/>
    <n v="0"/>
  </r>
  <r>
    <s v="ORD0098"/>
    <s v="Kiran Rao"/>
    <s v="kiran.rao92@gmail.com"/>
    <s v="Hyderabad"/>
    <x v="9"/>
    <s v="Sony Bravia 50"/>
    <s v="2022-12-07"/>
    <s v="2022-12-12"/>
    <x v="0"/>
    <x v="97"/>
    <n v="10"/>
    <x v="0"/>
    <x v="97"/>
    <s v="Coupon"/>
    <s v="Ekart"/>
    <s v="SEL6768"/>
    <s v="BestDeals"/>
    <n v="3.4"/>
    <s v="2013-11-25"/>
    <n v="0"/>
    <n v="0"/>
  </r>
  <r>
    <s v="ORD0099"/>
    <s v="Pooja Sharma"/>
    <s v="pooja.sharma94@gmail.com"/>
    <s v="Kochi"/>
    <x v="0"/>
    <s v="Mi Soundbar"/>
    <s v="2019-01-12"/>
    <s v="2019-01-20"/>
    <x v="0"/>
    <x v="98"/>
    <n v="15"/>
    <x v="2"/>
    <x v="98"/>
    <s v="Card"/>
    <s v="ExpressBees"/>
    <s v="SEL4948"/>
    <s v="MegaTech Store"/>
    <n v="3.3"/>
    <s v="2016-09-15"/>
    <n v="0"/>
    <n v="0"/>
  </r>
  <r>
    <s v="ORD0100"/>
    <s v="Sanjay Rao"/>
    <s v="sanjay.rao26@gmail.com"/>
    <s v="Kochi"/>
    <x v="12"/>
    <s v="Godrej AC"/>
    <s v="2021-10-20"/>
    <s v="2021-10-24"/>
    <x v="1"/>
    <x v="99"/>
    <n v="20"/>
    <x v="3"/>
    <x v="99"/>
    <s v="Card"/>
    <s v="BlueDart"/>
    <s v="SEL5248"/>
    <s v="MegaTech Store"/>
    <n v="3.3"/>
    <s v="2015-02-12"/>
    <n v="0"/>
    <n v="5563.2"/>
  </r>
  <r>
    <s v="ORD0101"/>
    <s v="Hitesh Rao"/>
    <s v="hitesh.rao70@gmail.com"/>
    <s v="Mumbai"/>
    <x v="6"/>
    <s v="AirPods Pro"/>
    <s v="2021-06-02"/>
    <s v="2021-06-05"/>
    <x v="0"/>
    <x v="100"/>
    <n v="15"/>
    <x v="0"/>
    <x v="100"/>
    <s v="COD"/>
    <s v="BlueDart"/>
    <s v="SEL2976"/>
    <s v="ElectroHub"/>
    <n v="3.4"/>
    <s v="2011-08-23"/>
    <n v="0"/>
    <n v="0"/>
  </r>
  <r>
    <s v="ORD0102"/>
    <s v="Neha Reddy"/>
    <s v="neha.reddy48@gmail.com"/>
    <s v="Pune"/>
    <x v="9"/>
    <s v="Sony Bravia 50"/>
    <s v="2019-09-16"/>
    <s v="2019-09-22"/>
    <x v="2"/>
    <x v="101"/>
    <n v="5"/>
    <x v="1"/>
    <x v="101"/>
    <s v="COD"/>
    <s v="Ekart"/>
    <s v="SEL7324"/>
    <s v="DigitalMart"/>
    <n v="3.6"/>
    <s v="2011-09-18"/>
    <n v="8"/>
    <n v="0"/>
  </r>
  <r>
    <s v="ORD0103"/>
    <s v="Kiran Rao"/>
    <s v="kiran.rao68@gmail.com"/>
    <s v="Delhi"/>
    <x v="8"/>
    <s v="Galaxy S21"/>
    <s v="2022-02-28"/>
    <s v="2022-03-07"/>
    <x v="0"/>
    <x v="102"/>
    <n v="20"/>
    <x v="2"/>
    <x v="102"/>
    <s v="COD"/>
    <s v="BlueDart"/>
    <s v="SEL1004"/>
    <s v="GadgetWorld"/>
    <n v="4.8"/>
    <s v="2018-10-26"/>
    <n v="0"/>
    <n v="0"/>
  </r>
  <r>
    <s v="ORD0104"/>
    <s v="Pooja Patel"/>
    <s v="pooja.patel66@gmail.com"/>
    <s v="Delhi"/>
    <x v="3"/>
    <s v="LG AC 1.5T"/>
    <s v="2023-10-12"/>
    <s v="2023-10-16"/>
    <x v="0"/>
    <x v="103"/>
    <n v="10"/>
    <x v="0"/>
    <x v="103"/>
    <s v="UPI"/>
    <s v="Ekart"/>
    <s v="SEL3275"/>
    <s v="Prime Electronics"/>
    <n v="4"/>
    <s v="2013-06-26"/>
    <n v="0"/>
    <n v="0"/>
  </r>
  <r>
    <s v="ORD0105"/>
    <s v="Hitesh Iyer"/>
    <s v="hitesh.iyer28@gmail.com"/>
    <s v="Chennai"/>
    <x v="6"/>
    <s v="iPhone 11"/>
    <s v="2019-08-16"/>
    <s v="2019-08-25"/>
    <x v="3"/>
    <x v="104"/>
    <n v="0"/>
    <x v="2"/>
    <x v="104"/>
    <s v="COD"/>
    <s v="Ekart"/>
    <s v="SEL9817"/>
    <s v="DigitalMart"/>
    <n v="2.9"/>
    <s v="2010-03-01"/>
    <n v="0"/>
    <n v="0"/>
  </r>
  <r>
    <s v="ORD0106"/>
    <s v="Lakshmi Kapoor"/>
    <s v="lakshmi.kapoor49@gmail.com"/>
    <s v="Hyderabad"/>
    <x v="12"/>
    <s v="Godrej AC"/>
    <s v="2020-06-12"/>
    <s v="2020-06-16"/>
    <x v="4"/>
    <x v="105"/>
    <n v="0"/>
    <x v="3"/>
    <x v="105"/>
    <s v="Card"/>
    <s v="BlueDart"/>
    <s v="SEL4947"/>
    <s v="Amazons"/>
    <n v="3.4"/>
    <s v="2019-02-14"/>
    <n v="0"/>
    <n v="358539"/>
  </r>
  <r>
    <s v="ORD0107"/>
    <s v="Neha Gupta"/>
    <s v="neha.gupta23@gmail.com"/>
    <s v="Mumbai"/>
    <x v="9"/>
    <s v="Sony Speaker HT"/>
    <s v="2021-05-20"/>
    <s v="2021-05-22"/>
    <x v="3"/>
    <x v="106"/>
    <n v="0"/>
    <x v="1"/>
    <x v="106"/>
    <s v="UPI"/>
    <s v="ExpressBees"/>
    <s v="SEL8019"/>
    <s v="BestDeals"/>
    <n v="3.4"/>
    <s v="2013-08-12"/>
    <n v="9"/>
    <n v="0"/>
  </r>
  <r>
    <s v="ORD0108"/>
    <s v="Lakshmi Rao"/>
    <s v="lakshmi.rao63@gmail.com"/>
    <s v="Bengaluru"/>
    <x v="2"/>
    <s v="ZTE Nubia Z20"/>
    <s v="2021-06-04"/>
    <s v="2021-06-15"/>
    <x v="4"/>
    <x v="107"/>
    <n v="15"/>
    <x v="0"/>
    <x v="107"/>
    <s v="COD"/>
    <s v="BlueDart"/>
    <s v="SEL1048"/>
    <s v="MegaTech Store"/>
    <n v="3.3"/>
    <s v="2015-11-28"/>
    <n v="0"/>
    <n v="0"/>
  </r>
  <r>
    <s v="ORD0109"/>
    <s v="Zoya Gupta"/>
    <s v="zoya.gupta84@gmail.com"/>
    <s v="Delhi"/>
    <x v="8"/>
    <s v="Samsung 55 TV"/>
    <s v="2023-08-17"/>
    <s v="2023-08-22"/>
    <x v="3"/>
    <x v="108"/>
    <n v="5"/>
    <x v="2"/>
    <x v="108"/>
    <s v="Coupon"/>
    <s v="BlueDart"/>
    <s v="SEL9359"/>
    <s v="MegaTech Store"/>
    <n v="3.3"/>
    <s v="2012-12-27"/>
    <n v="0"/>
    <n v="0"/>
  </r>
  <r>
    <s v="ORD0110"/>
    <s v="Zoya Sharma"/>
    <s v="zoya.sharma25@gmail.com"/>
    <s v="Hyderabad"/>
    <x v="3"/>
    <s v="LG Washing Machine"/>
    <s v="2021-03-29"/>
    <s v="2021-04-04"/>
    <x v="1"/>
    <x v="109"/>
    <n v="0"/>
    <x v="3"/>
    <x v="109"/>
    <s v="Card"/>
    <s v="Delhivery"/>
    <s v="SEL4212"/>
    <s v="ElectroHub"/>
    <n v="3.4"/>
    <s v="2012-07-19"/>
    <n v="0"/>
    <n v="87019"/>
  </r>
  <r>
    <s v="ORD0111"/>
    <s v="Arjun Iyer"/>
    <s v="arjun.iyer15@gmail.com"/>
    <s v="Chennai"/>
    <x v="7"/>
    <s v="Oppo F19"/>
    <s v="2024-04-03"/>
    <s v="2024-04-15"/>
    <x v="1"/>
    <x v="110"/>
    <n v="10"/>
    <x v="3"/>
    <x v="110"/>
    <s v="Coupon"/>
    <s v="Delhivery"/>
    <s v="SEL7147"/>
    <s v="DigitalMart"/>
    <n v="3.6"/>
    <s v="2014-05-07"/>
    <n v="0"/>
    <n v="59668.2"/>
  </r>
  <r>
    <s v="ORD0112"/>
    <s v="Manoj Kapoor"/>
    <s v="manoj.kapoor85@gmail.com"/>
    <s v="Pune"/>
    <x v="10"/>
    <s v="Dove Shampoo"/>
    <s v="2019-06-11"/>
    <s v="2019-06-18"/>
    <x v="0"/>
    <x v="111"/>
    <n v="10"/>
    <x v="0"/>
    <x v="111"/>
    <s v="Coupon"/>
    <s v="Ekart"/>
    <s v="SEL5411"/>
    <s v="GadgetWorld"/>
    <n v="4.8"/>
    <s v="2010-04-28"/>
    <n v="0"/>
    <n v="0"/>
  </r>
  <r>
    <s v="ORD0113"/>
    <s v="Kiran Rao"/>
    <s v="kiran.rao26@gmail.com"/>
    <s v="Pune"/>
    <x v="0"/>
    <s v="Mi Soundbar"/>
    <s v="2023-03-18"/>
    <s v="2023-03-20"/>
    <x v="2"/>
    <x v="112"/>
    <n v="15"/>
    <x v="1"/>
    <x v="112"/>
    <s v="UPI"/>
    <s v="ExpressBees"/>
    <s v="SEL6618"/>
    <s v="Prime Electronics"/>
    <n v="4"/>
    <s v="2018-04-30"/>
    <n v="5"/>
    <n v="0"/>
  </r>
  <r>
    <s v="ORD0114"/>
    <s v="Divya Reddy"/>
    <s v="divya.reddy67@gmail.com"/>
    <s v="Delhi"/>
    <x v="6"/>
    <s v="MacBook Pro"/>
    <s v="2022-10-21"/>
    <s v="2022-10-27"/>
    <x v="4"/>
    <x v="113"/>
    <n v="15"/>
    <x v="1"/>
    <x v="113"/>
    <s v="COD"/>
    <s v="Ekart"/>
    <s v="SEL7643"/>
    <s v="DigitalMart"/>
    <n v="2.9"/>
    <s v="2014-12-23"/>
    <n v="4"/>
    <n v="0"/>
  </r>
  <r>
    <s v="ORD0115"/>
    <s v="Hitesh Sharma"/>
    <s v="hitesh.sharma80@gmail.com"/>
    <s v="Mumbai"/>
    <x v="4"/>
    <s v="HTC Desire 12"/>
    <s v="2024-11-29"/>
    <s v="2024-12-09"/>
    <x v="4"/>
    <x v="114"/>
    <n v="0"/>
    <x v="1"/>
    <x v="114"/>
    <s v="COD"/>
    <s v="Ekart"/>
    <s v="SEL9081"/>
    <s v="Amazons"/>
    <n v="3.4"/>
    <s v="2019-08-23"/>
    <n v="3"/>
    <n v="0"/>
  </r>
  <r>
    <s v="ORD0116"/>
    <s v="Manoj Gupta"/>
    <s v="manoj.gupta98@gmail.com"/>
    <s v="Delhi"/>
    <x v="2"/>
    <s v="ZTE Nubia Z20"/>
    <s v="2020-10-01"/>
    <s v="2020-10-07"/>
    <x v="2"/>
    <x v="115"/>
    <n v="10"/>
    <x v="2"/>
    <x v="115"/>
    <s v="Coupon"/>
    <s v="Delhivery"/>
    <s v="SEL3739"/>
    <s v="BestDeals"/>
    <n v="3.4"/>
    <s v="2014-08-31"/>
    <n v="0"/>
    <n v="0"/>
  </r>
  <r>
    <s v="ORD0117"/>
    <s v="Kiran Gupta"/>
    <s v="kiran.gupta76@gmail.com"/>
    <s v="Pune"/>
    <x v="7"/>
    <s v="Oppo F19"/>
    <s v="2019-06-30"/>
    <s v="2019-07-06"/>
    <x v="0"/>
    <x v="116"/>
    <n v="10"/>
    <x v="1"/>
    <x v="116"/>
    <s v="COD"/>
    <s v="ExpressBees"/>
    <s v="SEL6931"/>
    <s v="MegaTech Store"/>
    <n v="3.3"/>
    <s v="2012-01-12"/>
    <n v="8"/>
    <n v="0"/>
  </r>
  <r>
    <s v="ORD0118"/>
    <s v="Kiran Gupta"/>
    <s v="kiran.gupta28@gmail.com"/>
    <s v="Mumbai"/>
    <x v="6"/>
    <s v="MacBook Pro"/>
    <s v="2021-12-25"/>
    <s v="2021-12-31"/>
    <x v="3"/>
    <x v="117"/>
    <n v="10"/>
    <x v="3"/>
    <x v="117"/>
    <s v="UPI"/>
    <s v="Delhivery"/>
    <s v="SEL7958"/>
    <s v="MegaTech Store"/>
    <n v="3.3"/>
    <s v="2017-02-12"/>
    <n v="0"/>
    <n v="511047"/>
  </r>
  <r>
    <s v="ORD0119"/>
    <s v="Ravi Verma"/>
    <s v="ravi.verma17@gmail.com"/>
    <s v="Chennai"/>
    <x v="8"/>
    <s v="Samsung Laptop 5"/>
    <s v="2024-02-02"/>
    <s v="2024-02-04"/>
    <x v="2"/>
    <x v="118"/>
    <n v="0"/>
    <x v="2"/>
    <x v="118"/>
    <s v="Coupon"/>
    <s v="Delhivery"/>
    <s v="SEL8644"/>
    <s v="ElectroHub"/>
    <n v="3.4"/>
    <s v="2017-09-21"/>
    <n v="0"/>
    <n v="0"/>
  </r>
  <r>
    <s v="ORD0120"/>
    <s v="Pooja Verma"/>
    <s v="pooja.verma42@gmail.com"/>
    <s v="Mumbai"/>
    <x v="0"/>
    <s v="Mi Speaker"/>
    <s v="2023-05-10"/>
    <s v="2023-05-15"/>
    <x v="3"/>
    <x v="119"/>
    <n v="0"/>
    <x v="3"/>
    <x v="119"/>
    <s v="UPI"/>
    <s v="Ekart"/>
    <s v="SEL3279"/>
    <s v="DigitalMart"/>
    <n v="3.6"/>
    <s v="2015-11-03"/>
    <n v="0"/>
    <n v="525995"/>
  </r>
  <r>
    <s v="ORD0121"/>
    <s v="Sanjay Patel"/>
    <s v="sanjay.patel86@gmail.com"/>
    <s v="Hyderabad"/>
    <x v="9"/>
    <s v="Sony Speaker HT"/>
    <s v="2020-06-16"/>
    <s v="2020-06-23"/>
    <x v="2"/>
    <x v="120"/>
    <n v="0"/>
    <x v="2"/>
    <x v="120"/>
    <s v="Coupon"/>
    <s v="Ekart"/>
    <s v="SEL1033"/>
    <s v="GadgetWorld"/>
    <n v="4.8"/>
    <s v="2010-12-02"/>
    <n v="0"/>
    <n v="0"/>
  </r>
  <r>
    <s v="ORD0122"/>
    <s v="Neha Verma"/>
    <s v="neha.verma29@gmail.com"/>
    <s v="Delhi"/>
    <x v="5"/>
    <s v="Latitude 3420"/>
    <s v="2024-07-07"/>
    <s v="2024-07-12"/>
    <x v="3"/>
    <x v="121"/>
    <n v="15"/>
    <x v="0"/>
    <x v="121"/>
    <s v="Card"/>
    <s v="Delhivery"/>
    <s v="SEL3986"/>
    <s v="Prime Electronics"/>
    <n v="4"/>
    <s v="2015-02-14"/>
    <n v="0"/>
    <n v="0"/>
  </r>
  <r>
    <s v="ORD0123"/>
    <s v="Lakshmi Reddy"/>
    <s v="lakshmi.reddy45@gmail.com"/>
    <s v="Kochi"/>
    <x v="11"/>
    <s v="Nikon D5600"/>
    <s v="2022-01-18"/>
    <s v="2022-01-25"/>
    <x v="4"/>
    <x v="122"/>
    <n v="5"/>
    <x v="2"/>
    <x v="122"/>
    <s v="COD"/>
    <s v="ExpressBees"/>
    <s v="SEL3543"/>
    <s v="DigitalMart"/>
    <n v="2.9"/>
    <s v="2010-07-12"/>
    <n v="0"/>
    <n v="0"/>
  </r>
  <r>
    <s v="ORD0124"/>
    <s v="Amit Verma"/>
    <s v="amit.verma87@gmail.com"/>
    <s v="Chennai"/>
    <x v="12"/>
    <s v="Godrej Fridge"/>
    <s v="2021-11-03"/>
    <s v="2021-11-06"/>
    <x v="0"/>
    <x v="123"/>
    <n v="5"/>
    <x v="1"/>
    <x v="123"/>
    <s v="Card"/>
    <s v="Delhivery"/>
    <s v="SEL5428"/>
    <s v="Amazons"/>
    <n v="3.4"/>
    <s v="2012-02-04"/>
    <n v="10"/>
    <n v="0"/>
  </r>
  <r>
    <s v="ORD0125"/>
    <s v="Amit Iyer"/>
    <s v="amit.iyer49@gmail.com"/>
    <s v="Ahmedabad"/>
    <x v="4"/>
    <s v="HTC One M9"/>
    <s v="2020-04-26"/>
    <s v="2020-04-30"/>
    <x v="3"/>
    <x v="124"/>
    <n v="0"/>
    <x v="2"/>
    <x v="124"/>
    <s v="Card"/>
    <s v="Delhivery"/>
    <s v="SEL2580"/>
    <s v="BestDeals"/>
    <n v="3.4"/>
    <s v="2019-12-05"/>
    <n v="0"/>
    <n v="0"/>
  </r>
  <r>
    <s v="ORD0126"/>
    <s v="Zoya Patel"/>
    <s v="zoya.patel53@gmail.com"/>
    <s v="Kochi"/>
    <x v="7"/>
    <s v="Oppo Reno 8"/>
    <s v="2022-08-24"/>
    <s v="2022-08-30"/>
    <x v="3"/>
    <x v="125"/>
    <n v="5"/>
    <x v="2"/>
    <x v="125"/>
    <s v="COD"/>
    <s v="ExpressBees"/>
    <s v="SEL8175"/>
    <s v="MegaTech Store"/>
    <n v="3.3"/>
    <s v="2015-12-25"/>
    <n v="0"/>
    <n v="0"/>
  </r>
  <r>
    <s v="ORD0127"/>
    <s v="Manoj Gupta"/>
    <s v="manoj.gupta50@gmail.com"/>
    <s v="Bengaluru"/>
    <x v="0"/>
    <s v="Mi Speaker"/>
    <s v="2021-09-08"/>
    <s v="2021-09-10"/>
    <x v="4"/>
    <x v="126"/>
    <n v="5"/>
    <x v="1"/>
    <x v="126"/>
    <s v="Coupon"/>
    <s v="Delhivery"/>
    <s v="SEL4339"/>
    <s v="MegaTech Store"/>
    <n v="3.3"/>
    <s v="2016-11-16"/>
    <n v="9"/>
    <n v="0"/>
  </r>
  <r>
    <s v="ORD0128"/>
    <s v="Pooja Kapoor"/>
    <s v="pooja.kapoor59@gmail.com"/>
    <s v="Pune"/>
    <x v="1"/>
    <s v="Vivo Y21"/>
    <s v="2024-02-01"/>
    <s v="2024-02-08"/>
    <x v="4"/>
    <x v="127"/>
    <n v="10"/>
    <x v="2"/>
    <x v="127"/>
    <s v="UPI"/>
    <s v="ExpressBees"/>
    <s v="SEL3718"/>
    <s v="ElectroHub"/>
    <n v="3.4"/>
    <s v="2018-10-19"/>
    <n v="0"/>
    <n v="0"/>
  </r>
  <r>
    <s v="ORD0129"/>
    <s v="Zoya Iyer"/>
    <s v="zoya.iyer60@gmail.com"/>
    <s v="Bengaluru"/>
    <x v="4"/>
    <s v="HTC One M9"/>
    <s v="2020-04-24"/>
    <s v="2020-04-29"/>
    <x v="4"/>
    <x v="128"/>
    <n v="20"/>
    <x v="3"/>
    <x v="128"/>
    <s v="Coupon"/>
    <s v="ExpressBees"/>
    <s v="SEL7267"/>
    <s v="DigitalMart"/>
    <n v="3.6"/>
    <s v="2010-02-02"/>
    <n v="0"/>
    <n v="136953.60000000001"/>
  </r>
  <r>
    <s v="ORD0130"/>
    <s v="Lakshmi Patel"/>
    <s v="lakshmi.patel17@gmail.com"/>
    <s v="Kochi"/>
    <x v="7"/>
    <s v="Oppo A54"/>
    <s v="2024-08-05"/>
    <s v="2024-08-10"/>
    <x v="1"/>
    <x v="129"/>
    <n v="20"/>
    <x v="3"/>
    <x v="129"/>
    <s v="Card"/>
    <s v="Ekart"/>
    <s v="SEL8136"/>
    <s v="GadgetWorld"/>
    <n v="4.8"/>
    <s v="2016-03-21"/>
    <n v="0"/>
    <n v="4659.2"/>
  </r>
  <r>
    <s v="ORD0131"/>
    <s v="Amit Rao"/>
    <s v="amit.rao36@gmail.com"/>
    <s v="Mumbai"/>
    <x v="11"/>
    <s v="Nikon CoolPix"/>
    <s v="2020-07-02"/>
    <s v="2020-07-04"/>
    <x v="3"/>
    <x v="130"/>
    <n v="20"/>
    <x v="2"/>
    <x v="130"/>
    <s v="Coupon"/>
    <s v="Delhivery"/>
    <s v="SEL7586"/>
    <s v="Prime Electronics"/>
    <n v="4"/>
    <s v="2016-06-22"/>
    <n v="0"/>
    <n v="0"/>
  </r>
  <r>
    <s v="ORD0132"/>
    <s v="Amit Verma"/>
    <s v="amit.verma98@gmail.com"/>
    <s v="Delhi"/>
    <x v="3"/>
    <s v="LG Fridge"/>
    <s v="2021-03-04"/>
    <s v="2021-03-07"/>
    <x v="2"/>
    <x v="131"/>
    <n v="15"/>
    <x v="0"/>
    <x v="131"/>
    <s v="Card"/>
    <s v="Ekart"/>
    <s v="SEL1783"/>
    <s v="DigitalMart"/>
    <n v="2.9"/>
    <s v="2020-04-02"/>
    <n v="0"/>
    <n v="0"/>
  </r>
  <r>
    <s v="ORD0133"/>
    <s v="Amit Sharma"/>
    <s v="amit.sharma33@gmail.com"/>
    <s v="Ahmedabad"/>
    <x v="1"/>
    <s v="Vivo Y21"/>
    <s v="2022-07-05"/>
    <s v="2022-07-11"/>
    <x v="0"/>
    <x v="132"/>
    <n v="10"/>
    <x v="3"/>
    <x v="132"/>
    <s v="Card"/>
    <s v="Delhivery"/>
    <s v="SEL2774"/>
    <s v="Amazons"/>
    <n v="3.4"/>
    <s v="2013-01-07"/>
    <n v="0"/>
    <n v="236948.4"/>
  </r>
  <r>
    <s v="ORD0134"/>
    <s v="Manoj Reddy"/>
    <s v="manoj.reddy56@gmail.com"/>
    <s v="Hyderabad"/>
    <x v="3"/>
    <s v="LG AC 1.5T"/>
    <s v="2019-12-07"/>
    <s v="2019-12-10"/>
    <x v="1"/>
    <x v="133"/>
    <n v="5"/>
    <x v="2"/>
    <x v="133"/>
    <s v="Card"/>
    <s v="BlueDart"/>
    <s v="SEL6346"/>
    <s v="BestDeals"/>
    <n v="3.4"/>
    <s v="2020-07-06"/>
    <n v="0"/>
    <n v="0"/>
  </r>
  <r>
    <s v="ORD0135"/>
    <s v="Divya Patel"/>
    <s v="divya.patel50@gmail.com"/>
    <s v="Mumbai"/>
    <x v="4"/>
    <s v="HTC Desire 12"/>
    <s v="2021-08-13"/>
    <s v="2021-08-16"/>
    <x v="2"/>
    <x v="134"/>
    <n v="20"/>
    <x v="3"/>
    <x v="134"/>
    <s v="Coupon"/>
    <s v="Delhivery"/>
    <s v="SEL7490"/>
    <s v="MegaTech Store"/>
    <n v="3.3"/>
    <s v="2013-10-21"/>
    <n v="0"/>
    <n v="178262.39999999999"/>
  </r>
  <r>
    <s v="ORD0136"/>
    <s v="Manoj Patel"/>
    <s v="manoj.patel73@gmail.com"/>
    <s v="Bengaluru"/>
    <x v="8"/>
    <s v="Samsung Laptop 5"/>
    <s v="2023-09-03"/>
    <s v="2023-09-15"/>
    <x v="2"/>
    <x v="135"/>
    <n v="15"/>
    <x v="1"/>
    <x v="135"/>
    <s v="Coupon"/>
    <s v="ExpressBees"/>
    <s v="SEL7118"/>
    <s v="MegaTech Store"/>
    <n v="3.3"/>
    <s v="2015-05-15"/>
    <n v="4"/>
    <n v="0"/>
  </r>
  <r>
    <s v="ORD0137"/>
    <s v="Pooja Patel"/>
    <s v="pooja.patel68@gmail.com"/>
    <s v="Hyderabad"/>
    <x v="6"/>
    <s v="iPhone 12"/>
    <s v="2023-06-16"/>
    <s v="2023-06-28"/>
    <x v="3"/>
    <x v="136"/>
    <n v="20"/>
    <x v="1"/>
    <x v="136"/>
    <s v="COD"/>
    <s v="BlueDart"/>
    <s v="SEL3486"/>
    <s v="ElectroHub"/>
    <n v="3.4"/>
    <s v="2017-04-17"/>
    <n v="4"/>
    <n v="0"/>
  </r>
  <r>
    <s v="ORD0138"/>
    <s v="Lakshmi Patel"/>
    <s v="lakshmi.patel17@gmail.com"/>
    <s v="Pune"/>
    <x v="4"/>
    <s v="HTC Desire 12"/>
    <s v="2024-03-05"/>
    <s v="2024-03-10"/>
    <x v="4"/>
    <x v="137"/>
    <n v="15"/>
    <x v="2"/>
    <x v="137"/>
    <s v="Card"/>
    <s v="Delhivery"/>
    <s v="SEL4206"/>
    <s v="DigitalMart"/>
    <n v="3.6"/>
    <s v="2011-08-19"/>
    <n v="0"/>
    <n v="0"/>
  </r>
  <r>
    <s v="ORD0139"/>
    <s v="Kiran Iyer"/>
    <s v="kiran.iyer78@gmail.com"/>
    <s v="Bengaluru"/>
    <x v="4"/>
    <s v="HTC One M9"/>
    <s v="2024-12-23"/>
    <s v="2024-12-27"/>
    <x v="3"/>
    <x v="138"/>
    <n v="0"/>
    <x v="2"/>
    <x v="138"/>
    <s v="COD"/>
    <s v="Ekart"/>
    <s v="SEL4794"/>
    <s v="GadgetWorld"/>
    <n v="4.8"/>
    <s v="2020-09-18"/>
    <n v="0"/>
    <n v="0"/>
  </r>
  <r>
    <s v="ORD0140"/>
    <s v="Kiran Sharma"/>
    <s v="kiran.sharma59@gmail.com"/>
    <s v="Ahmedabad"/>
    <x v="9"/>
    <s v="Sony Speaker HT"/>
    <s v="2019-02-16"/>
    <s v="2019-02-27"/>
    <x v="1"/>
    <x v="139"/>
    <n v="10"/>
    <x v="2"/>
    <x v="139"/>
    <s v="COD"/>
    <s v="BlueDart"/>
    <s v="SEL8040"/>
    <s v="Prime Electronics"/>
    <n v="4"/>
    <s v="2017-02-14"/>
    <n v="0"/>
    <n v="0"/>
  </r>
  <r>
    <s v="ORD0141"/>
    <s v="Amit Iyer"/>
    <s v="amit.iyer91@gmail.com"/>
    <s v="Bengaluru"/>
    <x v="5"/>
    <s v="Inspiron 15"/>
    <s v="2019-02-02"/>
    <s v="2019-02-05"/>
    <x v="1"/>
    <x v="140"/>
    <n v="15"/>
    <x v="1"/>
    <x v="140"/>
    <s v="Card"/>
    <s v="ExpressBees"/>
    <s v="SEL7103"/>
    <s v="DigitalMart"/>
    <n v="2.9"/>
    <s v="2011-06-18"/>
    <n v="6"/>
    <n v="0"/>
  </r>
  <r>
    <s v="ORD0142"/>
    <s v="Hitesh Kapoor"/>
    <s v="hitesh.kapoor13@gmail.com"/>
    <s v="Mumbai"/>
    <x v="3"/>
    <s v="LG AC 1.5T"/>
    <s v="2021-03-23"/>
    <s v="2021-04-02"/>
    <x v="2"/>
    <x v="141"/>
    <n v="20"/>
    <x v="1"/>
    <x v="141"/>
    <s v="UPI"/>
    <s v="Ekart"/>
    <s v="SEL8874"/>
    <s v="Amazons"/>
    <n v="3.4"/>
    <s v="2013-10-10"/>
    <n v="10"/>
    <n v="0"/>
  </r>
  <r>
    <s v="ORD0143"/>
    <s v="Neha Gupta"/>
    <s v="neha.gupta38@gmail.com"/>
    <s v="Pune"/>
    <x v="1"/>
    <s v="Vivo Y21"/>
    <s v="2020-07-19"/>
    <s v="2020-07-22"/>
    <x v="4"/>
    <x v="142"/>
    <n v="10"/>
    <x v="1"/>
    <x v="142"/>
    <s v="UPI"/>
    <s v="ExpressBees"/>
    <s v="SEL4028"/>
    <s v="BestDeals"/>
    <n v="3.4"/>
    <s v="2015-05-10"/>
    <n v="6"/>
    <n v="0"/>
  </r>
  <r>
    <s v="ORD0144"/>
    <s v="Divya Verma"/>
    <s v="divya.verma19@gmail.com"/>
    <s v="Chennai"/>
    <x v="8"/>
    <s v="Galaxy M33"/>
    <s v="2021-05-03"/>
    <s v="2021-05-08"/>
    <x v="3"/>
    <x v="143"/>
    <n v="20"/>
    <x v="0"/>
    <x v="143"/>
    <s v="Card"/>
    <s v="Ekart"/>
    <s v="SEL1846"/>
    <s v="MegaTech Store"/>
    <n v="3.3"/>
    <s v="2019-06-05"/>
    <n v="0"/>
    <n v="0"/>
  </r>
  <r>
    <s v="ORD0145"/>
    <s v="Lakshmi Kapoor"/>
    <s v="lakshmi.kapoor50@gmail.com"/>
    <s v="Ahmedabad"/>
    <x v="6"/>
    <s v="iPhone 13"/>
    <s v="2022-10-22"/>
    <s v="2022-10-31"/>
    <x v="4"/>
    <x v="144"/>
    <n v="0"/>
    <x v="2"/>
    <x v="144"/>
    <s v="COD"/>
    <s v="Delhivery"/>
    <s v="SEL3177"/>
    <s v="MegaTech Store"/>
    <n v="3.3"/>
    <s v="2014-02-02"/>
    <n v="0"/>
    <n v="0"/>
  </r>
  <r>
    <s v="ORD0146"/>
    <s v="Neha Sharma"/>
    <s v="neha.sharma71@gmail.com"/>
    <s v="Mumbai"/>
    <x v="0"/>
    <s v="Mi TV 4A"/>
    <s v="2021-02-13"/>
    <s v="2021-02-15"/>
    <x v="4"/>
    <x v="145"/>
    <n v="15"/>
    <x v="3"/>
    <x v="145"/>
    <s v="UPI"/>
    <s v="Ekart"/>
    <s v="SEL8878"/>
    <s v="ElectroHub"/>
    <n v="3.4"/>
    <s v="2012-12-20"/>
    <n v="0"/>
    <n v="117799.8"/>
  </r>
  <r>
    <s v="ORD0147"/>
    <s v="Hitesh Gupta"/>
    <s v="hitesh.gupta33@gmail.com"/>
    <s v="Ahmedabad"/>
    <x v="1"/>
    <s v="Vivo Y21"/>
    <s v="2022-03-08"/>
    <s v="2022-03-18"/>
    <x v="4"/>
    <x v="146"/>
    <n v="5"/>
    <x v="3"/>
    <x v="146"/>
    <s v="UPI"/>
    <s v="Ekart"/>
    <s v="SEL4519"/>
    <s v="DigitalMart"/>
    <n v="3.6"/>
    <s v="2013-02-09"/>
    <n v="0"/>
    <n v="149345.70000000001"/>
  </r>
  <r>
    <s v="ORD0148"/>
    <s v="Divya Reddy"/>
    <s v="divya.reddy43@gmail.com"/>
    <s v="Delhi"/>
    <x v="11"/>
    <s v="Nikon D3500"/>
    <s v="2023-04-14"/>
    <s v="2023-04-19"/>
    <x v="4"/>
    <x v="147"/>
    <n v="5"/>
    <x v="2"/>
    <x v="147"/>
    <s v="COD"/>
    <s v="ExpressBees"/>
    <s v="SEL1141"/>
    <s v="GadgetWorld"/>
    <n v="4.8"/>
    <s v="2016-11-30"/>
    <n v="0"/>
    <n v="0"/>
  </r>
  <r>
    <s v="ORD0149"/>
    <s v="Zoya Iyer"/>
    <s v="zoya.iyer90@gmail.com"/>
    <s v="Hyderabad"/>
    <x v="9"/>
    <s v="Sony Home Theater"/>
    <s v="2020-03-25"/>
    <s v="2020-03-30"/>
    <x v="4"/>
    <x v="148"/>
    <n v="20"/>
    <x v="3"/>
    <x v="148"/>
    <s v="Coupon"/>
    <s v="Ekart"/>
    <s v="SEL2408"/>
    <s v="Prime Electronics"/>
    <n v="4"/>
    <s v="2015-01-19"/>
    <n v="0"/>
    <n v="222412.79999999999"/>
  </r>
  <r>
    <s v="ORD0150"/>
    <s v="Hitesh Iyer"/>
    <s v="hitesh.iyer75@gmail.com"/>
    <s v="Ahmedabad"/>
    <x v="9"/>
    <s v="Sony Bravia 50"/>
    <s v="2019-10-21"/>
    <s v="2019-10-29"/>
    <x v="4"/>
    <x v="149"/>
    <n v="15"/>
    <x v="3"/>
    <x v="149"/>
    <s v="Card"/>
    <s v="BlueDart"/>
    <s v="SEL1760"/>
    <s v="DigitalMart"/>
    <n v="2.9"/>
    <s v="2015-10-09"/>
    <n v="0"/>
    <n v="146755.04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1A892-3DD6-41EC-8233-14AD4EFCE5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>
      <items count="14">
        <item x="6"/>
        <item h="1" x="5"/>
        <item h="1" x="12"/>
        <item h="1" x="10"/>
        <item h="1" x="4"/>
        <item h="1" x="3"/>
        <item h="1" x="0"/>
        <item h="1" x="11"/>
        <item h="1" x="7"/>
        <item h="1" x="8"/>
        <item h="1" x="9"/>
        <item h="1" x="1"/>
        <item h="1" x="2"/>
        <item t="default"/>
      </items>
    </pivotField>
    <pivotField showAll="0"/>
    <pivotField showAll="0"/>
    <pivotField showAll="0"/>
    <pivotField showAll="0">
      <items count="6">
        <item x="1"/>
        <item x="2"/>
        <item x="4"/>
        <item x="0"/>
        <item x="3"/>
        <item t="default"/>
      </items>
    </pivotField>
    <pivotField showAll="0">
      <items count="151">
        <item x="97"/>
        <item x="81"/>
        <item x="35"/>
        <item x="79"/>
        <item x="50"/>
        <item x="129"/>
        <item x="116"/>
        <item x="99"/>
        <item x="76"/>
        <item x="137"/>
        <item x="85"/>
        <item x="92"/>
        <item x="118"/>
        <item x="121"/>
        <item x="18"/>
        <item x="140"/>
        <item x="20"/>
        <item x="22"/>
        <item x="73"/>
        <item x="32"/>
        <item x="69"/>
        <item x="6"/>
        <item x="5"/>
        <item x="29"/>
        <item x="44"/>
        <item x="65"/>
        <item x="21"/>
        <item x="95"/>
        <item x="13"/>
        <item x="12"/>
        <item x="60"/>
        <item x="91"/>
        <item x="75"/>
        <item x="86"/>
        <item x="17"/>
        <item x="89"/>
        <item x="113"/>
        <item x="67"/>
        <item x="139"/>
        <item x="136"/>
        <item x="36"/>
        <item x="63"/>
        <item x="130"/>
        <item x="145"/>
        <item x="3"/>
        <item x="4"/>
        <item x="38"/>
        <item x="14"/>
        <item x="15"/>
        <item x="55"/>
        <item x="19"/>
        <item x="146"/>
        <item x="94"/>
        <item x="56"/>
        <item x="16"/>
        <item x="52"/>
        <item x="26"/>
        <item x="72"/>
        <item x="7"/>
        <item x="128"/>
        <item x="8"/>
        <item x="149"/>
        <item x="41"/>
        <item x="10"/>
        <item x="87"/>
        <item x="37"/>
        <item x="122"/>
        <item x="83"/>
        <item x="25"/>
        <item x="34"/>
        <item x="48"/>
        <item x="132"/>
        <item x="110"/>
        <item x="2"/>
        <item x="142"/>
        <item x="98"/>
        <item x="88"/>
        <item x="33"/>
        <item x="42"/>
        <item x="127"/>
        <item x="61"/>
        <item x="126"/>
        <item x="23"/>
        <item x="54"/>
        <item x="51"/>
        <item x="68"/>
        <item x="0"/>
        <item x="64"/>
        <item x="107"/>
        <item x="147"/>
        <item x="53"/>
        <item x="30"/>
        <item x="96"/>
        <item x="104"/>
        <item x="84"/>
        <item x="77"/>
        <item x="74"/>
        <item x="112"/>
        <item x="135"/>
        <item x="70"/>
        <item x="47"/>
        <item x="62"/>
        <item x="58"/>
        <item x="123"/>
        <item x="71"/>
        <item x="24"/>
        <item x="124"/>
        <item x="78"/>
        <item x="57"/>
        <item x="108"/>
        <item x="109"/>
        <item x="90"/>
        <item x="114"/>
        <item x="115"/>
        <item x="93"/>
        <item x="120"/>
        <item x="46"/>
        <item x="28"/>
        <item x="148"/>
        <item x="9"/>
        <item x="1"/>
        <item x="80"/>
        <item x="39"/>
        <item x="82"/>
        <item x="144"/>
        <item x="31"/>
        <item x="102"/>
        <item x="27"/>
        <item x="100"/>
        <item x="59"/>
        <item x="103"/>
        <item x="11"/>
        <item x="119"/>
        <item x="111"/>
        <item x="66"/>
        <item x="43"/>
        <item x="143"/>
        <item x="138"/>
        <item x="134"/>
        <item x="125"/>
        <item x="106"/>
        <item x="133"/>
        <item x="117"/>
        <item x="49"/>
        <item x="131"/>
        <item x="45"/>
        <item x="101"/>
        <item x="40"/>
        <item x="141"/>
        <item x="105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>
      <items count="151">
        <item x="97"/>
        <item x="81"/>
        <item x="129"/>
        <item x="35"/>
        <item x="99"/>
        <item x="85"/>
        <item x="79"/>
        <item x="92"/>
        <item x="76"/>
        <item x="140"/>
        <item x="32"/>
        <item x="116"/>
        <item x="95"/>
        <item x="50"/>
        <item x="21"/>
        <item x="44"/>
        <item x="137"/>
        <item x="118"/>
        <item x="38"/>
        <item x="139"/>
        <item x="94"/>
        <item x="6"/>
        <item x="56"/>
        <item x="69"/>
        <item x="10"/>
        <item x="110"/>
        <item x="20"/>
        <item x="88"/>
        <item x="83"/>
        <item x="5"/>
        <item x="18"/>
        <item x="93"/>
        <item x="47"/>
        <item x="23"/>
        <item x="65"/>
        <item x="121"/>
        <item x="19"/>
        <item x="109"/>
        <item x="22"/>
        <item x="63"/>
        <item x="43"/>
        <item x="1"/>
        <item x="39"/>
        <item x="113"/>
        <item x="67"/>
        <item x="26"/>
        <item x="86"/>
        <item x="49"/>
        <item x="17"/>
        <item x="73"/>
        <item x="133"/>
        <item x="60"/>
        <item x="29"/>
        <item x="36"/>
        <item x="87"/>
        <item x="45"/>
        <item x="145"/>
        <item x="12"/>
        <item x="2"/>
        <item x="4"/>
        <item x="24"/>
        <item x="128"/>
        <item x="112"/>
        <item x="135"/>
        <item x="91"/>
        <item x="68"/>
        <item x="149"/>
        <item x="146"/>
        <item x="15"/>
        <item x="13"/>
        <item x="77"/>
        <item x="78"/>
        <item x="96"/>
        <item x="115"/>
        <item x="14"/>
        <item x="89"/>
        <item x="48"/>
        <item x="80"/>
        <item x="46"/>
        <item x="82"/>
        <item x="58"/>
        <item x="66"/>
        <item x="33"/>
        <item x="122"/>
        <item x="136"/>
        <item x="16"/>
        <item x="75"/>
        <item x="90"/>
        <item x="34"/>
        <item x="134"/>
        <item x="120"/>
        <item x="142"/>
        <item x="54"/>
        <item x="130"/>
        <item x="3"/>
        <item x="141"/>
        <item x="30"/>
        <item x="127"/>
        <item x="55"/>
        <item x="131"/>
        <item x="70"/>
        <item x="107"/>
        <item x="27"/>
        <item x="74"/>
        <item x="40"/>
        <item x="126"/>
        <item x="101"/>
        <item x="41"/>
        <item x="148"/>
        <item x="147"/>
        <item x="98"/>
        <item x="132"/>
        <item x="72"/>
        <item x="8"/>
        <item x="37"/>
        <item x="28"/>
        <item x="52"/>
        <item x="114"/>
        <item x="7"/>
        <item x="51"/>
        <item x="0"/>
        <item x="11"/>
        <item x="64"/>
        <item x="25"/>
        <item x="144"/>
        <item x="42"/>
        <item x="53"/>
        <item x="102"/>
        <item x="123"/>
        <item x="71"/>
        <item x="84"/>
        <item x="57"/>
        <item x="61"/>
        <item x="100"/>
        <item x="105"/>
        <item x="59"/>
        <item x="103"/>
        <item x="31"/>
        <item x="111"/>
        <item x="62"/>
        <item x="104"/>
        <item x="108"/>
        <item x="124"/>
        <item x="143"/>
        <item x="9"/>
        <item x="117"/>
        <item x="119"/>
        <item x="125"/>
        <item x="138"/>
        <item x="1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Pric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410B3-9A83-446C-B074-64A5C1307508}" name="Amazon" displayName="Amazon" ref="A1:U151" totalsRowShown="0" headerRowDxfId="25" headerRowBorderDxfId="24" tableBorderDxfId="23" totalsRowBorderDxfId="22">
  <autoFilter ref="A1:U151" xr:uid="{4B2410B3-9A83-446C-B074-64A5C1307508}"/>
  <tableColumns count="21">
    <tableColumn id="1" xr3:uid="{84621324-20FE-4D61-BAC0-6708E5CBD9AC}" name="OrderID" dataDxfId="21"/>
    <tableColumn id="2" xr3:uid="{ED514788-5D2A-4A64-AFF7-D68AD81ED848}" name="CustomerName" dataDxfId="20"/>
    <tableColumn id="3" xr3:uid="{31FF76DF-AAAA-45A8-A08F-C8A58FDDBC68}" name="Email" dataDxfId="19"/>
    <tableColumn id="4" xr3:uid="{8984078B-41EE-4B6D-AD75-778DD028A4CB}" name="Location" dataDxfId="18"/>
    <tableColumn id="5" xr3:uid="{43395C4E-60BD-4A60-B036-0C910F3AB57A}" name="Brand" dataDxfId="17"/>
    <tableColumn id="6" xr3:uid="{690D9376-C8A5-4FD2-8A74-C92B61BAC4A1}" name="Model" dataDxfId="16"/>
    <tableColumn id="7" xr3:uid="{D011C950-CF90-43F2-8C8E-B59C154E34F9}" name="OrderDate" dataDxfId="15"/>
    <tableColumn id="8" xr3:uid="{E6C845DA-F8F2-41AF-B9B9-B9C1314859C7}" name="DeliveryDate" dataDxfId="14"/>
    <tableColumn id="9" xr3:uid="{D4E7B1E1-0F78-44E1-A6A2-9A71CC186B61}" name="Quantity" dataDxfId="13"/>
    <tableColumn id="10" xr3:uid="{C1239FEC-0114-4F36-9FB7-1C462859B3C6}" name="UnitPrice" dataDxfId="12"/>
    <tableColumn id="23" xr3:uid="{BF96C977-AF79-4423-BC49-257F46A43DBA}" name="Discounts%" dataDxfId="11"/>
    <tableColumn id="22" xr3:uid="{29B3DE3A-94E8-4730-9E85-DFC77CAF178B}" name="OrderStatus" dataDxfId="10"/>
    <tableColumn id="12" xr3:uid="{894159D7-F047-4B41-9B3F-6738248DCCF3}" name="FinalPrice" dataDxfId="9"/>
    <tableColumn id="13" xr3:uid="{B50B42F8-09FC-44BF-97EB-C70849234EC4}" name="PaymentType" dataDxfId="8"/>
    <tableColumn id="15" xr3:uid="{7EC37E3E-30D2-4F48-B629-6AA653E9E803}" name="ShipmentPartner" dataDxfId="7"/>
    <tableColumn id="16" xr3:uid="{C503A190-B8F7-4ECD-810B-82C98E9D79C4}" name="SellerID" dataDxfId="6"/>
    <tableColumn id="17" xr3:uid="{84997633-7A84-4AA8-8517-410DEFB61C2F}" name="SellerName" dataDxfId="5"/>
    <tableColumn id="18" xr3:uid="{ED68457A-3603-4FDC-B303-31009EC08A17}" name="SellerRating" dataDxfId="4"/>
    <tableColumn id="19" xr3:uid="{AF939CE8-6D06-4963-BEFB-781C0A75520C}" name="SellerJoinDate" dataDxfId="3"/>
    <tableColumn id="20" xr3:uid="{5599E1B3-3C3F-4D77-8948-7B23ADE61729}" name="SLA_Days" dataDxfId="2"/>
    <tableColumn id="21" xr3:uid="{499FBF81-408D-410F-8C5E-66141A7C9A7A}" name="RefundAmount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463F8-5DDF-45A6-8510-C1187EA8DC52}" name="Table2" displayName="Table2" ref="C90:D95" totalsRowShown="0">
  <autoFilter ref="C90:D95" xr:uid="{275463F8-5DDF-45A6-8510-C1187EA8DC52}"/>
  <tableColumns count="2">
    <tableColumn id="1" xr3:uid="{42E14D82-0FAA-449D-81D4-45FA7BCDA60A}" name="model" dataDxfId="0"/>
    <tableColumn id="2" xr3:uid="{67A263AC-0588-4A37-956E-7228C268C6BC}" name="unit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shiva.parimi@gmail.com" TargetMode="External"/><Relationship Id="rId1" Type="http://schemas.openxmlformats.org/officeDocument/2006/relationships/hyperlink" Target="mailto:shivapari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078D-4497-402A-BE01-BCF1FC48C31E}">
  <sheetPr codeName="Sheet1"/>
  <dimension ref="A3:B8"/>
  <sheetViews>
    <sheetView workbookViewId="0">
      <selection activeCell="R16" sqref="R16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1.28515625" bestFit="1" customWidth="1"/>
    <col min="4" max="4" width="11" bestFit="1" customWidth="1"/>
    <col min="5" max="5" width="18.42578125" bestFit="1" customWidth="1"/>
    <col min="6" max="6" width="11" bestFit="1" customWidth="1"/>
    <col min="7" max="7" width="10" bestFit="1" customWidth="1"/>
    <col min="8" max="8" width="11" bestFit="1" customWidth="1"/>
    <col min="9" max="10" width="10" bestFit="1" customWidth="1"/>
    <col min="11" max="12" width="11" bestFit="1" customWidth="1"/>
    <col min="13" max="13" width="10" bestFit="1" customWidth="1"/>
    <col min="14" max="14" width="11" bestFit="1" customWidth="1"/>
    <col min="15" max="15" width="11.28515625" bestFit="1" customWidth="1"/>
    <col min="16" max="16" width="7" bestFit="1" customWidth="1"/>
    <col min="17" max="17" width="9" bestFit="1" customWidth="1"/>
    <col min="18" max="18" width="12" bestFit="1" customWidth="1"/>
    <col min="19" max="19" width="20.28515625" bestFit="1" customWidth="1"/>
    <col min="20" max="21" width="8" bestFit="1" customWidth="1"/>
    <col min="22" max="22" width="9" bestFit="1" customWidth="1"/>
    <col min="23" max="23" width="23.42578125" bestFit="1" customWidth="1"/>
    <col min="24" max="24" width="6.28515625" bestFit="1" customWidth="1"/>
    <col min="25" max="25" width="9" bestFit="1" customWidth="1"/>
    <col min="26" max="26" width="10" bestFit="1" customWidth="1"/>
    <col min="27" max="27" width="7" bestFit="1" customWidth="1"/>
    <col min="28" max="28" width="10" bestFit="1" customWidth="1"/>
    <col min="29" max="29" width="11" bestFit="1" customWidth="1"/>
    <col min="30" max="31" width="9" bestFit="1" customWidth="1"/>
    <col min="32" max="32" width="10" bestFit="1" customWidth="1"/>
    <col min="33" max="34" width="9" bestFit="1" customWidth="1"/>
    <col min="35" max="35" width="10" bestFit="1" customWidth="1"/>
    <col min="36" max="36" width="7" bestFit="1" customWidth="1"/>
    <col min="37" max="39" width="10" bestFit="1" customWidth="1"/>
    <col min="40" max="40" width="11" bestFit="1" customWidth="1"/>
    <col min="41" max="41" width="8.140625" bestFit="1" customWidth="1"/>
    <col min="42" max="44" width="9" bestFit="1" customWidth="1"/>
    <col min="45" max="45" width="7" bestFit="1" customWidth="1"/>
    <col min="46" max="46" width="11.140625" bestFit="1" customWidth="1"/>
    <col min="47" max="47" width="9" bestFit="1" customWidth="1"/>
    <col min="48" max="48" width="7" bestFit="1" customWidth="1"/>
    <col min="49" max="50" width="9" bestFit="1" customWidth="1"/>
    <col min="51" max="51" width="7" bestFit="1" customWidth="1"/>
    <col min="52" max="53" width="10.7109375" bestFit="1" customWidth="1"/>
    <col min="54" max="55" width="9" bestFit="1" customWidth="1"/>
    <col min="56" max="56" width="10" bestFit="1" customWidth="1"/>
    <col min="57" max="57" width="13.85546875" bestFit="1" customWidth="1"/>
    <col min="58" max="58" width="8" bestFit="1" customWidth="1"/>
    <col min="59" max="59" width="9" bestFit="1" customWidth="1"/>
    <col min="60" max="60" width="10" bestFit="1" customWidth="1"/>
    <col min="61" max="62" width="9" bestFit="1" customWidth="1"/>
    <col min="63" max="63" width="11" bestFit="1" customWidth="1"/>
    <col min="64" max="67" width="9" bestFit="1" customWidth="1"/>
    <col min="68" max="68" width="7" bestFit="1" customWidth="1"/>
    <col min="69" max="69" width="10" bestFit="1" customWidth="1"/>
    <col min="70" max="71" width="9" bestFit="1" customWidth="1"/>
    <col min="72" max="74" width="7" bestFit="1" customWidth="1"/>
    <col min="75" max="75" width="11" bestFit="1" customWidth="1"/>
    <col min="76" max="76" width="11.28515625" bestFit="1" customWidth="1"/>
  </cols>
  <sheetData>
    <row r="3" spans="1:2" x14ac:dyDescent="0.25">
      <c r="A3" s="21" t="s">
        <v>1056</v>
      </c>
      <c r="B3" t="s">
        <v>1058</v>
      </c>
    </row>
    <row r="4" spans="1:2" x14ac:dyDescent="0.25">
      <c r="A4" s="22" t="s">
        <v>612</v>
      </c>
      <c r="B4">
        <v>5368151.6999999993</v>
      </c>
    </row>
    <row r="5" spans="1:2" x14ac:dyDescent="0.25">
      <c r="A5" s="22" t="s">
        <v>614</v>
      </c>
      <c r="B5">
        <v>7650453.1499999994</v>
      </c>
    </row>
    <row r="6" spans="1:2" x14ac:dyDescent="0.25">
      <c r="A6" s="22" t="s">
        <v>613</v>
      </c>
      <c r="B6">
        <v>6788174.6000000006</v>
      </c>
    </row>
    <row r="7" spans="1:2" x14ac:dyDescent="0.25">
      <c r="A7" s="22" t="s">
        <v>615</v>
      </c>
      <c r="B7">
        <v>6828120.0500000007</v>
      </c>
    </row>
    <row r="8" spans="1:2" x14ac:dyDescent="0.25">
      <c r="A8" s="22" t="s">
        <v>1057</v>
      </c>
      <c r="B8">
        <v>26634899.5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U151"/>
  <sheetViews>
    <sheetView topLeftCell="E1" zoomScale="185" workbookViewId="0">
      <selection activeCell="F2" sqref="F2"/>
    </sheetView>
  </sheetViews>
  <sheetFormatPr defaultColWidth="13.28515625" defaultRowHeight="15" x14ac:dyDescent="0.25"/>
  <cols>
    <col min="1" max="1" width="13.28515625" bestFit="1" customWidth="1"/>
    <col min="2" max="2" width="20.7109375" bestFit="1" customWidth="1"/>
    <col min="3" max="3" width="28.42578125" bestFit="1" customWidth="1"/>
    <col min="4" max="4" width="14" bestFit="1" customWidth="1"/>
    <col min="5" max="5" width="18.28515625" bestFit="1" customWidth="1"/>
    <col min="6" max="6" width="23.42578125" bestFit="1" customWidth="1"/>
    <col min="7" max="7" width="15.85546875" bestFit="1" customWidth="1"/>
    <col min="8" max="8" width="18.28515625" style="17" bestFit="1" customWidth="1"/>
    <col min="9" max="9" width="14.28515625" bestFit="1" customWidth="1"/>
    <col min="10" max="10" width="14.5703125" bestFit="1" customWidth="1"/>
    <col min="11" max="11" width="15.85546875" style="39" customWidth="1"/>
    <col min="12" max="12" width="15.85546875" customWidth="1"/>
    <col min="13" max="13" width="15" bestFit="1" customWidth="1"/>
    <col min="14" max="14" width="19.140625" bestFit="1" customWidth="1"/>
    <col min="15" max="15" width="22.7109375" bestFit="1" customWidth="1"/>
    <col min="16" max="16" width="13" bestFit="1" customWidth="1"/>
    <col min="17" max="17" width="16.7109375" bestFit="1" customWidth="1"/>
    <col min="18" max="18" width="17.28515625" bestFit="1" customWidth="1"/>
    <col min="19" max="19" width="19.5703125" bestFit="1" customWidth="1"/>
    <col min="20" max="20" width="14.85546875" bestFit="1" customWidth="1"/>
    <col min="21" max="21" width="20.7109375" bestFit="1" customWidth="1"/>
  </cols>
  <sheetData>
    <row r="1" spans="1:21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35" t="s">
        <v>7</v>
      </c>
      <c r="I1" s="10" t="s">
        <v>8</v>
      </c>
      <c r="J1" s="10" t="s">
        <v>9</v>
      </c>
      <c r="K1" s="36" t="s">
        <v>1067</v>
      </c>
      <c r="L1" s="10" t="s">
        <v>12</v>
      </c>
      <c r="M1" s="10" t="s">
        <v>10</v>
      </c>
      <c r="N1" s="10" t="s">
        <v>11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2" t="s">
        <v>19</v>
      </c>
    </row>
    <row r="2" spans="1:21" x14ac:dyDescent="0.25">
      <c r="A2" s="4" t="s">
        <v>20</v>
      </c>
      <c r="B2" s="1" t="s">
        <v>170</v>
      </c>
      <c r="C2" s="1" t="s">
        <v>244</v>
      </c>
      <c r="D2" s="1" t="s">
        <v>392</v>
      </c>
      <c r="E2" s="1" t="s">
        <v>400</v>
      </c>
      <c r="F2" s="1" t="s">
        <v>413</v>
      </c>
      <c r="G2" s="1" t="s">
        <v>457</v>
      </c>
      <c r="H2" s="33">
        <v>44013</v>
      </c>
      <c r="I2" s="1">
        <v>4</v>
      </c>
      <c r="J2" s="1">
        <v>77523</v>
      </c>
      <c r="K2" s="37">
        <v>0.1</v>
      </c>
      <c r="L2" s="1" t="e">
        <f>Amazon[[#This Row],[Quantity]]*Amazon[[#This Row],[UnitPrice]]*#REF!%</f>
        <v>#REF!</v>
      </c>
      <c r="M2" s="1">
        <v>279082.8</v>
      </c>
      <c r="N2" s="1" t="s">
        <v>608</v>
      </c>
      <c r="O2" s="1" t="s">
        <v>616</v>
      </c>
      <c r="P2" s="1" t="s">
        <v>620</v>
      </c>
      <c r="Q2" s="1" t="s">
        <v>769</v>
      </c>
      <c r="R2" s="1">
        <v>3.3</v>
      </c>
      <c r="S2" s="1" t="s">
        <v>775</v>
      </c>
      <c r="T2" s="1">
        <v>0</v>
      </c>
      <c r="U2" s="3">
        <v>0</v>
      </c>
    </row>
    <row r="3" spans="1:21" x14ac:dyDescent="0.25">
      <c r="A3" s="4" t="s">
        <v>21</v>
      </c>
      <c r="B3" s="1" t="s">
        <v>171</v>
      </c>
      <c r="C3" s="1" t="s">
        <v>245</v>
      </c>
      <c r="D3" s="1" t="s">
        <v>393</v>
      </c>
      <c r="E3" s="1" t="s">
        <v>401</v>
      </c>
      <c r="F3" s="1" t="s">
        <v>414</v>
      </c>
      <c r="G3" s="1" t="s">
        <v>458</v>
      </c>
      <c r="H3" s="33">
        <v>45084</v>
      </c>
      <c r="I3" s="1">
        <v>1</v>
      </c>
      <c r="J3" s="1">
        <v>92974</v>
      </c>
      <c r="K3" s="37">
        <v>0</v>
      </c>
      <c r="L3" s="1" t="s">
        <v>612</v>
      </c>
      <c r="M3" s="1">
        <v>92974</v>
      </c>
      <c r="N3" s="1" t="s">
        <v>609</v>
      </c>
      <c r="O3" s="1" t="s">
        <v>616</v>
      </c>
      <c r="P3" s="1" t="s">
        <v>621</v>
      </c>
      <c r="Q3" s="1" t="s">
        <v>770</v>
      </c>
      <c r="R3" s="1">
        <v>3.4</v>
      </c>
      <c r="S3" s="1" t="s">
        <v>776</v>
      </c>
      <c r="T3" s="1">
        <v>0</v>
      </c>
      <c r="U3" s="3">
        <v>0</v>
      </c>
    </row>
    <row r="4" spans="1:21" x14ac:dyDescent="0.25">
      <c r="A4" s="4" t="s">
        <v>22</v>
      </c>
      <c r="B4" s="1" t="s">
        <v>172</v>
      </c>
      <c r="C4" s="1" t="s">
        <v>246</v>
      </c>
      <c r="D4" s="1" t="s">
        <v>394</v>
      </c>
      <c r="E4" s="1" t="s">
        <v>402</v>
      </c>
      <c r="F4" s="1" t="s">
        <v>415</v>
      </c>
      <c r="G4" s="1" t="s">
        <v>459</v>
      </c>
      <c r="H4" s="33">
        <v>44496</v>
      </c>
      <c r="I4" s="1">
        <v>2</v>
      </c>
      <c r="J4" s="1">
        <v>66773</v>
      </c>
      <c r="K4" s="37">
        <v>0.05</v>
      </c>
      <c r="L4" s="1" t="s">
        <v>612</v>
      </c>
      <c r="M4" s="1">
        <v>126868.7</v>
      </c>
      <c r="N4" s="1" t="s">
        <v>609</v>
      </c>
      <c r="O4" s="1" t="s">
        <v>617</v>
      </c>
      <c r="P4" s="1" t="s">
        <v>622</v>
      </c>
      <c r="Q4" s="1" t="s">
        <v>771</v>
      </c>
      <c r="R4" s="1">
        <v>3.6</v>
      </c>
      <c r="S4" s="1" t="s">
        <v>777</v>
      </c>
      <c r="T4" s="1">
        <v>0</v>
      </c>
      <c r="U4" s="3">
        <v>0</v>
      </c>
    </row>
    <row r="5" spans="1:21" x14ac:dyDescent="0.25">
      <c r="A5" s="4" t="s">
        <v>23</v>
      </c>
      <c r="B5" s="1" t="s">
        <v>173</v>
      </c>
      <c r="C5" s="1" t="s">
        <v>247</v>
      </c>
      <c r="D5" s="1" t="s">
        <v>395</v>
      </c>
      <c r="E5" s="1" t="s">
        <v>402</v>
      </c>
      <c r="F5" s="1" t="s">
        <v>415</v>
      </c>
      <c r="G5" s="1" t="s">
        <v>460</v>
      </c>
      <c r="H5" s="33">
        <v>45049</v>
      </c>
      <c r="I5" s="1">
        <v>5</v>
      </c>
      <c r="J5" s="1">
        <v>46382</v>
      </c>
      <c r="K5" s="37">
        <v>0.2</v>
      </c>
      <c r="L5" s="1" t="s">
        <v>612</v>
      </c>
      <c r="M5" s="1">
        <v>185528</v>
      </c>
      <c r="N5" s="1" t="s">
        <v>610</v>
      </c>
      <c r="O5" s="1" t="s">
        <v>617</v>
      </c>
      <c r="P5" s="1" t="s">
        <v>623</v>
      </c>
      <c r="Q5" s="1" t="s">
        <v>772</v>
      </c>
      <c r="R5" s="1">
        <v>4.8</v>
      </c>
      <c r="S5" s="1" t="s">
        <v>778</v>
      </c>
      <c r="T5" s="1">
        <v>0</v>
      </c>
      <c r="U5" s="3">
        <v>0</v>
      </c>
    </row>
    <row r="6" spans="1:21" x14ac:dyDescent="0.25">
      <c r="A6" s="4" t="s">
        <v>24</v>
      </c>
      <c r="B6" s="1" t="s">
        <v>174</v>
      </c>
      <c r="C6" s="1" t="s">
        <v>248</v>
      </c>
      <c r="D6" s="1" t="s">
        <v>396</v>
      </c>
      <c r="E6" s="1" t="s">
        <v>403</v>
      </c>
      <c r="F6" s="1" t="s">
        <v>416</v>
      </c>
      <c r="G6" s="1" t="s">
        <v>461</v>
      </c>
      <c r="H6" s="33">
        <v>45456</v>
      </c>
      <c r="I6" s="1">
        <v>3</v>
      </c>
      <c r="J6" s="1">
        <v>46518</v>
      </c>
      <c r="K6" s="37">
        <v>0.05</v>
      </c>
      <c r="L6" s="1" t="s">
        <v>612</v>
      </c>
      <c r="M6" s="1">
        <v>132576.29999999999</v>
      </c>
      <c r="N6" s="1" t="s">
        <v>609</v>
      </c>
      <c r="O6" s="1" t="s">
        <v>617</v>
      </c>
      <c r="P6" s="1" t="s">
        <v>624</v>
      </c>
      <c r="Q6" s="1" t="s">
        <v>773</v>
      </c>
      <c r="R6" s="1">
        <v>4</v>
      </c>
      <c r="S6" s="1" t="s">
        <v>779</v>
      </c>
      <c r="T6" s="1">
        <v>0</v>
      </c>
      <c r="U6" s="3">
        <v>0</v>
      </c>
    </row>
    <row r="7" spans="1:21" x14ac:dyDescent="0.25">
      <c r="A7" s="4" t="s">
        <v>25</v>
      </c>
      <c r="B7" s="1" t="s">
        <v>175</v>
      </c>
      <c r="C7" s="1" t="s">
        <v>249</v>
      </c>
      <c r="D7" s="1" t="s">
        <v>396</v>
      </c>
      <c r="E7" s="1" t="s">
        <v>404</v>
      </c>
      <c r="F7" s="1" t="s">
        <v>417</v>
      </c>
      <c r="G7" s="1" t="s">
        <v>462</v>
      </c>
      <c r="H7" s="33">
        <v>45540</v>
      </c>
      <c r="I7" s="1">
        <v>3</v>
      </c>
      <c r="J7" s="1">
        <v>26057</v>
      </c>
      <c r="K7" s="37">
        <v>0.2</v>
      </c>
      <c r="L7" s="1" t="s">
        <v>613</v>
      </c>
      <c r="M7" s="1">
        <v>62536.800000000003</v>
      </c>
      <c r="N7" s="1" t="s">
        <v>611</v>
      </c>
      <c r="O7" s="1" t="s">
        <v>616</v>
      </c>
      <c r="P7" s="1" t="s">
        <v>625</v>
      </c>
      <c r="Q7" s="1" t="s">
        <v>771</v>
      </c>
      <c r="R7" s="1">
        <v>2.9</v>
      </c>
      <c r="S7" s="1" t="s">
        <v>780</v>
      </c>
      <c r="T7" s="1">
        <v>9</v>
      </c>
      <c r="U7" s="3">
        <v>0</v>
      </c>
    </row>
    <row r="8" spans="1:21" x14ac:dyDescent="0.25">
      <c r="A8" s="4" t="s">
        <v>26</v>
      </c>
      <c r="B8" s="1" t="s">
        <v>176</v>
      </c>
      <c r="C8" s="1" t="s">
        <v>250</v>
      </c>
      <c r="D8" s="1" t="s">
        <v>397</v>
      </c>
      <c r="E8" s="1" t="s">
        <v>405</v>
      </c>
      <c r="F8" s="1" t="s">
        <v>418</v>
      </c>
      <c r="G8" s="1" t="s">
        <v>463</v>
      </c>
      <c r="H8" s="33">
        <v>45038</v>
      </c>
      <c r="I8" s="1">
        <v>2</v>
      </c>
      <c r="J8" s="1">
        <v>25771</v>
      </c>
      <c r="K8" s="37">
        <v>0.15</v>
      </c>
      <c r="L8" s="1" t="s">
        <v>614</v>
      </c>
      <c r="M8" s="1">
        <v>43810.7</v>
      </c>
      <c r="N8" s="1" t="s">
        <v>610</v>
      </c>
      <c r="O8" s="1" t="s">
        <v>618</v>
      </c>
      <c r="P8" s="1" t="s">
        <v>626</v>
      </c>
      <c r="Q8" s="1" t="s">
        <v>917</v>
      </c>
      <c r="R8" s="1">
        <v>3.4</v>
      </c>
      <c r="S8" s="1" t="s">
        <v>781</v>
      </c>
      <c r="T8" s="1">
        <v>0</v>
      </c>
      <c r="U8" s="3">
        <v>0</v>
      </c>
    </row>
    <row r="9" spans="1:21" x14ac:dyDescent="0.25">
      <c r="A9" s="4" t="s">
        <v>27</v>
      </c>
      <c r="B9" s="1" t="s">
        <v>177</v>
      </c>
      <c r="C9" s="1" t="s">
        <v>251</v>
      </c>
      <c r="D9" s="1" t="s">
        <v>392</v>
      </c>
      <c r="E9" s="1" t="s">
        <v>406</v>
      </c>
      <c r="F9" s="1" t="s">
        <v>419</v>
      </c>
      <c r="G9" s="1" t="s">
        <v>464</v>
      </c>
      <c r="H9" s="33">
        <v>45157</v>
      </c>
      <c r="I9" s="1">
        <v>5</v>
      </c>
      <c r="J9" s="1">
        <v>56748</v>
      </c>
      <c r="K9" s="37">
        <v>0.05</v>
      </c>
      <c r="L9" s="1" t="s">
        <v>613</v>
      </c>
      <c r="M9" s="1">
        <v>269553</v>
      </c>
      <c r="N9" s="1" t="s">
        <v>610</v>
      </c>
      <c r="O9" s="1" t="s">
        <v>619</v>
      </c>
      <c r="P9" s="1" t="s">
        <v>627</v>
      </c>
      <c r="Q9" s="1" t="s">
        <v>774</v>
      </c>
      <c r="R9" s="1">
        <v>3.4</v>
      </c>
      <c r="S9" s="1" t="s">
        <v>782</v>
      </c>
      <c r="T9" s="1">
        <v>6</v>
      </c>
      <c r="U9" s="3">
        <v>0</v>
      </c>
    </row>
    <row r="10" spans="1:21" x14ac:dyDescent="0.25">
      <c r="A10" s="4" t="s">
        <v>28</v>
      </c>
      <c r="B10" s="1" t="s">
        <v>178</v>
      </c>
      <c r="C10" s="1" t="s">
        <v>252</v>
      </c>
      <c r="D10" s="1" t="s">
        <v>396</v>
      </c>
      <c r="E10" s="1" t="s">
        <v>406</v>
      </c>
      <c r="F10" s="1" t="s">
        <v>420</v>
      </c>
      <c r="G10" s="1" t="s">
        <v>465</v>
      </c>
      <c r="H10" s="33">
        <v>44746</v>
      </c>
      <c r="I10" s="1">
        <v>5</v>
      </c>
      <c r="J10" s="1">
        <v>57083</v>
      </c>
      <c r="K10" s="37">
        <v>0.15</v>
      </c>
      <c r="L10" s="1" t="s">
        <v>613</v>
      </c>
      <c r="M10" s="1">
        <v>242602.75</v>
      </c>
      <c r="N10" s="1" t="s">
        <v>611</v>
      </c>
      <c r="O10" s="1" t="s">
        <v>619</v>
      </c>
      <c r="P10" s="1" t="s">
        <v>628</v>
      </c>
      <c r="Q10" s="1" t="s">
        <v>769</v>
      </c>
      <c r="R10" s="1">
        <v>3.3</v>
      </c>
      <c r="S10" s="1" t="s">
        <v>783</v>
      </c>
      <c r="T10" s="1">
        <v>10</v>
      </c>
      <c r="U10" s="3">
        <v>0</v>
      </c>
    </row>
    <row r="11" spans="1:21" x14ac:dyDescent="0.25">
      <c r="A11" s="4" t="s">
        <v>29</v>
      </c>
      <c r="B11" s="1" t="s">
        <v>179</v>
      </c>
      <c r="C11" s="1" t="s">
        <v>253</v>
      </c>
      <c r="D11" s="1" t="s">
        <v>398</v>
      </c>
      <c r="E11" s="1" t="s">
        <v>400</v>
      </c>
      <c r="F11" s="1" t="s">
        <v>421</v>
      </c>
      <c r="G11" s="1" t="s">
        <v>466</v>
      </c>
      <c r="H11" s="33">
        <v>44644</v>
      </c>
      <c r="I11" s="1">
        <v>5</v>
      </c>
      <c r="J11" s="1">
        <v>92803</v>
      </c>
      <c r="K11" s="37">
        <v>0.05</v>
      </c>
      <c r="L11" s="1" t="s">
        <v>614</v>
      </c>
      <c r="M11" s="1">
        <v>440814.25</v>
      </c>
      <c r="N11" s="1" t="s">
        <v>608</v>
      </c>
      <c r="O11" s="1" t="s">
        <v>618</v>
      </c>
      <c r="P11" s="1" t="s">
        <v>629</v>
      </c>
      <c r="Q11" s="1" t="s">
        <v>769</v>
      </c>
      <c r="R11" s="1">
        <v>3.3</v>
      </c>
      <c r="S11" s="1" t="s">
        <v>784</v>
      </c>
      <c r="T11" s="1">
        <v>0</v>
      </c>
      <c r="U11" s="3">
        <v>0</v>
      </c>
    </row>
    <row r="12" spans="1:21" x14ac:dyDescent="0.25">
      <c r="A12" s="4" t="s">
        <v>30</v>
      </c>
      <c r="B12" s="1" t="s">
        <v>180</v>
      </c>
      <c r="C12" s="1" t="s">
        <v>254</v>
      </c>
      <c r="D12" s="1" t="s">
        <v>393</v>
      </c>
      <c r="E12" s="1" t="s">
        <v>403</v>
      </c>
      <c r="F12" s="1" t="s">
        <v>422</v>
      </c>
      <c r="G12" s="1" t="s">
        <v>467</v>
      </c>
      <c r="H12" s="33">
        <v>44487</v>
      </c>
      <c r="I12" s="1">
        <v>1</v>
      </c>
      <c r="J12" s="1">
        <v>58549</v>
      </c>
      <c r="K12" s="37">
        <v>0.1</v>
      </c>
      <c r="L12" s="1" t="s">
        <v>613</v>
      </c>
      <c r="M12" s="1">
        <v>52694.1</v>
      </c>
      <c r="N12" s="1" t="s">
        <v>608</v>
      </c>
      <c r="O12" s="1" t="s">
        <v>618</v>
      </c>
      <c r="P12" s="1" t="s">
        <v>630</v>
      </c>
      <c r="Q12" s="1" t="s">
        <v>770</v>
      </c>
      <c r="R12" s="1">
        <v>3.4</v>
      </c>
      <c r="S12" s="1" t="s">
        <v>785</v>
      </c>
      <c r="T12" s="1">
        <v>6</v>
      </c>
      <c r="U12" s="3">
        <v>0</v>
      </c>
    </row>
    <row r="13" spans="1:21" x14ac:dyDescent="0.25">
      <c r="A13" s="4" t="s">
        <v>31</v>
      </c>
      <c r="B13" s="1" t="s">
        <v>181</v>
      </c>
      <c r="C13" s="1" t="s">
        <v>255</v>
      </c>
      <c r="D13" s="1" t="s">
        <v>397</v>
      </c>
      <c r="E13" s="1" t="s">
        <v>407</v>
      </c>
      <c r="F13" s="1" t="s">
        <v>423</v>
      </c>
      <c r="G13" s="1" t="s">
        <v>468</v>
      </c>
      <c r="H13" s="33">
        <v>44573</v>
      </c>
      <c r="I13" s="1">
        <v>3</v>
      </c>
      <c r="J13" s="1">
        <v>104023</v>
      </c>
      <c r="K13" s="37">
        <v>0.1</v>
      </c>
      <c r="L13" s="1" t="s">
        <v>615</v>
      </c>
      <c r="M13" s="1">
        <v>280862.09999999998</v>
      </c>
      <c r="N13" s="1" t="s">
        <v>610</v>
      </c>
      <c r="O13" s="1" t="s">
        <v>616</v>
      </c>
      <c r="P13" s="1" t="s">
        <v>631</v>
      </c>
      <c r="Q13" s="1" t="s">
        <v>771</v>
      </c>
      <c r="R13" s="1">
        <v>3.6</v>
      </c>
      <c r="S13" s="1" t="s">
        <v>786</v>
      </c>
      <c r="T13" s="1">
        <v>0</v>
      </c>
      <c r="U13" s="3">
        <v>280862.09999999998</v>
      </c>
    </row>
    <row r="14" spans="1:21" x14ac:dyDescent="0.25">
      <c r="A14" s="4" t="s">
        <v>32</v>
      </c>
      <c r="B14" s="1" t="s">
        <v>182</v>
      </c>
      <c r="C14" s="1" t="s">
        <v>256</v>
      </c>
      <c r="D14" s="1" t="s">
        <v>398</v>
      </c>
      <c r="E14" s="1" t="s">
        <v>403</v>
      </c>
      <c r="F14" s="1" t="s">
        <v>416</v>
      </c>
      <c r="G14" s="1" t="s">
        <v>469</v>
      </c>
      <c r="H14" s="33">
        <v>43898</v>
      </c>
      <c r="I14" s="1">
        <v>4</v>
      </c>
      <c r="J14" s="1">
        <v>34113</v>
      </c>
      <c r="K14" s="37">
        <v>0.1</v>
      </c>
      <c r="L14" s="1" t="s">
        <v>614</v>
      </c>
      <c r="M14" s="1">
        <v>122806.8</v>
      </c>
      <c r="N14" s="1" t="s">
        <v>608</v>
      </c>
      <c r="O14" s="1" t="s">
        <v>618</v>
      </c>
      <c r="P14" s="1" t="s">
        <v>632</v>
      </c>
      <c r="Q14" s="1" t="s">
        <v>772</v>
      </c>
      <c r="R14" s="1">
        <v>4.8</v>
      </c>
      <c r="S14" s="1" t="s">
        <v>787</v>
      </c>
      <c r="T14" s="1">
        <v>0</v>
      </c>
      <c r="U14" s="3">
        <v>0</v>
      </c>
    </row>
    <row r="15" spans="1:21" x14ac:dyDescent="0.25">
      <c r="A15" s="4" t="s">
        <v>33</v>
      </c>
      <c r="B15" s="1" t="s">
        <v>183</v>
      </c>
      <c r="C15" s="1" t="s">
        <v>257</v>
      </c>
      <c r="D15" s="1" t="s">
        <v>394</v>
      </c>
      <c r="E15" s="1" t="s">
        <v>401</v>
      </c>
      <c r="F15" s="1" t="s">
        <v>414</v>
      </c>
      <c r="G15" s="1" t="s">
        <v>470</v>
      </c>
      <c r="H15" s="33">
        <v>45279</v>
      </c>
      <c r="I15" s="1">
        <v>5</v>
      </c>
      <c r="J15" s="1">
        <v>34032</v>
      </c>
      <c r="K15" s="37">
        <v>0.1</v>
      </c>
      <c r="L15" s="1" t="s">
        <v>612</v>
      </c>
      <c r="M15" s="1">
        <v>153144</v>
      </c>
      <c r="N15" s="1" t="s">
        <v>611</v>
      </c>
      <c r="O15" s="1" t="s">
        <v>619</v>
      </c>
      <c r="P15" s="1" t="s">
        <v>633</v>
      </c>
      <c r="Q15" s="1" t="s">
        <v>773</v>
      </c>
      <c r="R15" s="1">
        <v>4</v>
      </c>
      <c r="S15" s="1" t="s">
        <v>788</v>
      </c>
      <c r="T15" s="1">
        <v>0</v>
      </c>
      <c r="U15" s="3">
        <v>0</v>
      </c>
    </row>
    <row r="16" spans="1:21" x14ac:dyDescent="0.25">
      <c r="A16" s="4" t="s">
        <v>34</v>
      </c>
      <c r="B16" s="1" t="s">
        <v>184</v>
      </c>
      <c r="C16" s="1" t="s">
        <v>258</v>
      </c>
      <c r="D16" s="1" t="s">
        <v>395</v>
      </c>
      <c r="E16" s="1" t="s">
        <v>408</v>
      </c>
      <c r="F16" s="1" t="s">
        <v>424</v>
      </c>
      <c r="G16" s="1" t="s">
        <v>471</v>
      </c>
      <c r="H16" s="33">
        <v>44698</v>
      </c>
      <c r="I16" s="1">
        <v>4</v>
      </c>
      <c r="J16" s="1">
        <v>47528</v>
      </c>
      <c r="K16" s="37">
        <v>0.15</v>
      </c>
      <c r="L16" s="1" t="s">
        <v>614</v>
      </c>
      <c r="M16" s="1">
        <v>161595.20000000001</v>
      </c>
      <c r="N16" s="1" t="s">
        <v>609</v>
      </c>
      <c r="O16" s="1" t="s">
        <v>616</v>
      </c>
      <c r="P16" s="1" t="s">
        <v>634</v>
      </c>
      <c r="Q16" s="1" t="s">
        <v>771</v>
      </c>
      <c r="R16" s="1">
        <v>2.9</v>
      </c>
      <c r="S16" s="1" t="s">
        <v>789</v>
      </c>
      <c r="T16" s="1">
        <v>0</v>
      </c>
      <c r="U16" s="3">
        <v>0</v>
      </c>
    </row>
    <row r="17" spans="1:21" x14ac:dyDescent="0.25">
      <c r="A17" s="4" t="s">
        <v>35</v>
      </c>
      <c r="B17" s="1" t="s">
        <v>185</v>
      </c>
      <c r="C17" s="1" t="s">
        <v>259</v>
      </c>
      <c r="D17" s="1" t="s">
        <v>392</v>
      </c>
      <c r="E17" s="1" t="s">
        <v>403</v>
      </c>
      <c r="F17" s="1" t="s">
        <v>425</v>
      </c>
      <c r="G17" s="1" t="s">
        <v>472</v>
      </c>
      <c r="H17" s="33">
        <v>43732</v>
      </c>
      <c r="I17" s="1">
        <v>4</v>
      </c>
      <c r="J17" s="1">
        <v>47596</v>
      </c>
      <c r="K17" s="37">
        <v>0.2</v>
      </c>
      <c r="L17" s="1" t="s">
        <v>615</v>
      </c>
      <c r="M17" s="1">
        <v>152307.20000000001</v>
      </c>
      <c r="N17" s="1" t="s">
        <v>610</v>
      </c>
      <c r="O17" s="1" t="s">
        <v>619</v>
      </c>
      <c r="P17" s="1" t="s">
        <v>635</v>
      </c>
      <c r="Q17" s="1" t="s">
        <v>917</v>
      </c>
      <c r="R17" s="1">
        <v>3.4</v>
      </c>
      <c r="S17" s="1" t="s">
        <v>790</v>
      </c>
      <c r="T17" s="1">
        <v>0</v>
      </c>
      <c r="U17" s="3">
        <v>152307.20000000001</v>
      </c>
    </row>
    <row r="18" spans="1:21" x14ac:dyDescent="0.25">
      <c r="A18" s="4" t="s">
        <v>36</v>
      </c>
      <c r="B18" s="1" t="s">
        <v>170</v>
      </c>
      <c r="C18" s="1" t="s">
        <v>260</v>
      </c>
      <c r="D18" s="1" t="s">
        <v>396</v>
      </c>
      <c r="E18" s="1" t="s">
        <v>404</v>
      </c>
      <c r="F18" s="1" t="s">
        <v>426</v>
      </c>
      <c r="G18" s="1" t="s">
        <v>473</v>
      </c>
      <c r="H18" s="33">
        <v>44882</v>
      </c>
      <c r="I18" s="1">
        <v>4</v>
      </c>
      <c r="J18" s="1">
        <v>54835</v>
      </c>
      <c r="K18" s="37">
        <v>0.2</v>
      </c>
      <c r="L18" s="1" t="s">
        <v>614</v>
      </c>
      <c r="M18" s="1">
        <v>175472</v>
      </c>
      <c r="N18" s="1" t="s">
        <v>610</v>
      </c>
      <c r="O18" s="1" t="s">
        <v>618</v>
      </c>
      <c r="P18" s="1" t="s">
        <v>636</v>
      </c>
      <c r="Q18" s="1" t="s">
        <v>774</v>
      </c>
      <c r="R18" s="1">
        <v>3.4</v>
      </c>
      <c r="S18" s="1" t="s">
        <v>791</v>
      </c>
      <c r="T18" s="1">
        <v>0</v>
      </c>
      <c r="U18" s="3">
        <v>0</v>
      </c>
    </row>
    <row r="19" spans="1:21" x14ac:dyDescent="0.25">
      <c r="A19" s="4" t="s">
        <v>37</v>
      </c>
      <c r="B19" s="1" t="s">
        <v>186</v>
      </c>
      <c r="C19" s="1" t="s">
        <v>261</v>
      </c>
      <c r="D19" s="1" t="s">
        <v>394</v>
      </c>
      <c r="E19" s="1" t="s">
        <v>404</v>
      </c>
      <c r="F19" s="1" t="s">
        <v>417</v>
      </c>
      <c r="G19" s="1" t="s">
        <v>474</v>
      </c>
      <c r="H19" s="33">
        <v>44007</v>
      </c>
      <c r="I19" s="1">
        <v>3</v>
      </c>
      <c r="J19" s="1">
        <v>38001</v>
      </c>
      <c r="K19" s="37">
        <v>0.1</v>
      </c>
      <c r="L19" s="1" t="s">
        <v>614</v>
      </c>
      <c r="M19" s="1">
        <v>102602.7</v>
      </c>
      <c r="N19" s="1" t="s">
        <v>608</v>
      </c>
      <c r="O19" s="1" t="s">
        <v>619</v>
      </c>
      <c r="P19" s="1" t="s">
        <v>637</v>
      </c>
      <c r="Q19" s="1" t="s">
        <v>769</v>
      </c>
      <c r="R19" s="1">
        <v>3.3</v>
      </c>
      <c r="S19" s="1" t="s">
        <v>792</v>
      </c>
      <c r="T19" s="1">
        <v>0</v>
      </c>
      <c r="U19" s="3">
        <v>0</v>
      </c>
    </row>
    <row r="20" spans="1:21" x14ac:dyDescent="0.25">
      <c r="A20" s="4" t="s">
        <v>38</v>
      </c>
      <c r="B20" s="1" t="s">
        <v>187</v>
      </c>
      <c r="C20" s="1" t="s">
        <v>262</v>
      </c>
      <c r="D20" s="1" t="s">
        <v>396</v>
      </c>
      <c r="E20" s="1" t="s">
        <v>409</v>
      </c>
      <c r="F20" s="1" t="s">
        <v>427</v>
      </c>
      <c r="G20" s="1" t="s">
        <v>475</v>
      </c>
      <c r="H20" s="33">
        <v>44557</v>
      </c>
      <c r="I20" s="1">
        <v>4</v>
      </c>
      <c r="J20" s="1">
        <v>19283</v>
      </c>
      <c r="K20" s="37">
        <v>0.1</v>
      </c>
      <c r="L20" s="1" t="s">
        <v>612</v>
      </c>
      <c r="M20" s="1">
        <v>69418.8</v>
      </c>
      <c r="N20" s="1" t="s">
        <v>609</v>
      </c>
      <c r="O20" s="1" t="s">
        <v>617</v>
      </c>
      <c r="P20" s="1" t="s">
        <v>638</v>
      </c>
      <c r="Q20" s="1" t="s">
        <v>769</v>
      </c>
      <c r="R20" s="1">
        <v>3.3</v>
      </c>
      <c r="S20" s="1" t="s">
        <v>793</v>
      </c>
      <c r="T20" s="1">
        <v>0</v>
      </c>
      <c r="U20" s="3">
        <v>0</v>
      </c>
    </row>
    <row r="21" spans="1:21" x14ac:dyDescent="0.25">
      <c r="A21" s="4" t="s">
        <v>39</v>
      </c>
      <c r="B21" s="1" t="s">
        <v>188</v>
      </c>
      <c r="C21" s="1" t="s">
        <v>263</v>
      </c>
      <c r="D21" s="1" t="s">
        <v>394</v>
      </c>
      <c r="E21" s="1" t="s">
        <v>410</v>
      </c>
      <c r="F21" s="1" t="s">
        <v>428</v>
      </c>
      <c r="G21" s="1" t="s">
        <v>476</v>
      </c>
      <c r="H21" s="33">
        <v>43529</v>
      </c>
      <c r="I21" s="1">
        <v>2</v>
      </c>
      <c r="J21" s="1">
        <v>50606</v>
      </c>
      <c r="K21" s="37">
        <v>0.15</v>
      </c>
      <c r="L21" s="1" t="s">
        <v>613</v>
      </c>
      <c r="M21" s="1">
        <v>86030.2</v>
      </c>
      <c r="N21" s="1" t="s">
        <v>608</v>
      </c>
      <c r="O21" s="1" t="s">
        <v>617</v>
      </c>
      <c r="P21" s="1" t="s">
        <v>639</v>
      </c>
      <c r="Q21" s="1" t="s">
        <v>770</v>
      </c>
      <c r="R21" s="1">
        <v>3.4</v>
      </c>
      <c r="S21" s="1" t="s">
        <v>794</v>
      </c>
      <c r="T21" s="1">
        <v>3</v>
      </c>
      <c r="U21" s="3">
        <v>0</v>
      </c>
    </row>
    <row r="22" spans="1:21" x14ac:dyDescent="0.25">
      <c r="A22" s="4" t="s">
        <v>40</v>
      </c>
      <c r="B22" s="1" t="s">
        <v>189</v>
      </c>
      <c r="C22" s="1" t="s">
        <v>264</v>
      </c>
      <c r="D22" s="1" t="s">
        <v>392</v>
      </c>
      <c r="E22" s="1" t="s">
        <v>411</v>
      </c>
      <c r="F22" s="1" t="s">
        <v>429</v>
      </c>
      <c r="G22" s="1" t="s">
        <v>477</v>
      </c>
      <c r="H22" s="33">
        <v>45458</v>
      </c>
      <c r="I22" s="1">
        <v>3</v>
      </c>
      <c r="J22" s="1">
        <v>20210</v>
      </c>
      <c r="K22" s="37">
        <v>0</v>
      </c>
      <c r="L22" s="1" t="s">
        <v>615</v>
      </c>
      <c r="M22" s="1">
        <v>60630</v>
      </c>
      <c r="N22" s="1" t="s">
        <v>611</v>
      </c>
      <c r="O22" s="1" t="s">
        <v>619</v>
      </c>
      <c r="P22" s="1" t="s">
        <v>640</v>
      </c>
      <c r="Q22" s="1" t="s">
        <v>771</v>
      </c>
      <c r="R22" s="1">
        <v>3.6</v>
      </c>
      <c r="S22" s="1" t="s">
        <v>795</v>
      </c>
      <c r="T22" s="1">
        <v>0</v>
      </c>
      <c r="U22" s="3">
        <v>60630</v>
      </c>
    </row>
    <row r="23" spans="1:21" x14ac:dyDescent="0.25">
      <c r="A23" s="4" t="s">
        <v>41</v>
      </c>
      <c r="B23" s="1" t="s">
        <v>190</v>
      </c>
      <c r="C23" s="1" t="s">
        <v>265</v>
      </c>
      <c r="D23" s="1" t="s">
        <v>393</v>
      </c>
      <c r="E23" s="1" t="s">
        <v>402</v>
      </c>
      <c r="F23" s="1" t="s">
        <v>415</v>
      </c>
      <c r="G23" s="1" t="s">
        <v>478</v>
      </c>
      <c r="H23" s="33">
        <v>44454</v>
      </c>
      <c r="I23" s="1">
        <v>1</v>
      </c>
      <c r="J23" s="1">
        <v>28447</v>
      </c>
      <c r="K23" s="37">
        <v>0.05</v>
      </c>
      <c r="L23" s="1" t="s">
        <v>615</v>
      </c>
      <c r="M23" s="1">
        <v>27024.65</v>
      </c>
      <c r="N23" s="1" t="s">
        <v>610</v>
      </c>
      <c r="O23" s="1" t="s">
        <v>617</v>
      </c>
      <c r="P23" s="1" t="s">
        <v>641</v>
      </c>
      <c r="Q23" s="1" t="s">
        <v>772</v>
      </c>
      <c r="R23" s="1">
        <v>4.8</v>
      </c>
      <c r="S23" s="1" t="s">
        <v>796</v>
      </c>
      <c r="T23" s="1">
        <v>0</v>
      </c>
      <c r="U23" s="3">
        <v>27024.65</v>
      </c>
    </row>
    <row r="24" spans="1:21" x14ac:dyDescent="0.25">
      <c r="A24" s="4" t="s">
        <v>42</v>
      </c>
      <c r="B24" s="1" t="s">
        <v>178</v>
      </c>
      <c r="C24" s="1" t="s">
        <v>266</v>
      </c>
      <c r="D24" s="1" t="s">
        <v>396</v>
      </c>
      <c r="E24" s="1" t="s">
        <v>404</v>
      </c>
      <c r="F24" s="1" t="s">
        <v>426</v>
      </c>
      <c r="G24" s="1" t="s">
        <v>479</v>
      </c>
      <c r="H24" s="33">
        <v>44770</v>
      </c>
      <c r="I24" s="1">
        <v>5</v>
      </c>
      <c r="J24" s="1">
        <v>20538</v>
      </c>
      <c r="K24" s="37">
        <v>0.15</v>
      </c>
      <c r="L24" s="1" t="s">
        <v>614</v>
      </c>
      <c r="M24" s="1">
        <v>87286.5</v>
      </c>
      <c r="N24" s="1" t="s">
        <v>610</v>
      </c>
      <c r="O24" s="1" t="s">
        <v>616</v>
      </c>
      <c r="P24" s="1" t="s">
        <v>642</v>
      </c>
      <c r="Q24" s="1" t="s">
        <v>773</v>
      </c>
      <c r="R24" s="1">
        <v>4</v>
      </c>
      <c r="S24" s="1" t="s">
        <v>797</v>
      </c>
      <c r="T24" s="1">
        <v>0</v>
      </c>
      <c r="U24" s="3">
        <v>0</v>
      </c>
    </row>
    <row r="25" spans="1:21" x14ac:dyDescent="0.25">
      <c r="A25" s="4" t="s">
        <v>43</v>
      </c>
      <c r="B25" s="1" t="s">
        <v>191</v>
      </c>
      <c r="C25" s="1" t="s">
        <v>267</v>
      </c>
      <c r="D25" s="1" t="s">
        <v>394</v>
      </c>
      <c r="E25" s="1" t="s">
        <v>406</v>
      </c>
      <c r="F25" s="1" t="s">
        <v>430</v>
      </c>
      <c r="G25" s="1" t="s">
        <v>480</v>
      </c>
      <c r="H25" s="33">
        <v>44554</v>
      </c>
      <c r="I25" s="1">
        <v>1</v>
      </c>
      <c r="J25" s="1">
        <v>75581</v>
      </c>
      <c r="K25" s="37">
        <v>0</v>
      </c>
      <c r="L25" s="1" t="s">
        <v>614</v>
      </c>
      <c r="M25" s="1">
        <v>75581</v>
      </c>
      <c r="N25" s="1" t="s">
        <v>609</v>
      </c>
      <c r="O25" s="1" t="s">
        <v>618</v>
      </c>
      <c r="P25" s="1" t="s">
        <v>643</v>
      </c>
      <c r="Q25" s="1" t="s">
        <v>771</v>
      </c>
      <c r="R25" s="1">
        <v>2.9</v>
      </c>
      <c r="S25" s="1" t="s">
        <v>798</v>
      </c>
      <c r="T25" s="1">
        <v>0</v>
      </c>
      <c r="U25" s="3">
        <v>0</v>
      </c>
    </row>
    <row r="26" spans="1:21" x14ac:dyDescent="0.25">
      <c r="A26" s="4" t="s">
        <v>44</v>
      </c>
      <c r="B26" s="1" t="s">
        <v>177</v>
      </c>
      <c r="C26" s="1" t="s">
        <v>268</v>
      </c>
      <c r="D26" s="1" t="s">
        <v>397</v>
      </c>
      <c r="E26" s="1" t="s">
        <v>409</v>
      </c>
      <c r="F26" s="1" t="s">
        <v>431</v>
      </c>
      <c r="G26" s="1" t="s">
        <v>481</v>
      </c>
      <c r="H26" s="33">
        <v>45388</v>
      </c>
      <c r="I26" s="1">
        <v>2</v>
      </c>
      <c r="J26" s="1">
        <v>85287</v>
      </c>
      <c r="K26" s="37">
        <v>0.2</v>
      </c>
      <c r="L26" s="1" t="s">
        <v>614</v>
      </c>
      <c r="M26" s="1">
        <v>136459.20000000001</v>
      </c>
      <c r="N26" s="1" t="s">
        <v>609</v>
      </c>
      <c r="O26" s="1" t="s">
        <v>617</v>
      </c>
      <c r="P26" s="1" t="s">
        <v>644</v>
      </c>
      <c r="Q26" s="1" t="s">
        <v>917</v>
      </c>
      <c r="R26" s="1">
        <v>3.4</v>
      </c>
      <c r="S26" s="1" t="s">
        <v>799</v>
      </c>
      <c r="T26" s="1">
        <v>0</v>
      </c>
      <c r="U26" s="3">
        <v>0</v>
      </c>
    </row>
    <row r="27" spans="1:21" x14ac:dyDescent="0.25">
      <c r="A27" s="4" t="s">
        <v>45</v>
      </c>
      <c r="B27" s="1" t="s">
        <v>192</v>
      </c>
      <c r="C27" s="1" t="s">
        <v>269</v>
      </c>
      <c r="D27" s="1" t="s">
        <v>396</v>
      </c>
      <c r="E27" s="1" t="s">
        <v>404</v>
      </c>
      <c r="F27" s="1" t="s">
        <v>417</v>
      </c>
      <c r="G27" s="1" t="s">
        <v>482</v>
      </c>
      <c r="H27" s="33">
        <v>43511</v>
      </c>
      <c r="I27" s="1">
        <v>5</v>
      </c>
      <c r="J27" s="1">
        <v>61884</v>
      </c>
      <c r="K27" s="37">
        <v>0.05</v>
      </c>
      <c r="L27" s="1" t="s">
        <v>613</v>
      </c>
      <c r="M27" s="1">
        <v>293949</v>
      </c>
      <c r="N27" s="1" t="s">
        <v>611</v>
      </c>
      <c r="O27" s="1" t="s">
        <v>616</v>
      </c>
      <c r="P27" s="1" t="s">
        <v>645</v>
      </c>
      <c r="Q27" s="1" t="s">
        <v>774</v>
      </c>
      <c r="R27" s="1">
        <v>3.4</v>
      </c>
      <c r="S27" s="1" t="s">
        <v>800</v>
      </c>
      <c r="T27" s="1">
        <v>5</v>
      </c>
      <c r="U27" s="3">
        <v>0</v>
      </c>
    </row>
    <row r="28" spans="1:21" x14ac:dyDescent="0.25">
      <c r="A28" s="4" t="s">
        <v>46</v>
      </c>
      <c r="B28" s="1" t="s">
        <v>181</v>
      </c>
      <c r="C28" s="1" t="s">
        <v>270</v>
      </c>
      <c r="D28" s="1" t="s">
        <v>394</v>
      </c>
      <c r="E28" s="1" t="s">
        <v>412</v>
      </c>
      <c r="F28" s="1" t="s">
        <v>432</v>
      </c>
      <c r="G28" s="1" t="s">
        <v>483</v>
      </c>
      <c r="H28" s="33">
        <v>44157</v>
      </c>
      <c r="I28" s="1">
        <v>2</v>
      </c>
      <c r="J28" s="1">
        <v>55756</v>
      </c>
      <c r="K28" s="37">
        <v>0.1</v>
      </c>
      <c r="L28" s="1" t="s">
        <v>614</v>
      </c>
      <c r="M28" s="1">
        <v>100360.8</v>
      </c>
      <c r="N28" s="1" t="s">
        <v>608</v>
      </c>
      <c r="O28" s="1" t="s">
        <v>616</v>
      </c>
      <c r="P28" s="1" t="s">
        <v>646</v>
      </c>
      <c r="Q28" s="1" t="s">
        <v>769</v>
      </c>
      <c r="R28" s="1">
        <v>3.3</v>
      </c>
      <c r="S28" s="1" t="s">
        <v>801</v>
      </c>
      <c r="T28" s="1">
        <v>0</v>
      </c>
      <c r="U28" s="3">
        <v>0</v>
      </c>
    </row>
    <row r="29" spans="1:21" x14ac:dyDescent="0.25">
      <c r="A29" s="4" t="s">
        <v>47</v>
      </c>
      <c r="B29" s="1" t="s">
        <v>193</v>
      </c>
      <c r="C29" s="1" t="s">
        <v>271</v>
      </c>
      <c r="D29" s="1" t="s">
        <v>393</v>
      </c>
      <c r="E29" s="1" t="s">
        <v>405</v>
      </c>
      <c r="F29" s="1" t="s">
        <v>433</v>
      </c>
      <c r="G29" s="1" t="s">
        <v>484</v>
      </c>
      <c r="H29" s="33">
        <v>45173</v>
      </c>
      <c r="I29" s="1">
        <v>2</v>
      </c>
      <c r="J29" s="1">
        <v>102214</v>
      </c>
      <c r="K29" s="37">
        <v>0</v>
      </c>
      <c r="L29" s="1" t="s">
        <v>614</v>
      </c>
      <c r="M29" s="1">
        <v>204428</v>
      </c>
      <c r="N29" s="1" t="s">
        <v>611</v>
      </c>
      <c r="O29" s="1" t="s">
        <v>617</v>
      </c>
      <c r="P29" s="1" t="s">
        <v>647</v>
      </c>
      <c r="Q29" s="1" t="s">
        <v>769</v>
      </c>
      <c r="R29" s="1">
        <v>3.3</v>
      </c>
      <c r="S29" s="1" t="s">
        <v>802</v>
      </c>
      <c r="T29" s="1">
        <v>0</v>
      </c>
      <c r="U29" s="3">
        <v>0</v>
      </c>
    </row>
    <row r="30" spans="1:21" x14ac:dyDescent="0.25">
      <c r="A30" s="4" t="s">
        <v>48</v>
      </c>
      <c r="B30" s="1" t="s">
        <v>179</v>
      </c>
      <c r="C30" s="1" t="s">
        <v>272</v>
      </c>
      <c r="D30" s="1" t="s">
        <v>393</v>
      </c>
      <c r="E30" s="1" t="s">
        <v>409</v>
      </c>
      <c r="F30" s="1" t="s">
        <v>434</v>
      </c>
      <c r="G30" s="1" t="s">
        <v>485</v>
      </c>
      <c r="H30" s="33">
        <v>44248</v>
      </c>
      <c r="I30" s="1">
        <v>3</v>
      </c>
      <c r="J30" s="1">
        <v>92372</v>
      </c>
      <c r="K30" s="37">
        <v>0.1</v>
      </c>
      <c r="L30" s="1" t="s">
        <v>612</v>
      </c>
      <c r="M30" s="1">
        <v>249404.4</v>
      </c>
      <c r="N30" s="1" t="s">
        <v>611</v>
      </c>
      <c r="O30" s="1" t="s">
        <v>617</v>
      </c>
      <c r="P30" s="1" t="s">
        <v>648</v>
      </c>
      <c r="Q30" s="1" t="s">
        <v>770</v>
      </c>
      <c r="R30" s="1">
        <v>3.4</v>
      </c>
      <c r="S30" s="1" t="s">
        <v>803</v>
      </c>
      <c r="T30" s="1">
        <v>0</v>
      </c>
      <c r="U30" s="3">
        <v>0</v>
      </c>
    </row>
    <row r="31" spans="1:21" x14ac:dyDescent="0.25">
      <c r="A31" s="4" t="s">
        <v>49</v>
      </c>
      <c r="B31" s="1" t="s">
        <v>194</v>
      </c>
      <c r="C31" s="1" t="s">
        <v>273</v>
      </c>
      <c r="D31" s="1" t="s">
        <v>392</v>
      </c>
      <c r="E31" s="1" t="s">
        <v>402</v>
      </c>
      <c r="F31" s="1" t="s">
        <v>435</v>
      </c>
      <c r="G31" s="1" t="s">
        <v>486</v>
      </c>
      <c r="H31" s="33">
        <v>45416</v>
      </c>
      <c r="I31" s="1">
        <v>4</v>
      </c>
      <c r="J31" s="1">
        <v>27354</v>
      </c>
      <c r="K31" s="37">
        <v>0</v>
      </c>
      <c r="L31" s="1" t="s">
        <v>613</v>
      </c>
      <c r="M31" s="1">
        <v>109416</v>
      </c>
      <c r="N31" s="1" t="s">
        <v>611</v>
      </c>
      <c r="O31" s="1" t="s">
        <v>618</v>
      </c>
      <c r="P31" s="1" t="s">
        <v>649</v>
      </c>
      <c r="Q31" s="1" t="s">
        <v>771</v>
      </c>
      <c r="R31" s="1">
        <v>3.6</v>
      </c>
      <c r="S31" s="1" t="s">
        <v>804</v>
      </c>
      <c r="T31" s="1">
        <v>4</v>
      </c>
      <c r="U31" s="3">
        <v>0</v>
      </c>
    </row>
    <row r="32" spans="1:21" x14ac:dyDescent="0.25">
      <c r="A32" s="4" t="s">
        <v>50</v>
      </c>
      <c r="B32" s="1" t="s">
        <v>192</v>
      </c>
      <c r="C32" s="1" t="s">
        <v>274</v>
      </c>
      <c r="D32" s="1" t="s">
        <v>396</v>
      </c>
      <c r="E32" s="1" t="s">
        <v>412</v>
      </c>
      <c r="F32" s="1" t="s">
        <v>436</v>
      </c>
      <c r="G32" s="1" t="s">
        <v>487</v>
      </c>
      <c r="H32" s="33">
        <v>45653</v>
      </c>
      <c r="I32" s="1">
        <v>3</v>
      </c>
      <c r="J32" s="1">
        <v>79437</v>
      </c>
      <c r="K32" s="37">
        <v>0.2</v>
      </c>
      <c r="L32" s="1" t="s">
        <v>612</v>
      </c>
      <c r="M32" s="1">
        <v>190648.8</v>
      </c>
      <c r="N32" s="1" t="s">
        <v>608</v>
      </c>
      <c r="O32" s="1" t="s">
        <v>616</v>
      </c>
      <c r="P32" s="1" t="s">
        <v>650</v>
      </c>
      <c r="Q32" s="1" t="s">
        <v>772</v>
      </c>
      <c r="R32" s="1">
        <v>4.8</v>
      </c>
      <c r="S32" s="1" t="s">
        <v>805</v>
      </c>
      <c r="T32" s="1">
        <v>0</v>
      </c>
      <c r="U32" s="3">
        <v>0</v>
      </c>
    </row>
    <row r="33" spans="1:21" x14ac:dyDescent="0.25">
      <c r="A33" s="4" t="s">
        <v>51</v>
      </c>
      <c r="B33" s="1" t="s">
        <v>179</v>
      </c>
      <c r="C33" s="1" t="s">
        <v>275</v>
      </c>
      <c r="D33" s="1" t="s">
        <v>393</v>
      </c>
      <c r="E33" s="1" t="s">
        <v>400</v>
      </c>
      <c r="F33" s="1" t="s">
        <v>437</v>
      </c>
      <c r="G33" s="1" t="s">
        <v>488</v>
      </c>
      <c r="H33" s="33">
        <v>43947</v>
      </c>
      <c r="I33" s="1">
        <v>4</v>
      </c>
      <c r="J33" s="1">
        <v>99374</v>
      </c>
      <c r="K33" s="37">
        <v>0.05</v>
      </c>
      <c r="L33" s="1" t="s">
        <v>615</v>
      </c>
      <c r="M33" s="1">
        <v>377621.2</v>
      </c>
      <c r="N33" s="1" t="s">
        <v>609</v>
      </c>
      <c r="O33" s="1" t="s">
        <v>617</v>
      </c>
      <c r="P33" s="1" t="s">
        <v>651</v>
      </c>
      <c r="Q33" s="1" t="s">
        <v>773</v>
      </c>
      <c r="R33" s="1">
        <v>4</v>
      </c>
      <c r="S33" s="1" t="s">
        <v>806</v>
      </c>
      <c r="T33" s="1">
        <v>0</v>
      </c>
      <c r="U33" s="3">
        <v>377621.2</v>
      </c>
    </row>
    <row r="34" spans="1:21" x14ac:dyDescent="0.25">
      <c r="A34" s="4" t="s">
        <v>52</v>
      </c>
      <c r="B34" s="1" t="s">
        <v>195</v>
      </c>
      <c r="C34" s="1" t="s">
        <v>276</v>
      </c>
      <c r="D34" s="1" t="s">
        <v>395</v>
      </c>
      <c r="E34" s="1" t="s">
        <v>412</v>
      </c>
      <c r="F34" s="1" t="s">
        <v>436</v>
      </c>
      <c r="G34" s="1" t="s">
        <v>489</v>
      </c>
      <c r="H34" s="33">
        <v>43585</v>
      </c>
      <c r="I34" s="1">
        <v>1</v>
      </c>
      <c r="J34" s="1">
        <v>24386</v>
      </c>
      <c r="K34" s="37">
        <v>0.1</v>
      </c>
      <c r="L34" s="1" t="s">
        <v>614</v>
      </c>
      <c r="M34" s="1">
        <v>21947.4</v>
      </c>
      <c r="N34" s="1" t="s">
        <v>611</v>
      </c>
      <c r="O34" s="1" t="s">
        <v>616</v>
      </c>
      <c r="P34" s="1" t="s">
        <v>652</v>
      </c>
      <c r="Q34" s="1" t="s">
        <v>771</v>
      </c>
      <c r="R34" s="1">
        <v>2.9</v>
      </c>
      <c r="S34" s="1" t="s">
        <v>807</v>
      </c>
      <c r="T34" s="1">
        <v>0</v>
      </c>
      <c r="U34" s="3">
        <v>0</v>
      </c>
    </row>
    <row r="35" spans="1:21" x14ac:dyDescent="0.25">
      <c r="A35" s="4" t="s">
        <v>53</v>
      </c>
      <c r="B35" s="1" t="s">
        <v>196</v>
      </c>
      <c r="C35" s="1" t="s">
        <v>277</v>
      </c>
      <c r="D35" s="1" t="s">
        <v>399</v>
      </c>
      <c r="E35" s="1" t="s">
        <v>403</v>
      </c>
      <c r="F35" s="1" t="s">
        <v>422</v>
      </c>
      <c r="G35" s="1" t="s">
        <v>490</v>
      </c>
      <c r="H35" s="33">
        <v>45339</v>
      </c>
      <c r="I35" s="1">
        <v>3</v>
      </c>
      <c r="J35" s="1">
        <v>67637</v>
      </c>
      <c r="K35" s="37">
        <v>0.15</v>
      </c>
      <c r="L35" s="1" t="s">
        <v>615</v>
      </c>
      <c r="M35" s="1">
        <v>172474.35</v>
      </c>
      <c r="N35" s="1" t="s">
        <v>610</v>
      </c>
      <c r="O35" s="1" t="s">
        <v>619</v>
      </c>
      <c r="P35" s="1" t="s">
        <v>653</v>
      </c>
      <c r="Q35" s="1" t="s">
        <v>917</v>
      </c>
      <c r="R35" s="1">
        <v>3.4</v>
      </c>
      <c r="S35" s="1" t="s">
        <v>808</v>
      </c>
      <c r="T35" s="1">
        <v>0</v>
      </c>
      <c r="U35" s="3">
        <v>172474.35</v>
      </c>
    </row>
    <row r="36" spans="1:21" x14ac:dyDescent="0.25">
      <c r="A36" s="4" t="s">
        <v>54</v>
      </c>
      <c r="B36" s="1" t="s">
        <v>197</v>
      </c>
      <c r="C36" s="1" t="s">
        <v>278</v>
      </c>
      <c r="D36" s="1" t="s">
        <v>394</v>
      </c>
      <c r="E36" s="1" t="s">
        <v>407</v>
      </c>
      <c r="F36" s="1" t="s">
        <v>438</v>
      </c>
      <c r="G36" s="1" t="s">
        <v>491</v>
      </c>
      <c r="H36" s="33">
        <v>43623</v>
      </c>
      <c r="I36" s="1">
        <v>3</v>
      </c>
      <c r="J36" s="1">
        <v>62476</v>
      </c>
      <c r="K36" s="37">
        <v>0.05</v>
      </c>
      <c r="L36" s="1" t="s">
        <v>612</v>
      </c>
      <c r="M36" s="1">
        <v>178056.6</v>
      </c>
      <c r="N36" s="1" t="s">
        <v>609</v>
      </c>
      <c r="O36" s="1" t="s">
        <v>619</v>
      </c>
      <c r="P36" s="1" t="s">
        <v>654</v>
      </c>
      <c r="Q36" s="1" t="s">
        <v>774</v>
      </c>
      <c r="R36" s="1">
        <v>3.4</v>
      </c>
      <c r="S36" s="1" t="s">
        <v>809</v>
      </c>
      <c r="T36" s="1">
        <v>0</v>
      </c>
      <c r="U36" s="3">
        <v>0</v>
      </c>
    </row>
    <row r="37" spans="1:21" x14ac:dyDescent="0.25">
      <c r="A37" s="4" t="s">
        <v>55</v>
      </c>
      <c r="B37" s="1" t="s">
        <v>198</v>
      </c>
      <c r="C37" s="1" t="s">
        <v>279</v>
      </c>
      <c r="D37" s="1" t="s">
        <v>393</v>
      </c>
      <c r="E37" s="1" t="s">
        <v>410</v>
      </c>
      <c r="F37" s="1" t="s">
        <v>439</v>
      </c>
      <c r="G37" s="1" t="s">
        <v>492</v>
      </c>
      <c r="H37" s="33">
        <v>45483</v>
      </c>
      <c r="I37" s="1">
        <v>2</v>
      </c>
      <c r="J37" s="1">
        <v>2623</v>
      </c>
      <c r="K37" s="37">
        <v>0.1</v>
      </c>
      <c r="L37" s="1" t="s">
        <v>612</v>
      </c>
      <c r="M37" s="1">
        <v>4721.3999999999996</v>
      </c>
      <c r="N37" s="1" t="s">
        <v>608</v>
      </c>
      <c r="O37" s="1" t="s">
        <v>618</v>
      </c>
      <c r="P37" s="1" t="s">
        <v>655</v>
      </c>
      <c r="Q37" s="1" t="s">
        <v>769</v>
      </c>
      <c r="R37" s="1">
        <v>3.3</v>
      </c>
      <c r="S37" s="1" t="s">
        <v>810</v>
      </c>
      <c r="T37" s="1">
        <v>0</v>
      </c>
      <c r="U37" s="3">
        <v>0</v>
      </c>
    </row>
    <row r="38" spans="1:21" x14ac:dyDescent="0.25">
      <c r="A38" s="4" t="s">
        <v>56</v>
      </c>
      <c r="B38" s="1" t="s">
        <v>199</v>
      </c>
      <c r="C38" s="1" t="s">
        <v>280</v>
      </c>
      <c r="D38" s="1" t="s">
        <v>393</v>
      </c>
      <c r="E38" s="1" t="s">
        <v>400</v>
      </c>
      <c r="F38" s="1" t="s">
        <v>437</v>
      </c>
      <c r="G38" s="1" t="s">
        <v>493</v>
      </c>
      <c r="H38" s="33">
        <v>43763</v>
      </c>
      <c r="I38" s="1">
        <v>3</v>
      </c>
      <c r="J38" s="1">
        <v>44506</v>
      </c>
      <c r="K38" s="37">
        <v>0.15</v>
      </c>
      <c r="L38" s="1" t="s">
        <v>613</v>
      </c>
      <c r="M38" s="1">
        <v>113490.3</v>
      </c>
      <c r="N38" s="1" t="s">
        <v>608</v>
      </c>
      <c r="O38" s="1" t="s">
        <v>619</v>
      </c>
      <c r="P38" s="1" t="s">
        <v>656</v>
      </c>
      <c r="Q38" s="1" t="s">
        <v>769</v>
      </c>
      <c r="R38" s="1">
        <v>3.3</v>
      </c>
      <c r="S38" s="1" t="s">
        <v>811</v>
      </c>
      <c r="T38" s="1">
        <v>8</v>
      </c>
      <c r="U38" s="3">
        <v>0</v>
      </c>
    </row>
    <row r="39" spans="1:21" x14ac:dyDescent="0.25">
      <c r="A39" s="4" t="s">
        <v>57</v>
      </c>
      <c r="B39" s="1" t="s">
        <v>172</v>
      </c>
      <c r="C39" s="1" t="s">
        <v>281</v>
      </c>
      <c r="D39" s="1" t="s">
        <v>393</v>
      </c>
      <c r="E39" s="1" t="s">
        <v>400</v>
      </c>
      <c r="F39" s="1" t="s">
        <v>437</v>
      </c>
      <c r="G39" s="1" t="s">
        <v>494</v>
      </c>
      <c r="H39" s="33">
        <v>43529</v>
      </c>
      <c r="I39" s="1">
        <v>4</v>
      </c>
      <c r="J39" s="1">
        <v>61199</v>
      </c>
      <c r="K39" s="37">
        <v>0</v>
      </c>
      <c r="L39" s="1" t="s">
        <v>615</v>
      </c>
      <c r="M39" s="1">
        <v>244796</v>
      </c>
      <c r="N39" s="1" t="s">
        <v>611</v>
      </c>
      <c r="O39" s="1" t="s">
        <v>616</v>
      </c>
      <c r="P39" s="1" t="s">
        <v>657</v>
      </c>
      <c r="Q39" s="1" t="s">
        <v>770</v>
      </c>
      <c r="R39" s="1">
        <v>3.4</v>
      </c>
      <c r="S39" s="1" t="s">
        <v>812</v>
      </c>
      <c r="T39" s="1">
        <v>0</v>
      </c>
      <c r="U39" s="3">
        <v>244796</v>
      </c>
    </row>
    <row r="40" spans="1:21" x14ac:dyDescent="0.25">
      <c r="A40" s="4" t="s">
        <v>58</v>
      </c>
      <c r="B40" s="1" t="s">
        <v>200</v>
      </c>
      <c r="C40" s="1" t="s">
        <v>282</v>
      </c>
      <c r="D40" s="1" t="s">
        <v>392</v>
      </c>
      <c r="E40" s="1" t="s">
        <v>408</v>
      </c>
      <c r="F40" s="1" t="s">
        <v>424</v>
      </c>
      <c r="G40" s="1" t="s">
        <v>495</v>
      </c>
      <c r="H40" s="33">
        <v>44364</v>
      </c>
      <c r="I40" s="1">
        <v>1</v>
      </c>
      <c r="J40" s="1">
        <v>46664</v>
      </c>
      <c r="K40" s="37">
        <v>0.2</v>
      </c>
      <c r="L40" s="1" t="s">
        <v>615</v>
      </c>
      <c r="M40" s="1">
        <v>37331.199999999997</v>
      </c>
      <c r="N40" s="1" t="s">
        <v>610</v>
      </c>
      <c r="O40" s="1" t="s">
        <v>616</v>
      </c>
      <c r="P40" s="1" t="s">
        <v>658</v>
      </c>
      <c r="Q40" s="1" t="s">
        <v>771</v>
      </c>
      <c r="R40" s="1">
        <v>3.6</v>
      </c>
      <c r="S40" s="1" t="s">
        <v>813</v>
      </c>
      <c r="T40" s="1">
        <v>0</v>
      </c>
      <c r="U40" s="3">
        <v>37331.199999999997</v>
      </c>
    </row>
    <row r="41" spans="1:21" x14ac:dyDescent="0.25">
      <c r="A41" s="4" t="s">
        <v>59</v>
      </c>
      <c r="B41" s="1" t="s">
        <v>201</v>
      </c>
      <c r="C41" s="1" t="s">
        <v>283</v>
      </c>
      <c r="D41" s="1" t="s">
        <v>394</v>
      </c>
      <c r="E41" s="1" t="s">
        <v>401</v>
      </c>
      <c r="F41" s="1" t="s">
        <v>440</v>
      </c>
      <c r="G41" s="1" t="s">
        <v>496</v>
      </c>
      <c r="H41" s="33">
        <v>45287</v>
      </c>
      <c r="I41" s="1">
        <v>1</v>
      </c>
      <c r="J41" s="1">
        <v>97320</v>
      </c>
      <c r="K41" s="37">
        <v>0</v>
      </c>
      <c r="L41" s="1" t="s">
        <v>612</v>
      </c>
      <c r="M41" s="1">
        <v>97320</v>
      </c>
      <c r="N41" s="1" t="s">
        <v>608</v>
      </c>
      <c r="O41" s="1" t="s">
        <v>617</v>
      </c>
      <c r="P41" s="1" t="s">
        <v>659</v>
      </c>
      <c r="Q41" s="1" t="s">
        <v>772</v>
      </c>
      <c r="R41" s="1">
        <v>4.8</v>
      </c>
      <c r="S41" s="1" t="s">
        <v>814</v>
      </c>
      <c r="T41" s="1">
        <v>0</v>
      </c>
      <c r="U41" s="3">
        <v>0</v>
      </c>
    </row>
    <row r="42" spans="1:21" x14ac:dyDescent="0.25">
      <c r="A42" s="4" t="s">
        <v>60</v>
      </c>
      <c r="B42" s="1" t="s">
        <v>183</v>
      </c>
      <c r="C42" s="1" t="s">
        <v>284</v>
      </c>
      <c r="D42" s="1" t="s">
        <v>392</v>
      </c>
      <c r="E42" s="1" t="s">
        <v>407</v>
      </c>
      <c r="F42" s="1" t="s">
        <v>438</v>
      </c>
      <c r="G42" s="1" t="s">
        <v>497</v>
      </c>
      <c r="H42" s="33">
        <v>44371</v>
      </c>
      <c r="I42" s="1">
        <v>2</v>
      </c>
      <c r="J42" s="1">
        <v>116065</v>
      </c>
      <c r="K42" s="37">
        <v>0.1</v>
      </c>
      <c r="L42" s="1" t="s">
        <v>613</v>
      </c>
      <c r="M42" s="1">
        <v>208917</v>
      </c>
      <c r="N42" s="1" t="s">
        <v>611</v>
      </c>
      <c r="O42" s="1" t="s">
        <v>619</v>
      </c>
      <c r="P42" s="1" t="s">
        <v>660</v>
      </c>
      <c r="Q42" s="1" t="s">
        <v>773</v>
      </c>
      <c r="R42" s="1">
        <v>4</v>
      </c>
      <c r="S42" s="1" t="s">
        <v>815</v>
      </c>
      <c r="T42" s="1">
        <v>4</v>
      </c>
      <c r="U42" s="3">
        <v>0</v>
      </c>
    </row>
    <row r="43" spans="1:21" x14ac:dyDescent="0.25">
      <c r="A43" s="4" t="s">
        <v>61</v>
      </c>
      <c r="B43" s="1" t="s">
        <v>199</v>
      </c>
      <c r="C43" s="1" t="s">
        <v>285</v>
      </c>
      <c r="D43" s="1" t="s">
        <v>394</v>
      </c>
      <c r="E43" s="1" t="s">
        <v>404</v>
      </c>
      <c r="F43" s="1" t="s">
        <v>417</v>
      </c>
      <c r="G43" s="1" t="s">
        <v>498</v>
      </c>
      <c r="H43" s="33">
        <v>43701</v>
      </c>
      <c r="I43" s="1">
        <v>4</v>
      </c>
      <c r="J43" s="1">
        <v>58450</v>
      </c>
      <c r="K43" s="37">
        <v>0.05</v>
      </c>
      <c r="L43" s="1" t="s">
        <v>613</v>
      </c>
      <c r="M43" s="1">
        <v>222110</v>
      </c>
      <c r="N43" s="1" t="s">
        <v>610</v>
      </c>
      <c r="O43" s="1" t="s">
        <v>618</v>
      </c>
      <c r="P43" s="1" t="s">
        <v>661</v>
      </c>
      <c r="Q43" s="1" t="s">
        <v>771</v>
      </c>
      <c r="R43" s="1">
        <v>2.9</v>
      </c>
      <c r="S43" s="1" t="s">
        <v>816</v>
      </c>
      <c r="T43" s="1">
        <v>6</v>
      </c>
      <c r="U43" s="3">
        <v>0</v>
      </c>
    </row>
    <row r="44" spans="1:21" x14ac:dyDescent="0.25">
      <c r="A44" s="4" t="s">
        <v>62</v>
      </c>
      <c r="B44" s="1" t="s">
        <v>202</v>
      </c>
      <c r="C44" s="1" t="s">
        <v>286</v>
      </c>
      <c r="D44" s="1" t="s">
        <v>397</v>
      </c>
      <c r="E44" s="1" t="s">
        <v>400</v>
      </c>
      <c r="F44" s="1" t="s">
        <v>441</v>
      </c>
      <c r="G44" s="1" t="s">
        <v>499</v>
      </c>
      <c r="H44" s="33">
        <v>44429</v>
      </c>
      <c r="I44" s="1">
        <v>5</v>
      </c>
      <c r="J44" s="1">
        <v>69946</v>
      </c>
      <c r="K44" s="37">
        <v>0.1</v>
      </c>
      <c r="L44" s="1" t="s">
        <v>615</v>
      </c>
      <c r="M44" s="1">
        <v>314757</v>
      </c>
      <c r="N44" s="1" t="s">
        <v>611</v>
      </c>
      <c r="O44" s="1" t="s">
        <v>617</v>
      </c>
      <c r="P44" s="1" t="s">
        <v>662</v>
      </c>
      <c r="Q44" s="1" t="s">
        <v>917</v>
      </c>
      <c r="R44" s="1">
        <v>3.4</v>
      </c>
      <c r="S44" s="1" t="s">
        <v>817</v>
      </c>
      <c r="T44" s="1">
        <v>0</v>
      </c>
      <c r="U44" s="3">
        <v>314757</v>
      </c>
    </row>
    <row r="45" spans="1:21" x14ac:dyDescent="0.25">
      <c r="A45" s="4" t="s">
        <v>63</v>
      </c>
      <c r="B45" s="1" t="s">
        <v>186</v>
      </c>
      <c r="C45" s="1" t="s">
        <v>287</v>
      </c>
      <c r="D45" s="1" t="s">
        <v>397</v>
      </c>
      <c r="E45" s="1" t="s">
        <v>410</v>
      </c>
      <c r="F45" s="1" t="s">
        <v>439</v>
      </c>
      <c r="G45" s="1" t="s">
        <v>500</v>
      </c>
      <c r="H45" s="33">
        <v>45202</v>
      </c>
      <c r="I45" s="1">
        <v>1</v>
      </c>
      <c r="J45" s="1">
        <v>107930</v>
      </c>
      <c r="K45" s="37">
        <v>0.15</v>
      </c>
      <c r="L45" s="1" t="s">
        <v>615</v>
      </c>
      <c r="M45" s="1">
        <v>91740.5</v>
      </c>
      <c r="N45" s="1" t="s">
        <v>608</v>
      </c>
      <c r="O45" s="1" t="s">
        <v>616</v>
      </c>
      <c r="P45" s="1" t="s">
        <v>663</v>
      </c>
      <c r="Q45" s="1" t="s">
        <v>774</v>
      </c>
      <c r="R45" s="1">
        <v>3.4</v>
      </c>
      <c r="S45" s="1" t="s">
        <v>818</v>
      </c>
      <c r="T45" s="1">
        <v>0</v>
      </c>
      <c r="U45" s="3">
        <v>91740.5</v>
      </c>
    </row>
    <row r="46" spans="1:21" x14ac:dyDescent="0.25">
      <c r="A46" s="4" t="s">
        <v>64</v>
      </c>
      <c r="B46" s="1" t="s">
        <v>203</v>
      </c>
      <c r="C46" s="1" t="s">
        <v>288</v>
      </c>
      <c r="D46" s="1" t="s">
        <v>395</v>
      </c>
      <c r="E46" s="1" t="s">
        <v>410</v>
      </c>
      <c r="F46" s="1" t="s">
        <v>428</v>
      </c>
      <c r="G46" s="1" t="s">
        <v>501</v>
      </c>
      <c r="H46" s="33">
        <v>45017</v>
      </c>
      <c r="I46" s="1">
        <v>1</v>
      </c>
      <c r="J46" s="1">
        <v>27366</v>
      </c>
      <c r="K46" s="37">
        <v>0</v>
      </c>
      <c r="L46" s="1" t="s">
        <v>615</v>
      </c>
      <c r="M46" s="1">
        <v>27366</v>
      </c>
      <c r="N46" s="1" t="s">
        <v>611</v>
      </c>
      <c r="O46" s="1" t="s">
        <v>617</v>
      </c>
      <c r="P46" s="1" t="s">
        <v>664</v>
      </c>
      <c r="Q46" s="1" t="s">
        <v>769</v>
      </c>
      <c r="R46" s="1">
        <v>3.3</v>
      </c>
      <c r="S46" s="1" t="s">
        <v>819</v>
      </c>
      <c r="T46" s="1">
        <v>0</v>
      </c>
      <c r="U46" s="3">
        <v>27366</v>
      </c>
    </row>
    <row r="47" spans="1:21" x14ac:dyDescent="0.25">
      <c r="A47" s="4" t="s">
        <v>65</v>
      </c>
      <c r="B47" s="1" t="s">
        <v>194</v>
      </c>
      <c r="C47" s="1" t="s">
        <v>289</v>
      </c>
      <c r="D47" s="1" t="s">
        <v>396</v>
      </c>
      <c r="E47" s="1" t="s">
        <v>408</v>
      </c>
      <c r="F47" s="1" t="s">
        <v>442</v>
      </c>
      <c r="G47" s="1" t="s">
        <v>502</v>
      </c>
      <c r="H47" s="33">
        <v>45062</v>
      </c>
      <c r="I47" s="1">
        <v>1</v>
      </c>
      <c r="J47" s="1">
        <v>115251</v>
      </c>
      <c r="K47" s="37">
        <v>0</v>
      </c>
      <c r="L47" s="1" t="s">
        <v>614</v>
      </c>
      <c r="M47" s="1">
        <v>115251</v>
      </c>
      <c r="N47" s="1" t="s">
        <v>611</v>
      </c>
      <c r="O47" s="1" t="s">
        <v>618</v>
      </c>
      <c r="P47" s="1" t="s">
        <v>665</v>
      </c>
      <c r="Q47" s="1" t="s">
        <v>769</v>
      </c>
      <c r="R47" s="1">
        <v>3.3</v>
      </c>
      <c r="S47" s="1" t="s">
        <v>820</v>
      </c>
      <c r="T47" s="1">
        <v>0</v>
      </c>
      <c r="U47" s="3">
        <v>0</v>
      </c>
    </row>
    <row r="48" spans="1:21" x14ac:dyDescent="0.25">
      <c r="A48" s="4" t="s">
        <v>66</v>
      </c>
      <c r="B48" s="1" t="s">
        <v>204</v>
      </c>
      <c r="C48" s="1" t="s">
        <v>290</v>
      </c>
      <c r="D48" s="1" t="s">
        <v>393</v>
      </c>
      <c r="E48" s="1" t="s">
        <v>404</v>
      </c>
      <c r="F48" s="1" t="s">
        <v>426</v>
      </c>
      <c r="G48" s="1" t="s">
        <v>503</v>
      </c>
      <c r="H48" s="33">
        <v>45384</v>
      </c>
      <c r="I48" s="1">
        <v>2</v>
      </c>
      <c r="J48" s="1">
        <v>92182</v>
      </c>
      <c r="K48" s="37">
        <v>0.1</v>
      </c>
      <c r="L48" s="1" t="s">
        <v>614</v>
      </c>
      <c r="M48" s="1">
        <v>165927.6</v>
      </c>
      <c r="N48" s="1" t="s">
        <v>611</v>
      </c>
      <c r="O48" s="1" t="s">
        <v>618</v>
      </c>
      <c r="P48" s="1" t="s">
        <v>666</v>
      </c>
      <c r="Q48" s="1" t="s">
        <v>770</v>
      </c>
      <c r="R48" s="1">
        <v>3.4</v>
      </c>
      <c r="S48" s="1" t="s">
        <v>821</v>
      </c>
      <c r="T48" s="1">
        <v>0</v>
      </c>
      <c r="U48" s="3">
        <v>0</v>
      </c>
    </row>
    <row r="49" spans="1:21" x14ac:dyDescent="0.25">
      <c r="A49" s="4" t="s">
        <v>67</v>
      </c>
      <c r="B49" s="1" t="s">
        <v>205</v>
      </c>
      <c r="C49" s="1" t="s">
        <v>291</v>
      </c>
      <c r="D49" s="1" t="s">
        <v>394</v>
      </c>
      <c r="E49" s="1" t="s">
        <v>403</v>
      </c>
      <c r="F49" s="1" t="s">
        <v>416</v>
      </c>
      <c r="G49" s="1" t="s">
        <v>504</v>
      </c>
      <c r="H49" s="33">
        <v>43938</v>
      </c>
      <c r="I49" s="1">
        <v>1</v>
      </c>
      <c r="J49" s="1">
        <v>82587</v>
      </c>
      <c r="K49" s="37">
        <v>0.1</v>
      </c>
      <c r="L49" s="1" t="s">
        <v>613</v>
      </c>
      <c r="M49" s="1">
        <v>74328.3</v>
      </c>
      <c r="N49" s="1" t="s">
        <v>611</v>
      </c>
      <c r="O49" s="1" t="s">
        <v>617</v>
      </c>
      <c r="P49" s="1" t="s">
        <v>667</v>
      </c>
      <c r="Q49" s="1" t="s">
        <v>771</v>
      </c>
      <c r="R49" s="1">
        <v>3.6</v>
      </c>
      <c r="S49" s="1" t="s">
        <v>822</v>
      </c>
      <c r="T49" s="1">
        <v>3</v>
      </c>
      <c r="U49" s="3">
        <v>0</v>
      </c>
    </row>
    <row r="50" spans="1:21" x14ac:dyDescent="0.25">
      <c r="A50" s="4" t="s">
        <v>68</v>
      </c>
      <c r="B50" s="1" t="s">
        <v>206</v>
      </c>
      <c r="C50" s="1" t="s">
        <v>292</v>
      </c>
      <c r="D50" s="1" t="s">
        <v>395</v>
      </c>
      <c r="E50" s="1" t="s">
        <v>403</v>
      </c>
      <c r="F50" s="1" t="s">
        <v>416</v>
      </c>
      <c r="G50" s="1" t="s">
        <v>505</v>
      </c>
      <c r="H50" s="33">
        <v>44456</v>
      </c>
      <c r="I50" s="1">
        <v>3</v>
      </c>
      <c r="J50" s="1">
        <v>63859</v>
      </c>
      <c r="K50" s="37">
        <v>0.15</v>
      </c>
      <c r="L50" s="1" t="s">
        <v>612</v>
      </c>
      <c r="M50" s="1">
        <v>162840.45000000001</v>
      </c>
      <c r="N50" s="1" t="s">
        <v>610</v>
      </c>
      <c r="O50" s="1" t="s">
        <v>618</v>
      </c>
      <c r="P50" s="1" t="s">
        <v>668</v>
      </c>
      <c r="Q50" s="1" t="s">
        <v>772</v>
      </c>
      <c r="R50" s="1">
        <v>4.8</v>
      </c>
      <c r="S50" s="1" t="s">
        <v>823</v>
      </c>
      <c r="T50" s="1">
        <v>0</v>
      </c>
      <c r="U50" s="3">
        <v>0</v>
      </c>
    </row>
    <row r="51" spans="1:21" x14ac:dyDescent="0.25">
      <c r="A51" s="4" t="s">
        <v>69</v>
      </c>
      <c r="B51" s="1" t="s">
        <v>207</v>
      </c>
      <c r="C51" s="1" t="s">
        <v>293</v>
      </c>
      <c r="D51" s="1" t="s">
        <v>396</v>
      </c>
      <c r="E51" s="1" t="s">
        <v>407</v>
      </c>
      <c r="F51" s="1" t="s">
        <v>443</v>
      </c>
      <c r="G51" s="1" t="s">
        <v>506</v>
      </c>
      <c r="H51" s="33">
        <v>43793</v>
      </c>
      <c r="I51" s="1">
        <v>1</v>
      </c>
      <c r="J51" s="1">
        <v>113850</v>
      </c>
      <c r="K51" s="37">
        <v>0.1</v>
      </c>
      <c r="L51" s="1" t="s">
        <v>612</v>
      </c>
      <c r="M51" s="1">
        <v>102465</v>
      </c>
      <c r="N51" s="1" t="s">
        <v>609</v>
      </c>
      <c r="O51" s="1" t="s">
        <v>619</v>
      </c>
      <c r="P51" s="1" t="s">
        <v>669</v>
      </c>
      <c r="Q51" s="1" t="s">
        <v>773</v>
      </c>
      <c r="R51" s="1">
        <v>4</v>
      </c>
      <c r="S51" s="1" t="s">
        <v>824</v>
      </c>
      <c r="T51" s="1">
        <v>0</v>
      </c>
      <c r="U51" s="3">
        <v>0</v>
      </c>
    </row>
    <row r="52" spans="1:21" x14ac:dyDescent="0.25">
      <c r="A52" s="4" t="s">
        <v>70</v>
      </c>
      <c r="B52" s="1" t="s">
        <v>208</v>
      </c>
      <c r="C52" s="1" t="s">
        <v>294</v>
      </c>
      <c r="D52" s="1" t="s">
        <v>394</v>
      </c>
      <c r="E52" s="1" t="s">
        <v>412</v>
      </c>
      <c r="F52" s="1" t="s">
        <v>444</v>
      </c>
      <c r="G52" s="1" t="s">
        <v>507</v>
      </c>
      <c r="H52" s="33">
        <v>43554</v>
      </c>
      <c r="I52" s="1">
        <v>5</v>
      </c>
      <c r="J52" s="1">
        <v>5515</v>
      </c>
      <c r="K52" s="37">
        <v>0.05</v>
      </c>
      <c r="L52" s="1" t="s">
        <v>613</v>
      </c>
      <c r="M52" s="1">
        <v>26196.25</v>
      </c>
      <c r="N52" s="1" t="s">
        <v>609</v>
      </c>
      <c r="O52" s="1" t="s">
        <v>616</v>
      </c>
      <c r="P52" s="1" t="s">
        <v>670</v>
      </c>
      <c r="Q52" s="1" t="s">
        <v>771</v>
      </c>
      <c r="R52" s="1">
        <v>2.9</v>
      </c>
      <c r="S52" s="1" t="s">
        <v>825</v>
      </c>
      <c r="T52" s="1">
        <v>4</v>
      </c>
      <c r="U52" s="3">
        <v>0</v>
      </c>
    </row>
    <row r="53" spans="1:21" x14ac:dyDescent="0.25">
      <c r="A53" s="4" t="s">
        <v>71</v>
      </c>
      <c r="B53" s="1" t="s">
        <v>193</v>
      </c>
      <c r="C53" s="1" t="s">
        <v>295</v>
      </c>
      <c r="D53" s="1" t="s">
        <v>395</v>
      </c>
      <c r="E53" s="1" t="s">
        <v>403</v>
      </c>
      <c r="F53" s="1" t="s">
        <v>425</v>
      </c>
      <c r="G53" s="1" t="s">
        <v>508</v>
      </c>
      <c r="H53" s="33">
        <v>45151</v>
      </c>
      <c r="I53" s="1">
        <v>4</v>
      </c>
      <c r="J53" s="1">
        <v>76240</v>
      </c>
      <c r="K53" s="37">
        <v>0.1</v>
      </c>
      <c r="L53" s="1" t="s">
        <v>615</v>
      </c>
      <c r="M53" s="1">
        <v>274464</v>
      </c>
      <c r="N53" s="1" t="s">
        <v>609</v>
      </c>
      <c r="O53" s="1" t="s">
        <v>619</v>
      </c>
      <c r="P53" s="1" t="s">
        <v>671</v>
      </c>
      <c r="Q53" s="1" t="s">
        <v>917</v>
      </c>
      <c r="R53" s="1">
        <v>3.4</v>
      </c>
      <c r="S53" s="1" t="s">
        <v>607</v>
      </c>
      <c r="T53" s="1">
        <v>0</v>
      </c>
      <c r="U53" s="3">
        <v>274464</v>
      </c>
    </row>
    <row r="54" spans="1:21" x14ac:dyDescent="0.25">
      <c r="A54" s="4" t="s">
        <v>72</v>
      </c>
      <c r="B54" s="1" t="s">
        <v>176</v>
      </c>
      <c r="C54" s="1" t="s">
        <v>296</v>
      </c>
      <c r="D54" s="1" t="s">
        <v>399</v>
      </c>
      <c r="E54" s="1" t="s">
        <v>400</v>
      </c>
      <c r="F54" s="1" t="s">
        <v>421</v>
      </c>
      <c r="G54" s="1" t="s">
        <v>509</v>
      </c>
      <c r="H54" s="33">
        <v>45457</v>
      </c>
      <c r="I54" s="1">
        <v>5</v>
      </c>
      <c r="J54" s="1">
        <v>55251</v>
      </c>
      <c r="K54" s="37">
        <v>0.05</v>
      </c>
      <c r="L54" s="1" t="s">
        <v>613</v>
      </c>
      <c r="M54" s="1">
        <v>262442.25</v>
      </c>
      <c r="N54" s="1" t="s">
        <v>610</v>
      </c>
      <c r="O54" s="1" t="s">
        <v>619</v>
      </c>
      <c r="P54" s="1" t="s">
        <v>672</v>
      </c>
      <c r="Q54" s="1" t="s">
        <v>774</v>
      </c>
      <c r="R54" s="1">
        <v>3.4</v>
      </c>
      <c r="S54" s="1" t="s">
        <v>826</v>
      </c>
      <c r="T54" s="1">
        <v>7</v>
      </c>
      <c r="U54" s="3">
        <v>0</v>
      </c>
    </row>
    <row r="55" spans="1:21" x14ac:dyDescent="0.25">
      <c r="A55" s="4" t="s">
        <v>73</v>
      </c>
      <c r="B55" s="1" t="s">
        <v>209</v>
      </c>
      <c r="C55" s="1" t="s">
        <v>297</v>
      </c>
      <c r="D55" s="1" t="s">
        <v>394</v>
      </c>
      <c r="E55" s="1" t="s">
        <v>409</v>
      </c>
      <c r="F55" s="1" t="s">
        <v>431</v>
      </c>
      <c r="G55" s="1" t="s">
        <v>510</v>
      </c>
      <c r="H55" s="33">
        <v>45565</v>
      </c>
      <c r="I55" s="1">
        <v>4</v>
      </c>
      <c r="J55" s="1">
        <v>79409</v>
      </c>
      <c r="K55" s="37">
        <v>0</v>
      </c>
      <c r="L55" s="1" t="s">
        <v>614</v>
      </c>
      <c r="M55" s="1">
        <v>317636</v>
      </c>
      <c r="N55" s="1" t="s">
        <v>608</v>
      </c>
      <c r="O55" s="1" t="s">
        <v>616</v>
      </c>
      <c r="P55" s="1" t="s">
        <v>673</v>
      </c>
      <c r="Q55" s="1" t="s">
        <v>769</v>
      </c>
      <c r="R55" s="1">
        <v>3.3</v>
      </c>
      <c r="S55" s="1" t="s">
        <v>827</v>
      </c>
      <c r="T55" s="1">
        <v>0</v>
      </c>
      <c r="U55" s="3">
        <v>0</v>
      </c>
    </row>
    <row r="56" spans="1:21" x14ac:dyDescent="0.25">
      <c r="A56" s="4" t="s">
        <v>74</v>
      </c>
      <c r="B56" s="1" t="s">
        <v>210</v>
      </c>
      <c r="C56" s="1" t="s">
        <v>298</v>
      </c>
      <c r="D56" s="1" t="s">
        <v>396</v>
      </c>
      <c r="E56" s="1" t="s">
        <v>400</v>
      </c>
      <c r="F56" s="1" t="s">
        <v>441</v>
      </c>
      <c r="G56" s="1" t="s">
        <v>511</v>
      </c>
      <c r="H56" s="33">
        <v>44325</v>
      </c>
      <c r="I56" s="1">
        <v>3</v>
      </c>
      <c r="J56" s="1">
        <v>75822</v>
      </c>
      <c r="K56" s="37">
        <v>0.2</v>
      </c>
      <c r="L56" s="1" t="s">
        <v>613</v>
      </c>
      <c r="M56" s="1">
        <v>181972.8</v>
      </c>
      <c r="N56" s="1" t="s">
        <v>611</v>
      </c>
      <c r="O56" s="1" t="s">
        <v>616</v>
      </c>
      <c r="P56" s="1" t="s">
        <v>674</v>
      </c>
      <c r="Q56" s="1" t="s">
        <v>769</v>
      </c>
      <c r="R56" s="1">
        <v>3.3</v>
      </c>
      <c r="S56" s="1" t="s">
        <v>828</v>
      </c>
      <c r="T56" s="1">
        <v>8</v>
      </c>
      <c r="U56" s="3">
        <v>0</v>
      </c>
    </row>
    <row r="57" spans="1:21" x14ac:dyDescent="0.25">
      <c r="A57" s="4" t="s">
        <v>75</v>
      </c>
      <c r="B57" s="1" t="s">
        <v>198</v>
      </c>
      <c r="C57" s="1" t="s">
        <v>279</v>
      </c>
      <c r="D57" s="1" t="s">
        <v>399</v>
      </c>
      <c r="E57" s="1" t="s">
        <v>404</v>
      </c>
      <c r="F57" s="1" t="s">
        <v>417</v>
      </c>
      <c r="G57" s="1" t="s">
        <v>512</v>
      </c>
      <c r="H57" s="33">
        <v>45139</v>
      </c>
      <c r="I57" s="1">
        <v>4</v>
      </c>
      <c r="J57" s="1">
        <v>47809</v>
      </c>
      <c r="K57" s="37">
        <v>0</v>
      </c>
      <c r="L57" s="1" t="s">
        <v>615</v>
      </c>
      <c r="M57" s="1">
        <v>191236</v>
      </c>
      <c r="N57" s="1" t="s">
        <v>609</v>
      </c>
      <c r="O57" s="1" t="s">
        <v>616</v>
      </c>
      <c r="P57" s="1" t="s">
        <v>675</v>
      </c>
      <c r="Q57" s="1" t="s">
        <v>770</v>
      </c>
      <c r="R57" s="1">
        <v>3.4</v>
      </c>
      <c r="S57" s="1" t="s">
        <v>829</v>
      </c>
      <c r="T57" s="1">
        <v>0</v>
      </c>
      <c r="U57" s="3">
        <v>191236</v>
      </c>
    </row>
    <row r="58" spans="1:21" x14ac:dyDescent="0.25">
      <c r="A58" s="4" t="s">
        <v>76</v>
      </c>
      <c r="B58" s="1" t="s">
        <v>204</v>
      </c>
      <c r="C58" s="1" t="s">
        <v>299</v>
      </c>
      <c r="D58" s="1" t="s">
        <v>394</v>
      </c>
      <c r="E58" s="1" t="s">
        <v>406</v>
      </c>
      <c r="F58" s="1" t="s">
        <v>420</v>
      </c>
      <c r="G58" s="1" t="s">
        <v>513</v>
      </c>
      <c r="H58" s="33">
        <v>45419</v>
      </c>
      <c r="I58" s="1">
        <v>1</v>
      </c>
      <c r="J58" s="1">
        <v>53108</v>
      </c>
      <c r="K58" s="37">
        <v>0.1</v>
      </c>
      <c r="L58" s="1" t="s">
        <v>614</v>
      </c>
      <c r="M58" s="1">
        <v>47797.2</v>
      </c>
      <c r="N58" s="1" t="s">
        <v>609</v>
      </c>
      <c r="O58" s="1" t="s">
        <v>619</v>
      </c>
      <c r="P58" s="1" t="s">
        <v>676</v>
      </c>
      <c r="Q58" s="1" t="s">
        <v>771</v>
      </c>
      <c r="R58" s="1">
        <v>3.6</v>
      </c>
      <c r="S58" s="1" t="s">
        <v>830</v>
      </c>
      <c r="T58" s="1">
        <v>0</v>
      </c>
      <c r="U58" s="3">
        <v>0</v>
      </c>
    </row>
    <row r="59" spans="1:21" x14ac:dyDescent="0.25">
      <c r="A59" s="4" t="s">
        <v>77</v>
      </c>
      <c r="B59" s="1" t="s">
        <v>211</v>
      </c>
      <c r="C59" s="1" t="s">
        <v>300</v>
      </c>
      <c r="D59" s="1" t="s">
        <v>398</v>
      </c>
      <c r="E59" s="1" t="s">
        <v>400</v>
      </c>
      <c r="F59" s="1" t="s">
        <v>421</v>
      </c>
      <c r="G59" s="1" t="s">
        <v>514</v>
      </c>
      <c r="H59" s="33">
        <v>43874</v>
      </c>
      <c r="I59" s="1">
        <v>4</v>
      </c>
      <c r="J59" s="1">
        <v>85966</v>
      </c>
      <c r="K59" s="37">
        <v>0</v>
      </c>
      <c r="L59" s="1" t="s">
        <v>613</v>
      </c>
      <c r="M59" s="1">
        <v>343864</v>
      </c>
      <c r="N59" s="1" t="s">
        <v>610</v>
      </c>
      <c r="O59" s="1" t="s">
        <v>617</v>
      </c>
      <c r="P59" s="1" t="s">
        <v>677</v>
      </c>
      <c r="Q59" s="1" t="s">
        <v>772</v>
      </c>
      <c r="R59" s="1">
        <v>4.8</v>
      </c>
      <c r="S59" s="1" t="s">
        <v>831</v>
      </c>
      <c r="T59" s="1">
        <v>3</v>
      </c>
      <c r="U59" s="3">
        <v>0</v>
      </c>
    </row>
    <row r="60" spans="1:21" x14ac:dyDescent="0.25">
      <c r="A60" s="4" t="s">
        <v>78</v>
      </c>
      <c r="B60" s="1" t="s">
        <v>195</v>
      </c>
      <c r="C60" s="1" t="s">
        <v>301</v>
      </c>
      <c r="D60" s="1" t="s">
        <v>394</v>
      </c>
      <c r="E60" s="1" t="s">
        <v>411</v>
      </c>
      <c r="F60" s="1" t="s">
        <v>445</v>
      </c>
      <c r="G60" s="1" t="s">
        <v>515</v>
      </c>
      <c r="H60" s="33">
        <v>44168</v>
      </c>
      <c r="I60" s="1">
        <v>2</v>
      </c>
      <c r="J60" s="1">
        <v>84051</v>
      </c>
      <c r="K60" s="37">
        <v>0</v>
      </c>
      <c r="L60" s="1" t="s">
        <v>615</v>
      </c>
      <c r="M60" s="1">
        <v>168102</v>
      </c>
      <c r="N60" s="1" t="s">
        <v>609</v>
      </c>
      <c r="O60" s="1" t="s">
        <v>616</v>
      </c>
      <c r="P60" s="1" t="s">
        <v>678</v>
      </c>
      <c r="Q60" s="1" t="s">
        <v>773</v>
      </c>
      <c r="R60" s="1">
        <v>4</v>
      </c>
      <c r="S60" s="1" t="s">
        <v>605</v>
      </c>
      <c r="T60" s="1">
        <v>0</v>
      </c>
      <c r="U60" s="3">
        <v>168102</v>
      </c>
    </row>
    <row r="61" spans="1:21" x14ac:dyDescent="0.25">
      <c r="A61" s="4" t="s">
        <v>79</v>
      </c>
      <c r="B61" s="1" t="s">
        <v>186</v>
      </c>
      <c r="C61" s="1" t="s">
        <v>302</v>
      </c>
      <c r="D61" s="1" t="s">
        <v>399</v>
      </c>
      <c r="E61" s="1" t="s">
        <v>407</v>
      </c>
      <c r="F61" s="1" t="s">
        <v>423</v>
      </c>
      <c r="G61" s="1" t="s">
        <v>516</v>
      </c>
      <c r="H61" s="33">
        <v>45428</v>
      </c>
      <c r="I61" s="1">
        <v>4</v>
      </c>
      <c r="J61" s="1">
        <v>103092</v>
      </c>
      <c r="K61" s="37">
        <v>0.1</v>
      </c>
      <c r="L61" s="1" t="s">
        <v>612</v>
      </c>
      <c r="M61" s="1">
        <v>371131.2</v>
      </c>
      <c r="N61" s="1" t="s">
        <v>609</v>
      </c>
      <c r="O61" s="1" t="s">
        <v>619</v>
      </c>
      <c r="P61" s="1" t="s">
        <v>679</v>
      </c>
      <c r="Q61" s="1" t="s">
        <v>771</v>
      </c>
      <c r="R61" s="1">
        <v>2.9</v>
      </c>
      <c r="S61" s="1" t="s">
        <v>832</v>
      </c>
      <c r="T61" s="1">
        <v>0</v>
      </c>
      <c r="U61" s="3">
        <v>0</v>
      </c>
    </row>
    <row r="62" spans="1:21" x14ac:dyDescent="0.25">
      <c r="A62" s="4" t="s">
        <v>80</v>
      </c>
      <c r="B62" s="1" t="s">
        <v>171</v>
      </c>
      <c r="C62" s="1" t="s">
        <v>303</v>
      </c>
      <c r="D62" s="1" t="s">
        <v>393</v>
      </c>
      <c r="E62" s="1" t="s">
        <v>401</v>
      </c>
      <c r="F62" s="1" t="s">
        <v>414</v>
      </c>
      <c r="G62" s="1" t="s">
        <v>517</v>
      </c>
      <c r="H62" s="33">
        <v>44825</v>
      </c>
      <c r="I62" s="1">
        <v>4</v>
      </c>
      <c r="J62" s="1">
        <v>34135</v>
      </c>
      <c r="K62" s="37">
        <v>0.2</v>
      </c>
      <c r="L62" s="1" t="s">
        <v>615</v>
      </c>
      <c r="M62" s="1">
        <v>109232</v>
      </c>
      <c r="N62" s="1" t="s">
        <v>609</v>
      </c>
      <c r="O62" s="1" t="s">
        <v>616</v>
      </c>
      <c r="P62" s="1" t="s">
        <v>680</v>
      </c>
      <c r="Q62" s="1" t="s">
        <v>917</v>
      </c>
      <c r="R62" s="1">
        <v>3.4</v>
      </c>
      <c r="S62" s="1" t="s">
        <v>833</v>
      </c>
      <c r="T62" s="1">
        <v>0</v>
      </c>
      <c r="U62" s="3">
        <v>109232</v>
      </c>
    </row>
    <row r="63" spans="1:21" x14ac:dyDescent="0.25">
      <c r="A63" s="4" t="s">
        <v>81</v>
      </c>
      <c r="B63" s="1" t="s">
        <v>210</v>
      </c>
      <c r="C63" s="1" t="s">
        <v>304</v>
      </c>
      <c r="D63" s="1" t="s">
        <v>399</v>
      </c>
      <c r="E63" s="1" t="s">
        <v>406</v>
      </c>
      <c r="F63" s="1" t="s">
        <v>419</v>
      </c>
      <c r="G63" s="1" t="s">
        <v>518</v>
      </c>
      <c r="H63" s="33">
        <v>43802</v>
      </c>
      <c r="I63" s="1">
        <v>5</v>
      </c>
      <c r="J63" s="1">
        <v>73166</v>
      </c>
      <c r="K63" s="37">
        <v>0.05</v>
      </c>
      <c r="L63" s="1" t="s">
        <v>615</v>
      </c>
      <c r="M63" s="1">
        <v>347538.5</v>
      </c>
      <c r="N63" s="1" t="s">
        <v>609</v>
      </c>
      <c r="O63" s="1" t="s">
        <v>619</v>
      </c>
      <c r="P63" s="1" t="s">
        <v>681</v>
      </c>
      <c r="Q63" s="1" t="s">
        <v>774</v>
      </c>
      <c r="R63" s="1">
        <v>3.4</v>
      </c>
      <c r="S63" s="1" t="s">
        <v>834</v>
      </c>
      <c r="T63" s="1">
        <v>0</v>
      </c>
      <c r="U63" s="3">
        <v>347538.5</v>
      </c>
    </row>
    <row r="64" spans="1:21" x14ac:dyDescent="0.25">
      <c r="A64" s="4" t="s">
        <v>82</v>
      </c>
      <c r="B64" s="1" t="s">
        <v>212</v>
      </c>
      <c r="C64" s="1" t="s">
        <v>305</v>
      </c>
      <c r="D64" s="1" t="s">
        <v>398</v>
      </c>
      <c r="E64" s="1" t="s">
        <v>407</v>
      </c>
      <c r="F64" s="1" t="s">
        <v>438</v>
      </c>
      <c r="G64" s="1" t="s">
        <v>519</v>
      </c>
      <c r="H64" s="33">
        <v>44898</v>
      </c>
      <c r="I64" s="1">
        <v>5</v>
      </c>
      <c r="J64" s="1">
        <v>83854</v>
      </c>
      <c r="K64" s="37">
        <v>0.05</v>
      </c>
      <c r="L64" s="1" t="s">
        <v>614</v>
      </c>
      <c r="M64" s="1">
        <v>398306.5</v>
      </c>
      <c r="N64" s="1" t="s">
        <v>609</v>
      </c>
      <c r="O64" s="1" t="s">
        <v>619</v>
      </c>
      <c r="P64" s="1" t="s">
        <v>682</v>
      </c>
      <c r="Q64" s="1" t="s">
        <v>769</v>
      </c>
      <c r="R64" s="1">
        <v>3.3</v>
      </c>
      <c r="S64" s="1" t="s">
        <v>835</v>
      </c>
      <c r="T64" s="1">
        <v>0</v>
      </c>
      <c r="U64" s="3">
        <v>0</v>
      </c>
    </row>
    <row r="65" spans="1:21" x14ac:dyDescent="0.25">
      <c r="A65" s="4" t="s">
        <v>83</v>
      </c>
      <c r="B65" s="1" t="s">
        <v>210</v>
      </c>
      <c r="C65" s="1" t="s">
        <v>306</v>
      </c>
      <c r="D65" s="1" t="s">
        <v>397</v>
      </c>
      <c r="E65" s="1" t="s">
        <v>408</v>
      </c>
      <c r="F65" s="1" t="s">
        <v>424</v>
      </c>
      <c r="G65" s="1" t="s">
        <v>520</v>
      </c>
      <c r="H65" s="33">
        <v>43913</v>
      </c>
      <c r="I65" s="1">
        <v>2</v>
      </c>
      <c r="J65" s="1">
        <v>44874</v>
      </c>
      <c r="K65" s="37">
        <v>0</v>
      </c>
      <c r="L65" s="1" t="s">
        <v>612</v>
      </c>
      <c r="M65" s="1">
        <v>89748</v>
      </c>
      <c r="N65" s="1" t="s">
        <v>610</v>
      </c>
      <c r="O65" s="1" t="s">
        <v>617</v>
      </c>
      <c r="P65" s="1" t="s">
        <v>683</v>
      </c>
      <c r="Q65" s="1" t="s">
        <v>769</v>
      </c>
      <c r="R65" s="1">
        <v>3.3</v>
      </c>
      <c r="S65" s="1" t="s">
        <v>836</v>
      </c>
      <c r="T65" s="1">
        <v>0</v>
      </c>
      <c r="U65" s="3">
        <v>0</v>
      </c>
    </row>
    <row r="66" spans="1:21" x14ac:dyDescent="0.25">
      <c r="A66" s="4" t="s">
        <v>84</v>
      </c>
      <c r="B66" s="1" t="s">
        <v>213</v>
      </c>
      <c r="C66" s="1" t="s">
        <v>307</v>
      </c>
      <c r="D66" s="1" t="s">
        <v>396</v>
      </c>
      <c r="E66" s="1" t="s">
        <v>410</v>
      </c>
      <c r="F66" s="1" t="s">
        <v>439</v>
      </c>
      <c r="G66" s="1" t="s">
        <v>521</v>
      </c>
      <c r="H66" s="33">
        <v>45400</v>
      </c>
      <c r="I66" s="1">
        <v>4</v>
      </c>
      <c r="J66" s="1">
        <v>78292</v>
      </c>
      <c r="K66" s="37">
        <v>0.1</v>
      </c>
      <c r="L66" s="1" t="s">
        <v>615</v>
      </c>
      <c r="M66" s="1">
        <v>281851.2</v>
      </c>
      <c r="N66" s="1" t="s">
        <v>609</v>
      </c>
      <c r="O66" s="1" t="s">
        <v>619</v>
      </c>
      <c r="P66" s="1" t="s">
        <v>684</v>
      </c>
      <c r="Q66" s="1" t="s">
        <v>770</v>
      </c>
      <c r="R66" s="1">
        <v>3.4</v>
      </c>
      <c r="S66" s="1" t="s">
        <v>837</v>
      </c>
      <c r="T66" s="1">
        <v>0</v>
      </c>
      <c r="U66" s="3">
        <v>281851.2</v>
      </c>
    </row>
    <row r="67" spans="1:21" x14ac:dyDescent="0.25">
      <c r="A67" s="4" t="s">
        <v>85</v>
      </c>
      <c r="B67" s="1" t="s">
        <v>195</v>
      </c>
      <c r="C67" s="1" t="s">
        <v>308</v>
      </c>
      <c r="D67" s="1" t="s">
        <v>392</v>
      </c>
      <c r="E67" s="1" t="s">
        <v>410</v>
      </c>
      <c r="F67" s="1" t="s">
        <v>439</v>
      </c>
      <c r="G67" s="1" t="s">
        <v>522</v>
      </c>
      <c r="H67" s="33">
        <v>44576</v>
      </c>
      <c r="I67" s="1">
        <v>3</v>
      </c>
      <c r="J67" s="1">
        <v>28307</v>
      </c>
      <c r="K67" s="37">
        <v>0.1</v>
      </c>
      <c r="L67" s="1" t="s">
        <v>613</v>
      </c>
      <c r="M67" s="1">
        <v>76428.899999999994</v>
      </c>
      <c r="N67" s="1" t="s">
        <v>608</v>
      </c>
      <c r="O67" s="1" t="s">
        <v>616</v>
      </c>
      <c r="P67" s="1" t="s">
        <v>685</v>
      </c>
      <c r="Q67" s="1" t="s">
        <v>771</v>
      </c>
      <c r="R67" s="1">
        <v>3.6</v>
      </c>
      <c r="S67" s="1" t="s">
        <v>834</v>
      </c>
      <c r="T67" s="1">
        <v>3</v>
      </c>
      <c r="U67" s="3">
        <v>0</v>
      </c>
    </row>
    <row r="68" spans="1:21" x14ac:dyDescent="0.25">
      <c r="A68" s="4" t="s">
        <v>86</v>
      </c>
      <c r="B68" s="1" t="s">
        <v>203</v>
      </c>
      <c r="C68" s="1" t="s">
        <v>309</v>
      </c>
      <c r="D68" s="1" t="s">
        <v>399</v>
      </c>
      <c r="E68" s="1" t="s">
        <v>408</v>
      </c>
      <c r="F68" s="1" t="s">
        <v>446</v>
      </c>
      <c r="G68" s="1" t="s">
        <v>523</v>
      </c>
      <c r="H68" s="33">
        <v>43550</v>
      </c>
      <c r="I68" s="1">
        <v>2</v>
      </c>
      <c r="J68" s="1">
        <v>107502</v>
      </c>
      <c r="K68" s="37">
        <v>0.2</v>
      </c>
      <c r="L68" s="1" t="s">
        <v>613</v>
      </c>
      <c r="M68" s="1">
        <v>172003.20000000001</v>
      </c>
      <c r="N68" s="1" t="s">
        <v>608</v>
      </c>
      <c r="O68" s="1" t="s">
        <v>618</v>
      </c>
      <c r="P68" s="1" t="s">
        <v>686</v>
      </c>
      <c r="Q68" s="1" t="s">
        <v>772</v>
      </c>
      <c r="R68" s="1">
        <v>4.8</v>
      </c>
      <c r="S68" s="1" t="s">
        <v>838</v>
      </c>
      <c r="T68" s="1">
        <v>7</v>
      </c>
      <c r="U68" s="3">
        <v>0</v>
      </c>
    </row>
    <row r="69" spans="1:21" x14ac:dyDescent="0.25">
      <c r="A69" s="4" t="s">
        <v>87</v>
      </c>
      <c r="B69" s="1" t="s">
        <v>214</v>
      </c>
      <c r="C69" s="1" t="s">
        <v>310</v>
      </c>
      <c r="D69" s="1" t="s">
        <v>397</v>
      </c>
      <c r="E69" s="1" t="s">
        <v>407</v>
      </c>
      <c r="F69" s="1" t="s">
        <v>438</v>
      </c>
      <c r="G69" s="1" t="s">
        <v>524</v>
      </c>
      <c r="H69" s="33">
        <v>44921</v>
      </c>
      <c r="I69" s="1">
        <v>3</v>
      </c>
      <c r="J69" s="1">
        <v>41277</v>
      </c>
      <c r="K69" s="37">
        <v>0.2</v>
      </c>
      <c r="L69" s="1" t="s">
        <v>612</v>
      </c>
      <c r="M69" s="1">
        <v>99064.8</v>
      </c>
      <c r="N69" s="1" t="s">
        <v>611</v>
      </c>
      <c r="O69" s="1" t="s">
        <v>619</v>
      </c>
      <c r="P69" s="1" t="s">
        <v>687</v>
      </c>
      <c r="Q69" s="1" t="s">
        <v>773</v>
      </c>
      <c r="R69" s="1">
        <v>4</v>
      </c>
      <c r="S69" s="1" t="s">
        <v>839</v>
      </c>
      <c r="T69" s="1">
        <v>0</v>
      </c>
      <c r="U69" s="3">
        <v>0</v>
      </c>
    </row>
    <row r="70" spans="1:21" x14ac:dyDescent="0.25">
      <c r="A70" s="4" t="s">
        <v>88</v>
      </c>
      <c r="B70" s="1" t="s">
        <v>215</v>
      </c>
      <c r="C70" s="1" t="s">
        <v>311</v>
      </c>
      <c r="D70" s="1" t="s">
        <v>394</v>
      </c>
      <c r="E70" s="1" t="s">
        <v>402</v>
      </c>
      <c r="F70" s="1" t="s">
        <v>435</v>
      </c>
      <c r="G70" s="1" t="s">
        <v>525</v>
      </c>
      <c r="H70" s="33">
        <v>45653</v>
      </c>
      <c r="I70" s="1">
        <v>2</v>
      </c>
      <c r="J70" s="1">
        <v>77515</v>
      </c>
      <c r="K70" s="37">
        <v>0.1</v>
      </c>
      <c r="L70" s="1" t="s">
        <v>614</v>
      </c>
      <c r="M70" s="1">
        <v>139527</v>
      </c>
      <c r="N70" s="1" t="s">
        <v>610</v>
      </c>
      <c r="O70" s="1" t="s">
        <v>619</v>
      </c>
      <c r="P70" s="1" t="s">
        <v>688</v>
      </c>
      <c r="Q70" s="1" t="s">
        <v>771</v>
      </c>
      <c r="R70" s="1">
        <v>2.9</v>
      </c>
      <c r="S70" s="1" t="s">
        <v>840</v>
      </c>
      <c r="T70" s="1">
        <v>0</v>
      </c>
      <c r="U70" s="3">
        <v>0</v>
      </c>
    </row>
    <row r="71" spans="1:21" x14ac:dyDescent="0.25">
      <c r="A71" s="4" t="s">
        <v>89</v>
      </c>
      <c r="B71" s="1" t="s">
        <v>186</v>
      </c>
      <c r="C71" s="1" t="s">
        <v>312</v>
      </c>
      <c r="D71" s="1" t="s">
        <v>395</v>
      </c>
      <c r="E71" s="1" t="s">
        <v>404</v>
      </c>
      <c r="F71" s="1" t="s">
        <v>417</v>
      </c>
      <c r="G71" s="1" t="s">
        <v>526</v>
      </c>
      <c r="H71" s="33">
        <v>44811</v>
      </c>
      <c r="I71" s="1">
        <v>2</v>
      </c>
      <c r="J71" s="1">
        <v>24987</v>
      </c>
      <c r="K71" s="37">
        <v>0</v>
      </c>
      <c r="L71" s="1" t="s">
        <v>615</v>
      </c>
      <c r="M71" s="1">
        <v>49974</v>
      </c>
      <c r="N71" s="1" t="s">
        <v>611</v>
      </c>
      <c r="O71" s="1" t="s">
        <v>618</v>
      </c>
      <c r="P71" s="1" t="s">
        <v>689</v>
      </c>
      <c r="Q71" s="1" t="s">
        <v>917</v>
      </c>
      <c r="R71" s="1">
        <v>3.4</v>
      </c>
      <c r="S71" s="1" t="s">
        <v>841</v>
      </c>
      <c r="T71" s="1">
        <v>0</v>
      </c>
      <c r="U71" s="3">
        <v>49974</v>
      </c>
    </row>
    <row r="72" spans="1:21" x14ac:dyDescent="0.25">
      <c r="A72" s="4" t="s">
        <v>90</v>
      </c>
      <c r="B72" s="1" t="s">
        <v>216</v>
      </c>
      <c r="C72" s="1" t="s">
        <v>313</v>
      </c>
      <c r="D72" s="1" t="s">
        <v>393</v>
      </c>
      <c r="E72" s="1" t="s">
        <v>405</v>
      </c>
      <c r="F72" s="1" t="s">
        <v>433</v>
      </c>
      <c r="G72" s="1" t="s">
        <v>527</v>
      </c>
      <c r="H72" s="33">
        <v>45547</v>
      </c>
      <c r="I72" s="1">
        <v>3</v>
      </c>
      <c r="J72" s="1">
        <v>81873</v>
      </c>
      <c r="K72" s="37">
        <v>0.2</v>
      </c>
      <c r="L72" s="1" t="s">
        <v>613</v>
      </c>
      <c r="M72" s="1">
        <v>196495.2</v>
      </c>
      <c r="N72" s="1" t="s">
        <v>609</v>
      </c>
      <c r="O72" s="1" t="s">
        <v>616</v>
      </c>
      <c r="P72" s="1" t="s">
        <v>690</v>
      </c>
      <c r="Q72" s="1" t="s">
        <v>774</v>
      </c>
      <c r="R72" s="1">
        <v>3.4</v>
      </c>
      <c r="S72" s="1" t="s">
        <v>842</v>
      </c>
      <c r="T72" s="1">
        <v>9</v>
      </c>
      <c r="U72" s="3">
        <v>0</v>
      </c>
    </row>
    <row r="73" spans="1:21" x14ac:dyDescent="0.25">
      <c r="A73" s="4" t="s">
        <v>91</v>
      </c>
      <c r="B73" s="1" t="s">
        <v>217</v>
      </c>
      <c r="C73" s="1" t="s">
        <v>314</v>
      </c>
      <c r="D73" s="1" t="s">
        <v>399</v>
      </c>
      <c r="E73" s="1" t="s">
        <v>411</v>
      </c>
      <c r="F73" s="1" t="s">
        <v>447</v>
      </c>
      <c r="G73" s="1" t="s">
        <v>528</v>
      </c>
      <c r="H73" s="33">
        <v>44718</v>
      </c>
      <c r="I73" s="1">
        <v>4</v>
      </c>
      <c r="J73" s="1">
        <v>85182</v>
      </c>
      <c r="K73" s="37">
        <v>0.05</v>
      </c>
      <c r="L73" s="1" t="s">
        <v>613</v>
      </c>
      <c r="M73" s="1">
        <v>323691.59999999998</v>
      </c>
      <c r="N73" s="1" t="s">
        <v>610</v>
      </c>
      <c r="O73" s="1" t="s">
        <v>619</v>
      </c>
      <c r="P73" s="1" t="s">
        <v>691</v>
      </c>
      <c r="Q73" s="1" t="s">
        <v>769</v>
      </c>
      <c r="R73" s="1">
        <v>3.3</v>
      </c>
      <c r="S73" s="1" t="s">
        <v>843</v>
      </c>
      <c r="T73" s="1">
        <v>3</v>
      </c>
      <c r="U73" s="3">
        <v>0</v>
      </c>
    </row>
    <row r="74" spans="1:21" x14ac:dyDescent="0.25">
      <c r="A74" s="4" t="s">
        <v>92</v>
      </c>
      <c r="B74" s="1" t="s">
        <v>173</v>
      </c>
      <c r="C74" s="1" t="s">
        <v>315</v>
      </c>
      <c r="D74" s="1" t="s">
        <v>394</v>
      </c>
      <c r="E74" s="1" t="s">
        <v>404</v>
      </c>
      <c r="F74" s="1" t="s">
        <v>426</v>
      </c>
      <c r="G74" s="1" t="s">
        <v>529</v>
      </c>
      <c r="H74" s="33">
        <v>45483</v>
      </c>
      <c r="I74" s="1">
        <v>5</v>
      </c>
      <c r="J74" s="1">
        <v>56542</v>
      </c>
      <c r="K74" s="37">
        <v>0.15</v>
      </c>
      <c r="L74" s="1" t="s">
        <v>612</v>
      </c>
      <c r="M74" s="1">
        <v>240303.5</v>
      </c>
      <c r="N74" s="1" t="s">
        <v>610</v>
      </c>
      <c r="O74" s="1" t="s">
        <v>618</v>
      </c>
      <c r="P74" s="1" t="s">
        <v>692</v>
      </c>
      <c r="Q74" s="1" t="s">
        <v>769</v>
      </c>
      <c r="R74" s="1">
        <v>3.3</v>
      </c>
      <c r="S74" s="1" t="s">
        <v>844</v>
      </c>
      <c r="T74" s="1">
        <v>0</v>
      </c>
      <c r="U74" s="3">
        <v>0</v>
      </c>
    </row>
    <row r="75" spans="1:21" x14ac:dyDescent="0.25">
      <c r="A75" s="4" t="s">
        <v>93</v>
      </c>
      <c r="B75" s="1" t="s">
        <v>218</v>
      </c>
      <c r="C75" s="1" t="s">
        <v>316</v>
      </c>
      <c r="D75" s="1" t="s">
        <v>398</v>
      </c>
      <c r="E75" s="1" t="s">
        <v>406</v>
      </c>
      <c r="F75" s="1" t="s">
        <v>420</v>
      </c>
      <c r="G75" s="1" t="s">
        <v>530</v>
      </c>
      <c r="H75" s="33">
        <v>43712</v>
      </c>
      <c r="I75" s="1">
        <v>5</v>
      </c>
      <c r="J75" s="1">
        <v>24312</v>
      </c>
      <c r="K75" s="37">
        <v>0.15</v>
      </c>
      <c r="L75" s="1" t="s">
        <v>612</v>
      </c>
      <c r="M75" s="1">
        <v>103326</v>
      </c>
      <c r="N75" s="1" t="s">
        <v>608</v>
      </c>
      <c r="O75" s="1" t="s">
        <v>616</v>
      </c>
      <c r="P75" s="1" t="s">
        <v>693</v>
      </c>
      <c r="Q75" s="1" t="s">
        <v>770</v>
      </c>
      <c r="R75" s="1">
        <v>3.4</v>
      </c>
      <c r="S75" s="1" t="s">
        <v>845</v>
      </c>
      <c r="T75" s="1">
        <v>0</v>
      </c>
      <c r="U75" s="3">
        <v>0</v>
      </c>
    </row>
    <row r="76" spans="1:21" x14ac:dyDescent="0.25">
      <c r="A76" s="4" t="s">
        <v>94</v>
      </c>
      <c r="B76" s="1" t="s">
        <v>219</v>
      </c>
      <c r="C76" s="1" t="s">
        <v>317</v>
      </c>
      <c r="D76" s="1" t="s">
        <v>397</v>
      </c>
      <c r="E76" s="1" t="s">
        <v>412</v>
      </c>
      <c r="F76" s="1" t="s">
        <v>436</v>
      </c>
      <c r="G76" s="1" t="s">
        <v>531</v>
      </c>
      <c r="H76" s="33">
        <v>43571</v>
      </c>
      <c r="I76" s="1">
        <v>3</v>
      </c>
      <c r="J76" s="1">
        <v>80966</v>
      </c>
      <c r="K76" s="37">
        <v>0.15</v>
      </c>
      <c r="L76" s="1" t="s">
        <v>613</v>
      </c>
      <c r="M76" s="1">
        <v>206463.3</v>
      </c>
      <c r="N76" s="1" t="s">
        <v>610</v>
      </c>
      <c r="O76" s="1" t="s">
        <v>617</v>
      </c>
      <c r="P76" s="1" t="s">
        <v>694</v>
      </c>
      <c r="Q76" s="1" t="s">
        <v>771</v>
      </c>
      <c r="R76" s="1">
        <v>3.6</v>
      </c>
      <c r="S76" s="1" t="s">
        <v>846</v>
      </c>
      <c r="T76" s="1">
        <v>4</v>
      </c>
      <c r="U76" s="3">
        <v>0</v>
      </c>
    </row>
    <row r="77" spans="1:21" x14ac:dyDescent="0.25">
      <c r="A77" s="4" t="s">
        <v>95</v>
      </c>
      <c r="B77" s="1" t="s">
        <v>179</v>
      </c>
      <c r="C77" s="1" t="s">
        <v>318</v>
      </c>
      <c r="D77" s="1" t="s">
        <v>393</v>
      </c>
      <c r="E77" s="1" t="s">
        <v>411</v>
      </c>
      <c r="F77" s="1" t="s">
        <v>445</v>
      </c>
      <c r="G77" s="1" t="s">
        <v>532</v>
      </c>
      <c r="H77" s="33">
        <v>43656</v>
      </c>
      <c r="I77" s="1">
        <v>5</v>
      </c>
      <c r="J77" s="1">
        <v>35258</v>
      </c>
      <c r="K77" s="37">
        <v>0</v>
      </c>
      <c r="L77" s="1" t="s">
        <v>613</v>
      </c>
      <c r="M77" s="1">
        <v>176290</v>
      </c>
      <c r="N77" s="1" t="s">
        <v>611</v>
      </c>
      <c r="O77" s="1" t="s">
        <v>618</v>
      </c>
      <c r="P77" s="1" t="s">
        <v>695</v>
      </c>
      <c r="Q77" s="1" t="s">
        <v>772</v>
      </c>
      <c r="R77" s="1">
        <v>4.8</v>
      </c>
      <c r="S77" s="1" t="s">
        <v>847</v>
      </c>
      <c r="T77" s="1">
        <v>10</v>
      </c>
      <c r="U77" s="3">
        <v>0</v>
      </c>
    </row>
    <row r="78" spans="1:21" x14ac:dyDescent="0.25">
      <c r="A78" s="4" t="s">
        <v>96</v>
      </c>
      <c r="B78" s="1" t="s">
        <v>220</v>
      </c>
      <c r="C78" s="1" t="s">
        <v>319</v>
      </c>
      <c r="D78" s="1" t="s">
        <v>399</v>
      </c>
      <c r="E78" s="1" t="s">
        <v>400</v>
      </c>
      <c r="F78" s="1" t="s">
        <v>421</v>
      </c>
      <c r="G78" s="1" t="s">
        <v>533</v>
      </c>
      <c r="H78" s="33">
        <v>43893</v>
      </c>
      <c r="I78" s="1">
        <v>2</v>
      </c>
      <c r="J78" s="1">
        <v>10120</v>
      </c>
      <c r="K78" s="37">
        <v>0.2</v>
      </c>
      <c r="L78" s="1" t="s">
        <v>613</v>
      </c>
      <c r="M78" s="1">
        <v>16192</v>
      </c>
      <c r="N78" s="1" t="s">
        <v>610</v>
      </c>
      <c r="O78" s="1" t="s">
        <v>616</v>
      </c>
      <c r="P78" s="1" t="s">
        <v>696</v>
      </c>
      <c r="Q78" s="1" t="s">
        <v>773</v>
      </c>
      <c r="R78" s="1">
        <v>4</v>
      </c>
      <c r="S78" s="1" t="s">
        <v>848</v>
      </c>
      <c r="T78" s="1">
        <v>10</v>
      </c>
      <c r="U78" s="3">
        <v>0</v>
      </c>
    </row>
    <row r="79" spans="1:21" x14ac:dyDescent="0.25">
      <c r="A79" s="4" t="s">
        <v>97</v>
      </c>
      <c r="B79" s="1" t="s">
        <v>178</v>
      </c>
      <c r="C79" s="1" t="s">
        <v>320</v>
      </c>
      <c r="D79" s="1" t="s">
        <v>399</v>
      </c>
      <c r="E79" s="1" t="s">
        <v>411</v>
      </c>
      <c r="F79" s="1" t="s">
        <v>447</v>
      </c>
      <c r="G79" s="1" t="s">
        <v>534</v>
      </c>
      <c r="H79" s="33">
        <v>43863</v>
      </c>
      <c r="I79" s="1">
        <v>2</v>
      </c>
      <c r="J79" s="1">
        <v>80875</v>
      </c>
      <c r="K79" s="37">
        <v>0.05</v>
      </c>
      <c r="L79" s="1" t="s">
        <v>613</v>
      </c>
      <c r="M79" s="1">
        <v>153662.5</v>
      </c>
      <c r="N79" s="1" t="s">
        <v>608</v>
      </c>
      <c r="O79" s="1" t="s">
        <v>617</v>
      </c>
      <c r="P79" s="1" t="s">
        <v>697</v>
      </c>
      <c r="Q79" s="1" t="s">
        <v>771</v>
      </c>
      <c r="R79" s="1">
        <v>2.9</v>
      </c>
      <c r="S79" s="1" t="s">
        <v>849</v>
      </c>
      <c r="T79" s="1">
        <v>9</v>
      </c>
      <c r="U79" s="3">
        <v>0</v>
      </c>
    </row>
    <row r="80" spans="1:21" x14ac:dyDescent="0.25">
      <c r="A80" s="4" t="s">
        <v>98</v>
      </c>
      <c r="B80" s="1" t="s">
        <v>189</v>
      </c>
      <c r="C80" s="1" t="s">
        <v>321</v>
      </c>
      <c r="D80" s="1" t="s">
        <v>395</v>
      </c>
      <c r="E80" s="1" t="s">
        <v>404</v>
      </c>
      <c r="F80" s="1" t="s">
        <v>417</v>
      </c>
      <c r="G80" s="1" t="s">
        <v>535</v>
      </c>
      <c r="H80" s="33">
        <v>45399</v>
      </c>
      <c r="I80" s="1">
        <v>2</v>
      </c>
      <c r="J80" s="1">
        <v>85658</v>
      </c>
      <c r="K80" s="37">
        <v>0.1</v>
      </c>
      <c r="L80" s="1" t="s">
        <v>615</v>
      </c>
      <c r="M80" s="1">
        <v>154184.4</v>
      </c>
      <c r="N80" s="1" t="s">
        <v>609</v>
      </c>
      <c r="O80" s="1" t="s">
        <v>619</v>
      </c>
      <c r="P80" s="1" t="s">
        <v>698</v>
      </c>
      <c r="Q80" s="1" t="s">
        <v>917</v>
      </c>
      <c r="R80" s="1">
        <v>3.4</v>
      </c>
      <c r="S80" s="1" t="s">
        <v>850</v>
      </c>
      <c r="T80" s="1">
        <v>0</v>
      </c>
      <c r="U80" s="3">
        <v>154184.4</v>
      </c>
    </row>
    <row r="81" spans="1:21" x14ac:dyDescent="0.25">
      <c r="A81" s="4" t="s">
        <v>99</v>
      </c>
      <c r="B81" s="1" t="s">
        <v>173</v>
      </c>
      <c r="C81" s="1" t="s">
        <v>322</v>
      </c>
      <c r="D81" s="1" t="s">
        <v>394</v>
      </c>
      <c r="E81" s="1" t="s">
        <v>412</v>
      </c>
      <c r="F81" s="1" t="s">
        <v>436</v>
      </c>
      <c r="G81" s="1" t="s">
        <v>536</v>
      </c>
      <c r="H81" s="33">
        <v>45167</v>
      </c>
      <c r="I81" s="1">
        <v>3</v>
      </c>
      <c r="J81" s="1">
        <v>4888</v>
      </c>
      <c r="K81" s="37">
        <v>0.2</v>
      </c>
      <c r="L81" s="1" t="s">
        <v>615</v>
      </c>
      <c r="M81" s="1">
        <v>11731.2</v>
      </c>
      <c r="N81" s="1" t="s">
        <v>611</v>
      </c>
      <c r="O81" s="1" t="s">
        <v>617</v>
      </c>
      <c r="P81" s="1" t="s">
        <v>699</v>
      </c>
      <c r="Q81" s="1" t="s">
        <v>774</v>
      </c>
      <c r="R81" s="1">
        <v>3.4</v>
      </c>
      <c r="S81" s="1" t="s">
        <v>851</v>
      </c>
      <c r="T81" s="1">
        <v>0</v>
      </c>
      <c r="U81" s="3">
        <v>11731.2</v>
      </c>
    </row>
    <row r="82" spans="1:21" x14ac:dyDescent="0.25">
      <c r="A82" s="4" t="s">
        <v>100</v>
      </c>
      <c r="B82" s="1" t="s">
        <v>208</v>
      </c>
      <c r="C82" s="1" t="s">
        <v>323</v>
      </c>
      <c r="D82" s="1" t="s">
        <v>394</v>
      </c>
      <c r="E82" s="1" t="s">
        <v>401</v>
      </c>
      <c r="F82" s="1" t="s">
        <v>448</v>
      </c>
      <c r="G82" s="1" t="s">
        <v>537</v>
      </c>
      <c r="H82" s="33">
        <v>44363</v>
      </c>
      <c r="I82" s="1">
        <v>2</v>
      </c>
      <c r="J82" s="1">
        <v>97207</v>
      </c>
      <c r="K82" s="37">
        <v>0.15</v>
      </c>
      <c r="L82" s="1" t="s">
        <v>615</v>
      </c>
      <c r="M82" s="1">
        <v>165251.9</v>
      </c>
      <c r="N82" s="1" t="s">
        <v>610</v>
      </c>
      <c r="O82" s="1" t="s">
        <v>617</v>
      </c>
      <c r="P82" s="1" t="s">
        <v>700</v>
      </c>
      <c r="Q82" s="1" t="s">
        <v>769</v>
      </c>
      <c r="R82" s="1">
        <v>3.3</v>
      </c>
      <c r="S82" s="1" t="s">
        <v>852</v>
      </c>
      <c r="T82" s="1">
        <v>0</v>
      </c>
      <c r="U82" s="3">
        <v>165251.9</v>
      </c>
    </row>
    <row r="83" spans="1:21" x14ac:dyDescent="0.25">
      <c r="A83" s="4" t="s">
        <v>101</v>
      </c>
      <c r="B83" s="1" t="s">
        <v>175</v>
      </c>
      <c r="C83" s="1" t="s">
        <v>324</v>
      </c>
      <c r="D83" s="1" t="s">
        <v>392</v>
      </c>
      <c r="E83" s="1" t="s">
        <v>404</v>
      </c>
      <c r="F83" s="1" t="s">
        <v>426</v>
      </c>
      <c r="G83" s="1" t="s">
        <v>538</v>
      </c>
      <c r="H83" s="33">
        <v>44460</v>
      </c>
      <c r="I83" s="1">
        <v>1</v>
      </c>
      <c r="J83" s="1">
        <v>1536</v>
      </c>
      <c r="K83" s="37">
        <v>0</v>
      </c>
      <c r="L83" s="1" t="s">
        <v>613</v>
      </c>
      <c r="M83" s="1">
        <v>1536</v>
      </c>
      <c r="N83" s="1" t="s">
        <v>608</v>
      </c>
      <c r="O83" s="1" t="s">
        <v>619</v>
      </c>
      <c r="P83" s="1" t="s">
        <v>701</v>
      </c>
      <c r="Q83" s="1" t="s">
        <v>769</v>
      </c>
      <c r="R83" s="1">
        <v>3.3</v>
      </c>
      <c r="S83" s="1" t="s">
        <v>853</v>
      </c>
      <c r="T83" s="1">
        <v>4</v>
      </c>
      <c r="U83" s="3">
        <v>0</v>
      </c>
    </row>
    <row r="84" spans="1:21" x14ac:dyDescent="0.25">
      <c r="A84" s="4" t="s">
        <v>102</v>
      </c>
      <c r="B84" s="1" t="s">
        <v>220</v>
      </c>
      <c r="C84" s="1" t="s">
        <v>325</v>
      </c>
      <c r="D84" s="1" t="s">
        <v>395</v>
      </c>
      <c r="E84" s="1" t="s">
        <v>401</v>
      </c>
      <c r="F84" s="1" t="s">
        <v>440</v>
      </c>
      <c r="G84" s="1" t="s">
        <v>539</v>
      </c>
      <c r="H84" s="33">
        <v>44914</v>
      </c>
      <c r="I84" s="1">
        <v>2</v>
      </c>
      <c r="J84" s="1">
        <v>97853</v>
      </c>
      <c r="K84" s="37">
        <v>0.15</v>
      </c>
      <c r="L84" s="1" t="s">
        <v>613</v>
      </c>
      <c r="M84" s="1">
        <v>166350.1</v>
      </c>
      <c r="N84" s="1" t="s">
        <v>610</v>
      </c>
      <c r="O84" s="1" t="s">
        <v>617</v>
      </c>
      <c r="P84" s="1" t="s">
        <v>702</v>
      </c>
      <c r="Q84" s="1" t="s">
        <v>770</v>
      </c>
      <c r="R84" s="1">
        <v>3.4</v>
      </c>
      <c r="S84" s="1" t="s">
        <v>854</v>
      </c>
      <c r="T84" s="1">
        <v>5</v>
      </c>
      <c r="U84" s="3">
        <v>0</v>
      </c>
    </row>
    <row r="85" spans="1:21" x14ac:dyDescent="0.25">
      <c r="A85" s="4" t="s">
        <v>103</v>
      </c>
      <c r="B85" s="1" t="s">
        <v>177</v>
      </c>
      <c r="C85" s="1" t="s">
        <v>326</v>
      </c>
      <c r="D85" s="1" t="s">
        <v>397</v>
      </c>
      <c r="E85" s="1" t="s">
        <v>406</v>
      </c>
      <c r="F85" s="1" t="s">
        <v>449</v>
      </c>
      <c r="G85" s="1" t="s">
        <v>540</v>
      </c>
      <c r="H85" s="33">
        <v>45374</v>
      </c>
      <c r="I85" s="1">
        <v>1</v>
      </c>
      <c r="J85" s="1">
        <v>61644</v>
      </c>
      <c r="K85" s="37">
        <v>0</v>
      </c>
      <c r="L85" s="1" t="s">
        <v>612</v>
      </c>
      <c r="M85" s="1">
        <v>61644</v>
      </c>
      <c r="N85" s="1" t="s">
        <v>611</v>
      </c>
      <c r="O85" s="1" t="s">
        <v>619</v>
      </c>
      <c r="P85" s="1" t="s">
        <v>703</v>
      </c>
      <c r="Q85" s="1" t="s">
        <v>771</v>
      </c>
      <c r="R85" s="1">
        <v>3.6</v>
      </c>
      <c r="S85" s="1" t="s">
        <v>855</v>
      </c>
      <c r="T85" s="1">
        <v>0</v>
      </c>
      <c r="U85" s="3">
        <v>0</v>
      </c>
    </row>
    <row r="86" spans="1:21" x14ac:dyDescent="0.25">
      <c r="A86" s="4" t="s">
        <v>104</v>
      </c>
      <c r="B86" s="1" t="s">
        <v>221</v>
      </c>
      <c r="C86" s="1" t="s">
        <v>327</v>
      </c>
      <c r="D86" s="1" t="s">
        <v>393</v>
      </c>
      <c r="E86" s="1" t="s">
        <v>409</v>
      </c>
      <c r="F86" s="1" t="s">
        <v>427</v>
      </c>
      <c r="G86" s="1" t="s">
        <v>541</v>
      </c>
      <c r="H86" s="33">
        <v>44223</v>
      </c>
      <c r="I86" s="1">
        <v>5</v>
      </c>
      <c r="J86" s="1">
        <v>80718</v>
      </c>
      <c r="K86" s="37">
        <v>0.15</v>
      </c>
      <c r="L86" s="1" t="s">
        <v>615</v>
      </c>
      <c r="M86" s="1">
        <v>343051.5</v>
      </c>
      <c r="N86" s="1" t="s">
        <v>609</v>
      </c>
      <c r="O86" s="1" t="s">
        <v>618</v>
      </c>
      <c r="P86" s="1" t="s">
        <v>704</v>
      </c>
      <c r="Q86" s="1" t="s">
        <v>772</v>
      </c>
      <c r="R86" s="1">
        <v>4.8</v>
      </c>
      <c r="S86" s="1" t="s">
        <v>856</v>
      </c>
      <c r="T86" s="1">
        <v>0</v>
      </c>
      <c r="U86" s="3">
        <v>343051.5</v>
      </c>
    </row>
    <row r="87" spans="1:21" x14ac:dyDescent="0.25">
      <c r="A87" s="4" t="s">
        <v>105</v>
      </c>
      <c r="B87" s="1" t="s">
        <v>211</v>
      </c>
      <c r="C87" s="1" t="s">
        <v>328</v>
      </c>
      <c r="D87" s="1" t="s">
        <v>396</v>
      </c>
      <c r="E87" s="1" t="s">
        <v>405</v>
      </c>
      <c r="F87" s="1" t="s">
        <v>433</v>
      </c>
      <c r="G87" s="1" t="s">
        <v>542</v>
      </c>
      <c r="H87" s="33">
        <v>45454</v>
      </c>
      <c r="I87" s="1">
        <v>1</v>
      </c>
      <c r="J87" s="1">
        <v>12724</v>
      </c>
      <c r="K87" s="37">
        <v>0.1</v>
      </c>
      <c r="L87" s="1" t="s">
        <v>612</v>
      </c>
      <c r="M87" s="1">
        <v>11451.6</v>
      </c>
      <c r="N87" s="1" t="s">
        <v>608</v>
      </c>
      <c r="O87" s="1" t="s">
        <v>619</v>
      </c>
      <c r="P87" s="1" t="s">
        <v>705</v>
      </c>
      <c r="Q87" s="1" t="s">
        <v>773</v>
      </c>
      <c r="R87" s="1">
        <v>4</v>
      </c>
      <c r="S87" s="1" t="s">
        <v>857</v>
      </c>
      <c r="T87" s="1">
        <v>0</v>
      </c>
      <c r="U87" s="3">
        <v>0</v>
      </c>
    </row>
    <row r="88" spans="1:21" x14ac:dyDescent="0.25">
      <c r="A88" s="4" t="s">
        <v>106</v>
      </c>
      <c r="B88" s="1" t="s">
        <v>222</v>
      </c>
      <c r="C88" s="1" t="s">
        <v>329</v>
      </c>
      <c r="D88" s="1" t="s">
        <v>399</v>
      </c>
      <c r="E88" s="1" t="s">
        <v>404</v>
      </c>
      <c r="F88" s="1" t="s">
        <v>417</v>
      </c>
      <c r="G88" s="1" t="s">
        <v>543</v>
      </c>
      <c r="H88" s="33">
        <v>45615</v>
      </c>
      <c r="I88" s="1">
        <v>3</v>
      </c>
      <c r="J88" s="1">
        <v>37691</v>
      </c>
      <c r="K88" s="37">
        <v>0.1</v>
      </c>
      <c r="L88" s="1" t="s">
        <v>614</v>
      </c>
      <c r="M88" s="1">
        <v>101765.7</v>
      </c>
      <c r="N88" s="1" t="s">
        <v>609</v>
      </c>
      <c r="O88" s="1" t="s">
        <v>616</v>
      </c>
      <c r="P88" s="1" t="s">
        <v>706</v>
      </c>
      <c r="Q88" s="1" t="s">
        <v>771</v>
      </c>
      <c r="R88" s="1">
        <v>2.9</v>
      </c>
      <c r="S88" s="1" t="s">
        <v>858</v>
      </c>
      <c r="T88" s="1">
        <v>0</v>
      </c>
      <c r="U88" s="3">
        <v>0</v>
      </c>
    </row>
    <row r="89" spans="1:21" x14ac:dyDescent="0.25">
      <c r="A89" s="4" t="s">
        <v>107</v>
      </c>
      <c r="B89" s="1" t="s">
        <v>223</v>
      </c>
      <c r="C89" s="1" t="s">
        <v>330</v>
      </c>
      <c r="D89" s="1" t="s">
        <v>397</v>
      </c>
      <c r="E89" s="1" t="s">
        <v>408</v>
      </c>
      <c r="F89" s="1" t="s">
        <v>450</v>
      </c>
      <c r="G89" s="1" t="s">
        <v>544</v>
      </c>
      <c r="H89" s="33">
        <v>43667</v>
      </c>
      <c r="I89" s="1">
        <v>2</v>
      </c>
      <c r="J89" s="1">
        <v>59895</v>
      </c>
      <c r="K89" s="37">
        <v>0.05</v>
      </c>
      <c r="L89" s="1" t="s">
        <v>612</v>
      </c>
      <c r="M89" s="1">
        <v>113800.5</v>
      </c>
      <c r="N89" s="1" t="s">
        <v>608</v>
      </c>
      <c r="O89" s="1" t="s">
        <v>617</v>
      </c>
      <c r="P89" s="1" t="s">
        <v>707</v>
      </c>
      <c r="Q89" s="1" t="s">
        <v>917</v>
      </c>
      <c r="R89" s="1">
        <v>3.4</v>
      </c>
      <c r="S89" s="1" t="s">
        <v>859</v>
      </c>
      <c r="T89" s="1">
        <v>0</v>
      </c>
      <c r="U89" s="3">
        <v>0</v>
      </c>
    </row>
    <row r="90" spans="1:21" x14ac:dyDescent="0.25">
      <c r="A90" s="4" t="s">
        <v>108</v>
      </c>
      <c r="B90" s="1" t="s">
        <v>206</v>
      </c>
      <c r="C90" s="1" t="s">
        <v>331</v>
      </c>
      <c r="D90" s="1" t="s">
        <v>393</v>
      </c>
      <c r="E90" s="1" t="s">
        <v>401</v>
      </c>
      <c r="F90" s="1" t="s">
        <v>414</v>
      </c>
      <c r="G90" s="1" t="s">
        <v>545</v>
      </c>
      <c r="H90" s="33">
        <v>44562</v>
      </c>
      <c r="I90" s="1">
        <v>1</v>
      </c>
      <c r="J90" s="1">
        <v>67562</v>
      </c>
      <c r="K90" s="37">
        <v>0.1</v>
      </c>
      <c r="L90" s="1" t="s">
        <v>612</v>
      </c>
      <c r="M90" s="1">
        <v>60805.8</v>
      </c>
      <c r="N90" s="1" t="s">
        <v>610</v>
      </c>
      <c r="O90" s="1" t="s">
        <v>619</v>
      </c>
      <c r="P90" s="1" t="s">
        <v>708</v>
      </c>
      <c r="Q90" s="1" t="s">
        <v>774</v>
      </c>
      <c r="R90" s="1">
        <v>3.4</v>
      </c>
      <c r="S90" s="1" t="s">
        <v>606</v>
      </c>
      <c r="T90" s="1">
        <v>0</v>
      </c>
      <c r="U90" s="3">
        <v>0</v>
      </c>
    </row>
    <row r="91" spans="1:21" x14ac:dyDescent="0.25">
      <c r="A91" s="4" t="s">
        <v>109</v>
      </c>
      <c r="B91" s="1" t="s">
        <v>214</v>
      </c>
      <c r="C91" s="1" t="s">
        <v>332</v>
      </c>
      <c r="D91" s="1" t="s">
        <v>394</v>
      </c>
      <c r="E91" s="1" t="s">
        <v>403</v>
      </c>
      <c r="F91" s="1" t="s">
        <v>416</v>
      </c>
      <c r="G91" s="1" t="s">
        <v>546</v>
      </c>
      <c r="H91" s="33">
        <v>44940</v>
      </c>
      <c r="I91" s="1">
        <v>5</v>
      </c>
      <c r="J91" s="1">
        <v>38082</v>
      </c>
      <c r="K91" s="37">
        <v>0.15</v>
      </c>
      <c r="L91" s="1" t="s">
        <v>614</v>
      </c>
      <c r="M91" s="1">
        <v>161848.5</v>
      </c>
      <c r="N91" s="1" t="s">
        <v>609</v>
      </c>
      <c r="O91" s="1" t="s">
        <v>619</v>
      </c>
      <c r="P91" s="1" t="s">
        <v>709</v>
      </c>
      <c r="Q91" s="1" t="s">
        <v>769</v>
      </c>
      <c r="R91" s="1">
        <v>3.3</v>
      </c>
      <c r="S91" s="1" t="s">
        <v>860</v>
      </c>
      <c r="T91" s="1">
        <v>0</v>
      </c>
      <c r="U91" s="3">
        <v>0</v>
      </c>
    </row>
    <row r="92" spans="1:21" x14ac:dyDescent="0.25">
      <c r="A92" s="4" t="s">
        <v>110</v>
      </c>
      <c r="B92" s="1" t="s">
        <v>224</v>
      </c>
      <c r="C92" s="1" t="s">
        <v>333</v>
      </c>
      <c r="D92" s="1" t="s">
        <v>399</v>
      </c>
      <c r="E92" s="1" t="s">
        <v>406</v>
      </c>
      <c r="F92" s="1" t="s">
        <v>430</v>
      </c>
      <c r="G92" s="1" t="s">
        <v>547</v>
      </c>
      <c r="H92" s="33">
        <v>44127</v>
      </c>
      <c r="I92" s="1">
        <v>2</v>
      </c>
      <c r="J92" s="1">
        <v>88772</v>
      </c>
      <c r="K92" s="37">
        <v>0</v>
      </c>
      <c r="L92" s="1" t="s">
        <v>615</v>
      </c>
      <c r="M92" s="1">
        <v>177544</v>
      </c>
      <c r="N92" s="1" t="s">
        <v>609</v>
      </c>
      <c r="O92" s="1" t="s">
        <v>619</v>
      </c>
      <c r="P92" s="1" t="s">
        <v>710</v>
      </c>
      <c r="Q92" s="1" t="s">
        <v>769</v>
      </c>
      <c r="R92" s="1">
        <v>3.3</v>
      </c>
      <c r="S92" s="1" t="s">
        <v>861</v>
      </c>
      <c r="T92" s="1">
        <v>0</v>
      </c>
      <c r="U92" s="3">
        <v>177544</v>
      </c>
    </row>
    <row r="93" spans="1:21" x14ac:dyDescent="0.25">
      <c r="A93" s="4" t="s">
        <v>111</v>
      </c>
      <c r="B93" s="1" t="s">
        <v>181</v>
      </c>
      <c r="C93" s="1" t="s">
        <v>334</v>
      </c>
      <c r="D93" s="1" t="s">
        <v>399</v>
      </c>
      <c r="E93" s="1" t="s">
        <v>401</v>
      </c>
      <c r="F93" s="1" t="s">
        <v>448</v>
      </c>
      <c r="G93" s="1" t="s">
        <v>548</v>
      </c>
      <c r="H93" s="33">
        <v>44262</v>
      </c>
      <c r="I93" s="1">
        <v>4</v>
      </c>
      <c r="J93" s="1">
        <v>34661</v>
      </c>
      <c r="K93" s="37">
        <v>0</v>
      </c>
      <c r="L93" s="1" t="s">
        <v>613</v>
      </c>
      <c r="M93" s="1">
        <v>138644</v>
      </c>
      <c r="N93" s="1" t="s">
        <v>611</v>
      </c>
      <c r="O93" s="1" t="s">
        <v>617</v>
      </c>
      <c r="P93" s="1" t="s">
        <v>711</v>
      </c>
      <c r="Q93" s="1" t="s">
        <v>770</v>
      </c>
      <c r="R93" s="1">
        <v>3.4</v>
      </c>
      <c r="S93" s="1" t="s">
        <v>862</v>
      </c>
      <c r="T93" s="1">
        <v>7</v>
      </c>
      <c r="U93" s="3">
        <v>0</v>
      </c>
    </row>
    <row r="94" spans="1:21" x14ac:dyDescent="0.25">
      <c r="A94" s="4" t="s">
        <v>112</v>
      </c>
      <c r="B94" s="1" t="s">
        <v>225</v>
      </c>
      <c r="C94" s="1" t="s">
        <v>335</v>
      </c>
      <c r="D94" s="1" t="s">
        <v>397</v>
      </c>
      <c r="E94" s="1" t="s">
        <v>401</v>
      </c>
      <c r="F94" s="1" t="s">
        <v>440</v>
      </c>
      <c r="G94" s="1" t="s">
        <v>549</v>
      </c>
      <c r="H94" s="33">
        <v>43633</v>
      </c>
      <c r="I94" s="1">
        <v>1</v>
      </c>
      <c r="J94" s="1">
        <v>14902</v>
      </c>
      <c r="K94" s="37">
        <v>0.1</v>
      </c>
      <c r="L94" s="1" t="s">
        <v>612</v>
      </c>
      <c r="M94" s="1">
        <v>13411.8</v>
      </c>
      <c r="N94" s="1" t="s">
        <v>609</v>
      </c>
      <c r="O94" s="1" t="s">
        <v>618</v>
      </c>
      <c r="P94" s="1" t="s">
        <v>712</v>
      </c>
      <c r="Q94" s="1" t="s">
        <v>771</v>
      </c>
      <c r="R94" s="1">
        <v>3.6</v>
      </c>
      <c r="S94" s="1" t="s">
        <v>863</v>
      </c>
      <c r="T94" s="1">
        <v>0</v>
      </c>
      <c r="U94" s="3">
        <v>0</v>
      </c>
    </row>
    <row r="95" spans="1:21" x14ac:dyDescent="0.25">
      <c r="A95" s="4" t="s">
        <v>113</v>
      </c>
      <c r="B95" s="1" t="s">
        <v>181</v>
      </c>
      <c r="C95" s="1" t="s">
        <v>336</v>
      </c>
      <c r="D95" s="1" t="s">
        <v>393</v>
      </c>
      <c r="E95" s="1" t="s">
        <v>402</v>
      </c>
      <c r="F95" s="1" t="s">
        <v>435</v>
      </c>
      <c r="G95" s="1" t="s">
        <v>550</v>
      </c>
      <c r="H95" s="33">
        <v>44624</v>
      </c>
      <c r="I95" s="1">
        <v>1</v>
      </c>
      <c r="J95" s="1">
        <v>89940</v>
      </c>
      <c r="K95" s="37">
        <v>0.2</v>
      </c>
      <c r="L95" s="1" t="s">
        <v>613</v>
      </c>
      <c r="M95" s="1">
        <v>71952</v>
      </c>
      <c r="N95" s="1" t="s">
        <v>611</v>
      </c>
      <c r="O95" s="1" t="s">
        <v>618</v>
      </c>
      <c r="P95" s="1" t="s">
        <v>713</v>
      </c>
      <c r="Q95" s="1" t="s">
        <v>772</v>
      </c>
      <c r="R95" s="1">
        <v>4.8</v>
      </c>
      <c r="S95" s="1" t="s">
        <v>810</v>
      </c>
      <c r="T95" s="1">
        <v>7</v>
      </c>
      <c r="U95" s="3">
        <v>0</v>
      </c>
    </row>
    <row r="96" spans="1:21" x14ac:dyDescent="0.25">
      <c r="A96" s="4" t="s">
        <v>114</v>
      </c>
      <c r="B96" s="1" t="s">
        <v>199</v>
      </c>
      <c r="C96" s="1" t="s">
        <v>337</v>
      </c>
      <c r="D96" s="1" t="s">
        <v>398</v>
      </c>
      <c r="E96" s="1" t="s">
        <v>411</v>
      </c>
      <c r="F96" s="1" t="s">
        <v>447</v>
      </c>
      <c r="G96" s="1" t="s">
        <v>551</v>
      </c>
      <c r="H96" s="33">
        <v>43903</v>
      </c>
      <c r="I96" s="1">
        <v>1</v>
      </c>
      <c r="J96" s="1">
        <v>52751</v>
      </c>
      <c r="K96" s="37">
        <v>0.2</v>
      </c>
      <c r="L96" s="1" t="s">
        <v>614</v>
      </c>
      <c r="M96" s="1">
        <v>42200.800000000003</v>
      </c>
      <c r="N96" s="1" t="s">
        <v>611</v>
      </c>
      <c r="O96" s="1" t="s">
        <v>619</v>
      </c>
      <c r="P96" s="1" t="s">
        <v>714</v>
      </c>
      <c r="Q96" s="1" t="s">
        <v>773</v>
      </c>
      <c r="R96" s="1">
        <v>4</v>
      </c>
      <c r="S96" s="1" t="s">
        <v>864</v>
      </c>
      <c r="T96" s="1">
        <v>0</v>
      </c>
      <c r="U96" s="3">
        <v>0</v>
      </c>
    </row>
    <row r="97" spans="1:21" x14ac:dyDescent="0.25">
      <c r="A97" s="4" t="s">
        <v>115</v>
      </c>
      <c r="B97" s="1" t="s">
        <v>223</v>
      </c>
      <c r="C97" s="1" t="s">
        <v>338</v>
      </c>
      <c r="D97" s="1" t="s">
        <v>392</v>
      </c>
      <c r="E97" s="1" t="s">
        <v>408</v>
      </c>
      <c r="F97" s="1" t="s">
        <v>451</v>
      </c>
      <c r="G97" s="1" t="s">
        <v>552</v>
      </c>
      <c r="H97" s="33">
        <v>44230</v>
      </c>
      <c r="I97" s="1">
        <v>1</v>
      </c>
      <c r="J97" s="1">
        <v>32601</v>
      </c>
      <c r="K97" s="37">
        <v>0.2</v>
      </c>
      <c r="L97" s="1" t="s">
        <v>615</v>
      </c>
      <c r="M97" s="1">
        <v>26080.799999999999</v>
      </c>
      <c r="N97" s="1" t="s">
        <v>611</v>
      </c>
      <c r="O97" s="1" t="s">
        <v>617</v>
      </c>
      <c r="P97" s="1" t="s">
        <v>715</v>
      </c>
      <c r="Q97" s="1" t="s">
        <v>771</v>
      </c>
      <c r="R97" s="1">
        <v>2.9</v>
      </c>
      <c r="S97" s="1" t="s">
        <v>865</v>
      </c>
      <c r="T97" s="1">
        <v>0</v>
      </c>
      <c r="U97" s="3">
        <v>26080.799999999999</v>
      </c>
    </row>
    <row r="98" spans="1:21" x14ac:dyDescent="0.25">
      <c r="A98" s="4" t="s">
        <v>116</v>
      </c>
      <c r="B98" s="1" t="s">
        <v>212</v>
      </c>
      <c r="C98" s="1" t="s">
        <v>339</v>
      </c>
      <c r="D98" s="1" t="s">
        <v>399</v>
      </c>
      <c r="E98" s="1" t="s">
        <v>411</v>
      </c>
      <c r="F98" s="1" t="s">
        <v>447</v>
      </c>
      <c r="G98" s="1" t="s">
        <v>553</v>
      </c>
      <c r="H98" s="33">
        <v>44257</v>
      </c>
      <c r="I98" s="1">
        <v>2</v>
      </c>
      <c r="J98" s="1">
        <v>79621</v>
      </c>
      <c r="K98" s="37">
        <v>0</v>
      </c>
      <c r="L98" s="1" t="s">
        <v>612</v>
      </c>
      <c r="M98" s="1">
        <v>159242</v>
      </c>
      <c r="N98" s="1" t="s">
        <v>608</v>
      </c>
      <c r="O98" s="1" t="s">
        <v>616</v>
      </c>
      <c r="P98" s="1" t="s">
        <v>716</v>
      </c>
      <c r="Q98" s="1" t="s">
        <v>917</v>
      </c>
      <c r="R98" s="1">
        <v>3.4</v>
      </c>
      <c r="S98" s="1" t="s">
        <v>866</v>
      </c>
      <c r="T98" s="1">
        <v>0</v>
      </c>
      <c r="U98" s="3">
        <v>0</v>
      </c>
    </row>
    <row r="99" spans="1:21" x14ac:dyDescent="0.25">
      <c r="A99" s="4" t="s">
        <v>117</v>
      </c>
      <c r="B99" s="1" t="s">
        <v>199</v>
      </c>
      <c r="C99" s="1" t="s">
        <v>340</v>
      </c>
      <c r="D99" s="1" t="s">
        <v>394</v>
      </c>
      <c r="E99" s="1" t="s">
        <v>409</v>
      </c>
      <c r="F99" s="1" t="s">
        <v>431</v>
      </c>
      <c r="G99" s="1" t="s">
        <v>554</v>
      </c>
      <c r="H99" s="33">
        <v>44907</v>
      </c>
      <c r="I99" s="1">
        <v>4</v>
      </c>
      <c r="J99" s="1">
        <v>244</v>
      </c>
      <c r="K99" s="37">
        <v>0.1</v>
      </c>
      <c r="L99" s="1" t="s">
        <v>612</v>
      </c>
      <c r="M99" s="1">
        <v>878.4</v>
      </c>
      <c r="N99" s="1" t="s">
        <v>609</v>
      </c>
      <c r="O99" s="1" t="s">
        <v>617</v>
      </c>
      <c r="P99" s="1" t="s">
        <v>717</v>
      </c>
      <c r="Q99" s="1" t="s">
        <v>774</v>
      </c>
      <c r="R99" s="1">
        <v>3.4</v>
      </c>
      <c r="S99" s="1" t="s">
        <v>867</v>
      </c>
      <c r="T99" s="1">
        <v>0</v>
      </c>
      <c r="U99" s="3">
        <v>0</v>
      </c>
    </row>
    <row r="100" spans="1:21" x14ac:dyDescent="0.25">
      <c r="A100" s="4" t="s">
        <v>118</v>
      </c>
      <c r="B100" s="1" t="s">
        <v>226</v>
      </c>
      <c r="C100" s="1" t="s">
        <v>341</v>
      </c>
      <c r="D100" s="1" t="s">
        <v>397</v>
      </c>
      <c r="E100" s="1" t="s">
        <v>400</v>
      </c>
      <c r="F100" s="1" t="s">
        <v>413</v>
      </c>
      <c r="G100" s="1" t="s">
        <v>555</v>
      </c>
      <c r="H100" s="33">
        <v>43485</v>
      </c>
      <c r="I100" s="1">
        <v>4</v>
      </c>
      <c r="J100" s="1">
        <v>67442</v>
      </c>
      <c r="K100" s="37">
        <v>0.15</v>
      </c>
      <c r="L100" s="1" t="s">
        <v>614</v>
      </c>
      <c r="M100" s="1">
        <v>229302.8</v>
      </c>
      <c r="N100" s="1" t="s">
        <v>610</v>
      </c>
      <c r="O100" s="1" t="s">
        <v>619</v>
      </c>
      <c r="P100" s="1" t="s">
        <v>718</v>
      </c>
      <c r="Q100" s="1" t="s">
        <v>769</v>
      </c>
      <c r="R100" s="1">
        <v>3.3</v>
      </c>
      <c r="S100" s="1" t="s">
        <v>868</v>
      </c>
      <c r="T100" s="1">
        <v>0</v>
      </c>
      <c r="U100" s="3">
        <v>0</v>
      </c>
    </row>
    <row r="101" spans="1:21" x14ac:dyDescent="0.25">
      <c r="A101" s="4" t="s">
        <v>119</v>
      </c>
      <c r="B101" s="1" t="s">
        <v>188</v>
      </c>
      <c r="C101" s="1" t="s">
        <v>342</v>
      </c>
      <c r="D101" s="1" t="s">
        <v>397</v>
      </c>
      <c r="E101" s="1" t="s">
        <v>412</v>
      </c>
      <c r="F101" s="1" t="s">
        <v>436</v>
      </c>
      <c r="G101" s="1" t="s">
        <v>556</v>
      </c>
      <c r="H101" s="33">
        <v>44493</v>
      </c>
      <c r="I101" s="1">
        <v>1</v>
      </c>
      <c r="J101" s="1">
        <v>6954</v>
      </c>
      <c r="K101" s="37">
        <v>0.2</v>
      </c>
      <c r="L101" s="1" t="s">
        <v>615</v>
      </c>
      <c r="M101" s="1">
        <v>5563.2</v>
      </c>
      <c r="N101" s="1" t="s">
        <v>610</v>
      </c>
      <c r="O101" s="1" t="s">
        <v>618</v>
      </c>
      <c r="P101" s="1" t="s">
        <v>719</v>
      </c>
      <c r="Q101" s="1" t="s">
        <v>769</v>
      </c>
      <c r="R101" s="1">
        <v>3.3</v>
      </c>
      <c r="S101" s="1" t="s">
        <v>869</v>
      </c>
      <c r="T101" s="1">
        <v>0</v>
      </c>
      <c r="U101" s="3">
        <v>5563.2</v>
      </c>
    </row>
    <row r="102" spans="1:21" x14ac:dyDescent="0.25">
      <c r="A102" s="4" t="s">
        <v>120</v>
      </c>
      <c r="B102" s="1" t="s">
        <v>227</v>
      </c>
      <c r="C102" s="1" t="s">
        <v>343</v>
      </c>
      <c r="D102" s="1" t="s">
        <v>396</v>
      </c>
      <c r="E102" s="1" t="s">
        <v>406</v>
      </c>
      <c r="F102" s="1" t="s">
        <v>449</v>
      </c>
      <c r="G102" s="1" t="s">
        <v>557</v>
      </c>
      <c r="H102" s="33">
        <v>44352</v>
      </c>
      <c r="I102" s="1">
        <v>4</v>
      </c>
      <c r="J102" s="1">
        <v>102740</v>
      </c>
      <c r="K102" s="37">
        <v>0.15</v>
      </c>
      <c r="L102" s="1" t="s">
        <v>612</v>
      </c>
      <c r="M102" s="1">
        <v>349316</v>
      </c>
      <c r="N102" s="1" t="s">
        <v>608</v>
      </c>
      <c r="O102" s="1" t="s">
        <v>618</v>
      </c>
      <c r="P102" s="1" t="s">
        <v>720</v>
      </c>
      <c r="Q102" s="1" t="s">
        <v>770</v>
      </c>
      <c r="R102" s="1">
        <v>3.4</v>
      </c>
      <c r="S102" s="1" t="s">
        <v>870</v>
      </c>
      <c r="T102" s="1">
        <v>0</v>
      </c>
      <c r="U102" s="3">
        <v>0</v>
      </c>
    </row>
    <row r="103" spans="1:21" x14ac:dyDescent="0.25">
      <c r="A103" s="4" t="s">
        <v>121</v>
      </c>
      <c r="B103" s="1" t="s">
        <v>228</v>
      </c>
      <c r="C103" s="1" t="s">
        <v>344</v>
      </c>
      <c r="D103" s="1" t="s">
        <v>399</v>
      </c>
      <c r="E103" s="1" t="s">
        <v>409</v>
      </c>
      <c r="F103" s="1" t="s">
        <v>431</v>
      </c>
      <c r="G103" s="1" t="s">
        <v>558</v>
      </c>
      <c r="H103" s="33">
        <v>43730</v>
      </c>
      <c r="I103" s="1">
        <v>2</v>
      </c>
      <c r="J103" s="1">
        <v>115547</v>
      </c>
      <c r="K103" s="37">
        <v>0.05</v>
      </c>
      <c r="L103" s="1" t="s">
        <v>613</v>
      </c>
      <c r="M103" s="1">
        <v>219539.3</v>
      </c>
      <c r="N103" s="1" t="s">
        <v>608</v>
      </c>
      <c r="O103" s="1" t="s">
        <v>617</v>
      </c>
      <c r="P103" s="1" t="s">
        <v>721</v>
      </c>
      <c r="Q103" s="1" t="s">
        <v>771</v>
      </c>
      <c r="R103" s="1">
        <v>3.6</v>
      </c>
      <c r="S103" s="1" t="s">
        <v>871</v>
      </c>
      <c r="T103" s="1">
        <v>8</v>
      </c>
      <c r="U103" s="3">
        <v>0</v>
      </c>
    </row>
    <row r="104" spans="1:21" x14ac:dyDescent="0.25">
      <c r="A104" s="4" t="s">
        <v>122</v>
      </c>
      <c r="B104" s="1" t="s">
        <v>199</v>
      </c>
      <c r="C104" s="1" t="s">
        <v>345</v>
      </c>
      <c r="D104" s="1" t="s">
        <v>395</v>
      </c>
      <c r="E104" s="1" t="s">
        <v>408</v>
      </c>
      <c r="F104" s="1" t="s">
        <v>450</v>
      </c>
      <c r="G104" s="1" t="s">
        <v>550</v>
      </c>
      <c r="H104" s="33">
        <v>44627</v>
      </c>
      <c r="I104" s="1">
        <v>4</v>
      </c>
      <c r="J104" s="1">
        <v>99561</v>
      </c>
      <c r="K104" s="37">
        <v>0.2</v>
      </c>
      <c r="L104" s="1" t="s">
        <v>614</v>
      </c>
      <c r="M104" s="1">
        <v>318595.20000000001</v>
      </c>
      <c r="N104" s="1" t="s">
        <v>608</v>
      </c>
      <c r="O104" s="1" t="s">
        <v>618</v>
      </c>
      <c r="P104" s="1" t="s">
        <v>722</v>
      </c>
      <c r="Q104" s="1" t="s">
        <v>772</v>
      </c>
      <c r="R104" s="1">
        <v>4.8</v>
      </c>
      <c r="S104" s="1" t="s">
        <v>872</v>
      </c>
      <c r="T104" s="1">
        <v>0</v>
      </c>
      <c r="U104" s="3">
        <v>0</v>
      </c>
    </row>
    <row r="105" spans="1:21" x14ac:dyDescent="0.25">
      <c r="A105" s="4" t="s">
        <v>123</v>
      </c>
      <c r="B105" s="1" t="s">
        <v>190</v>
      </c>
      <c r="C105" s="1" t="s">
        <v>346</v>
      </c>
      <c r="D105" s="1" t="s">
        <v>395</v>
      </c>
      <c r="E105" s="1" t="s">
        <v>403</v>
      </c>
      <c r="F105" s="1" t="s">
        <v>422</v>
      </c>
      <c r="G105" s="1" t="s">
        <v>559</v>
      </c>
      <c r="H105" s="33">
        <v>45215</v>
      </c>
      <c r="I105" s="1">
        <v>4</v>
      </c>
      <c r="J105" s="1">
        <v>103870</v>
      </c>
      <c r="K105" s="37">
        <v>0.1</v>
      </c>
      <c r="L105" s="1" t="s">
        <v>612</v>
      </c>
      <c r="M105" s="1">
        <v>373932</v>
      </c>
      <c r="N105" s="1" t="s">
        <v>611</v>
      </c>
      <c r="O105" s="1" t="s">
        <v>617</v>
      </c>
      <c r="P105" s="1" t="s">
        <v>723</v>
      </c>
      <c r="Q105" s="1" t="s">
        <v>773</v>
      </c>
      <c r="R105" s="1">
        <v>4</v>
      </c>
      <c r="S105" s="1" t="s">
        <v>873</v>
      </c>
      <c r="T105" s="1">
        <v>0</v>
      </c>
      <c r="U105" s="3">
        <v>0</v>
      </c>
    </row>
    <row r="106" spans="1:21" x14ac:dyDescent="0.25">
      <c r="A106" s="4" t="s">
        <v>124</v>
      </c>
      <c r="B106" s="1" t="s">
        <v>197</v>
      </c>
      <c r="C106" s="1" t="s">
        <v>347</v>
      </c>
      <c r="D106" s="1" t="s">
        <v>393</v>
      </c>
      <c r="E106" s="1" t="s">
        <v>406</v>
      </c>
      <c r="F106" s="1" t="s">
        <v>452</v>
      </c>
      <c r="G106" s="1" t="s">
        <v>560</v>
      </c>
      <c r="H106" s="33">
        <v>43702</v>
      </c>
      <c r="I106" s="1">
        <v>5</v>
      </c>
      <c r="J106" s="1">
        <v>80069</v>
      </c>
      <c r="K106" s="37">
        <v>0</v>
      </c>
      <c r="L106" s="1" t="s">
        <v>614</v>
      </c>
      <c r="M106" s="1">
        <v>400345</v>
      </c>
      <c r="N106" s="1" t="s">
        <v>608</v>
      </c>
      <c r="O106" s="1" t="s">
        <v>617</v>
      </c>
      <c r="P106" s="1" t="s">
        <v>724</v>
      </c>
      <c r="Q106" s="1" t="s">
        <v>771</v>
      </c>
      <c r="R106" s="1">
        <v>2.9</v>
      </c>
      <c r="S106" s="1" t="s">
        <v>874</v>
      </c>
      <c r="T106" s="1">
        <v>0</v>
      </c>
      <c r="U106" s="3">
        <v>0</v>
      </c>
    </row>
    <row r="107" spans="1:21" x14ac:dyDescent="0.25">
      <c r="A107" s="4" t="s">
        <v>125</v>
      </c>
      <c r="B107" s="1" t="s">
        <v>229</v>
      </c>
      <c r="C107" s="1" t="s">
        <v>348</v>
      </c>
      <c r="D107" s="1" t="s">
        <v>394</v>
      </c>
      <c r="E107" s="1" t="s">
        <v>412</v>
      </c>
      <c r="F107" s="1" t="s">
        <v>436</v>
      </c>
      <c r="G107" s="1" t="s">
        <v>561</v>
      </c>
      <c r="H107" s="33">
        <v>43998</v>
      </c>
      <c r="I107" s="1">
        <v>3</v>
      </c>
      <c r="J107" s="1">
        <v>119513</v>
      </c>
      <c r="K107" s="37">
        <v>0</v>
      </c>
      <c r="L107" s="1" t="s">
        <v>615</v>
      </c>
      <c r="M107" s="1">
        <v>358539</v>
      </c>
      <c r="N107" s="1" t="s">
        <v>610</v>
      </c>
      <c r="O107" s="1" t="s">
        <v>618</v>
      </c>
      <c r="P107" s="1" t="s">
        <v>696</v>
      </c>
      <c r="Q107" s="1" t="s">
        <v>917</v>
      </c>
      <c r="R107" s="1">
        <v>3.4</v>
      </c>
      <c r="S107" s="1" t="s">
        <v>875</v>
      </c>
      <c r="T107" s="1">
        <v>0</v>
      </c>
      <c r="U107" s="3">
        <v>358539</v>
      </c>
    </row>
    <row r="108" spans="1:21" x14ac:dyDescent="0.25">
      <c r="A108" s="4" t="s">
        <v>126</v>
      </c>
      <c r="B108" s="1" t="s">
        <v>182</v>
      </c>
      <c r="C108" s="1" t="s">
        <v>349</v>
      </c>
      <c r="D108" s="1" t="s">
        <v>396</v>
      </c>
      <c r="E108" s="1" t="s">
        <v>409</v>
      </c>
      <c r="F108" s="1" t="s">
        <v>434</v>
      </c>
      <c r="G108" s="1" t="s">
        <v>562</v>
      </c>
      <c r="H108" s="33">
        <v>44338</v>
      </c>
      <c r="I108" s="1">
        <v>5</v>
      </c>
      <c r="J108" s="1">
        <v>112196</v>
      </c>
      <c r="K108" s="37">
        <v>0</v>
      </c>
      <c r="L108" s="1" t="s">
        <v>613</v>
      </c>
      <c r="M108" s="1">
        <v>560980</v>
      </c>
      <c r="N108" s="1" t="s">
        <v>611</v>
      </c>
      <c r="O108" s="1" t="s">
        <v>619</v>
      </c>
      <c r="P108" s="1" t="s">
        <v>725</v>
      </c>
      <c r="Q108" s="1" t="s">
        <v>774</v>
      </c>
      <c r="R108" s="1">
        <v>3.4</v>
      </c>
      <c r="S108" s="1" t="s">
        <v>876</v>
      </c>
      <c r="T108" s="1">
        <v>9</v>
      </c>
      <c r="U108" s="3">
        <v>0</v>
      </c>
    </row>
    <row r="109" spans="1:21" x14ac:dyDescent="0.25">
      <c r="A109" s="4" t="s">
        <v>127</v>
      </c>
      <c r="B109" s="1" t="s">
        <v>196</v>
      </c>
      <c r="C109" s="1" t="s">
        <v>350</v>
      </c>
      <c r="D109" s="1" t="s">
        <v>398</v>
      </c>
      <c r="E109" s="1" t="s">
        <v>402</v>
      </c>
      <c r="F109" s="1" t="s">
        <v>435</v>
      </c>
      <c r="G109" s="1" t="s">
        <v>563</v>
      </c>
      <c r="H109" s="33">
        <v>44362</v>
      </c>
      <c r="I109" s="1">
        <v>3</v>
      </c>
      <c r="J109" s="1">
        <v>78640</v>
      </c>
      <c r="K109" s="37">
        <v>0.15</v>
      </c>
      <c r="L109" s="1" t="s">
        <v>612</v>
      </c>
      <c r="M109" s="1">
        <v>200532</v>
      </c>
      <c r="N109" s="1" t="s">
        <v>608</v>
      </c>
      <c r="O109" s="1" t="s">
        <v>618</v>
      </c>
      <c r="P109" s="1" t="s">
        <v>726</v>
      </c>
      <c r="Q109" s="1" t="s">
        <v>769</v>
      </c>
      <c r="R109" s="1">
        <v>3.3</v>
      </c>
      <c r="S109" s="1" t="s">
        <v>877</v>
      </c>
      <c r="T109" s="1">
        <v>0</v>
      </c>
      <c r="U109" s="3">
        <v>0</v>
      </c>
    </row>
    <row r="110" spans="1:21" x14ac:dyDescent="0.25">
      <c r="A110" s="4" t="s">
        <v>128</v>
      </c>
      <c r="B110" s="1" t="s">
        <v>230</v>
      </c>
      <c r="C110" s="1" t="s">
        <v>351</v>
      </c>
      <c r="D110" s="1" t="s">
        <v>395</v>
      </c>
      <c r="E110" s="1" t="s">
        <v>408</v>
      </c>
      <c r="F110" s="1" t="s">
        <v>442</v>
      </c>
      <c r="G110" s="1" t="s">
        <v>564</v>
      </c>
      <c r="H110" s="33">
        <v>45160</v>
      </c>
      <c r="I110" s="1">
        <v>5</v>
      </c>
      <c r="J110" s="1">
        <v>86807</v>
      </c>
      <c r="K110" s="37">
        <v>0.05</v>
      </c>
      <c r="L110" s="1" t="s">
        <v>614</v>
      </c>
      <c r="M110" s="1">
        <v>412333.25</v>
      </c>
      <c r="N110" s="1" t="s">
        <v>609</v>
      </c>
      <c r="O110" s="1" t="s">
        <v>618</v>
      </c>
      <c r="P110" s="1" t="s">
        <v>727</v>
      </c>
      <c r="Q110" s="1" t="s">
        <v>769</v>
      </c>
      <c r="R110" s="1">
        <v>3.3</v>
      </c>
      <c r="S110" s="1" t="s">
        <v>878</v>
      </c>
      <c r="T110" s="1">
        <v>0</v>
      </c>
      <c r="U110" s="3">
        <v>0</v>
      </c>
    </row>
    <row r="111" spans="1:21" x14ac:dyDescent="0.25">
      <c r="A111" s="4" t="s">
        <v>129</v>
      </c>
      <c r="B111" s="1" t="s">
        <v>231</v>
      </c>
      <c r="C111" s="1" t="s">
        <v>352</v>
      </c>
      <c r="D111" s="1" t="s">
        <v>394</v>
      </c>
      <c r="E111" s="1" t="s">
        <v>403</v>
      </c>
      <c r="F111" s="1" t="s">
        <v>416</v>
      </c>
      <c r="G111" s="1" t="s">
        <v>565</v>
      </c>
      <c r="H111" s="33">
        <v>44290</v>
      </c>
      <c r="I111" s="1">
        <v>1</v>
      </c>
      <c r="J111" s="1">
        <v>87019</v>
      </c>
      <c r="K111" s="37">
        <v>0</v>
      </c>
      <c r="L111" s="1" t="s">
        <v>615</v>
      </c>
      <c r="M111" s="1">
        <v>87019</v>
      </c>
      <c r="N111" s="1" t="s">
        <v>610</v>
      </c>
      <c r="O111" s="1" t="s">
        <v>616</v>
      </c>
      <c r="P111" s="1" t="s">
        <v>728</v>
      </c>
      <c r="Q111" s="1" t="s">
        <v>770</v>
      </c>
      <c r="R111" s="1">
        <v>3.4</v>
      </c>
      <c r="S111" s="1" t="s">
        <v>879</v>
      </c>
      <c r="T111" s="1">
        <v>0</v>
      </c>
      <c r="U111" s="3">
        <v>87019</v>
      </c>
    </row>
    <row r="112" spans="1:21" x14ac:dyDescent="0.25">
      <c r="A112" s="4" t="s">
        <v>130</v>
      </c>
      <c r="B112" s="1" t="s">
        <v>232</v>
      </c>
      <c r="C112" s="1" t="s">
        <v>353</v>
      </c>
      <c r="D112" s="1" t="s">
        <v>393</v>
      </c>
      <c r="E112" s="1" t="s">
        <v>407</v>
      </c>
      <c r="F112" s="1" t="s">
        <v>438</v>
      </c>
      <c r="G112" s="1" t="s">
        <v>566</v>
      </c>
      <c r="H112" s="33">
        <v>45397</v>
      </c>
      <c r="I112" s="1">
        <v>1</v>
      </c>
      <c r="J112" s="1">
        <v>66298</v>
      </c>
      <c r="K112" s="37">
        <v>0.1</v>
      </c>
      <c r="L112" s="1" t="s">
        <v>615</v>
      </c>
      <c r="M112" s="1">
        <v>59668.2</v>
      </c>
      <c r="N112" s="1" t="s">
        <v>609</v>
      </c>
      <c r="O112" s="1" t="s">
        <v>616</v>
      </c>
      <c r="P112" s="1" t="s">
        <v>729</v>
      </c>
      <c r="Q112" s="1" t="s">
        <v>771</v>
      </c>
      <c r="R112" s="1">
        <v>3.6</v>
      </c>
      <c r="S112" s="1" t="s">
        <v>880</v>
      </c>
      <c r="T112" s="1">
        <v>0</v>
      </c>
      <c r="U112" s="3">
        <v>59668.2</v>
      </c>
    </row>
    <row r="113" spans="1:21" x14ac:dyDescent="0.25">
      <c r="A113" s="4" t="s">
        <v>131</v>
      </c>
      <c r="B113" s="1" t="s">
        <v>233</v>
      </c>
      <c r="C113" s="1" t="s">
        <v>354</v>
      </c>
      <c r="D113" s="1" t="s">
        <v>399</v>
      </c>
      <c r="E113" s="1" t="s">
        <v>410</v>
      </c>
      <c r="F113" s="1" t="s">
        <v>453</v>
      </c>
      <c r="G113" s="1" t="s">
        <v>567</v>
      </c>
      <c r="H113" s="33">
        <v>43634</v>
      </c>
      <c r="I113" s="1">
        <v>4</v>
      </c>
      <c r="J113" s="1">
        <v>106000</v>
      </c>
      <c r="K113" s="37">
        <v>0.1</v>
      </c>
      <c r="L113" s="1" t="s">
        <v>612</v>
      </c>
      <c r="M113" s="1">
        <v>381600</v>
      </c>
      <c r="N113" s="1" t="s">
        <v>609</v>
      </c>
      <c r="O113" s="1" t="s">
        <v>617</v>
      </c>
      <c r="P113" s="1" t="s">
        <v>730</v>
      </c>
      <c r="Q113" s="1" t="s">
        <v>772</v>
      </c>
      <c r="R113" s="1">
        <v>4.8</v>
      </c>
      <c r="S113" s="1" t="s">
        <v>881</v>
      </c>
      <c r="T113" s="1">
        <v>0</v>
      </c>
      <c r="U113" s="3">
        <v>0</v>
      </c>
    </row>
    <row r="114" spans="1:21" x14ac:dyDescent="0.25">
      <c r="A114" s="4" t="s">
        <v>132</v>
      </c>
      <c r="B114" s="1" t="s">
        <v>199</v>
      </c>
      <c r="C114" s="1" t="s">
        <v>355</v>
      </c>
      <c r="D114" s="1" t="s">
        <v>399</v>
      </c>
      <c r="E114" s="1" t="s">
        <v>400</v>
      </c>
      <c r="F114" s="1" t="s">
        <v>413</v>
      </c>
      <c r="G114" s="1" t="s">
        <v>568</v>
      </c>
      <c r="H114" s="33">
        <v>45005</v>
      </c>
      <c r="I114" s="1">
        <v>2</v>
      </c>
      <c r="J114" s="1">
        <v>81340</v>
      </c>
      <c r="K114" s="37">
        <v>0.15</v>
      </c>
      <c r="L114" s="1" t="s">
        <v>613</v>
      </c>
      <c r="M114" s="1">
        <v>138278</v>
      </c>
      <c r="N114" s="1" t="s">
        <v>611</v>
      </c>
      <c r="O114" s="1" t="s">
        <v>619</v>
      </c>
      <c r="P114" s="1" t="s">
        <v>731</v>
      </c>
      <c r="Q114" s="1" t="s">
        <v>773</v>
      </c>
      <c r="R114" s="1">
        <v>4</v>
      </c>
      <c r="S114" s="1" t="s">
        <v>882</v>
      </c>
      <c r="T114" s="1">
        <v>5</v>
      </c>
      <c r="U114" s="3">
        <v>0</v>
      </c>
    </row>
    <row r="115" spans="1:21" x14ac:dyDescent="0.25">
      <c r="A115" s="4" t="s">
        <v>133</v>
      </c>
      <c r="B115" s="1" t="s">
        <v>234</v>
      </c>
      <c r="C115" s="1" t="s">
        <v>356</v>
      </c>
      <c r="D115" s="1" t="s">
        <v>395</v>
      </c>
      <c r="E115" s="1" t="s">
        <v>406</v>
      </c>
      <c r="F115" s="1" t="s">
        <v>420</v>
      </c>
      <c r="G115" s="1" t="s">
        <v>569</v>
      </c>
      <c r="H115" s="33">
        <v>44861</v>
      </c>
      <c r="I115" s="1">
        <v>3</v>
      </c>
      <c r="J115" s="1">
        <v>38402</v>
      </c>
      <c r="K115" s="37">
        <v>0.15</v>
      </c>
      <c r="L115" s="1" t="s">
        <v>613</v>
      </c>
      <c r="M115" s="1">
        <v>97925.1</v>
      </c>
      <c r="N115" s="1" t="s">
        <v>608</v>
      </c>
      <c r="O115" s="1" t="s">
        <v>617</v>
      </c>
      <c r="P115" s="1" t="s">
        <v>732</v>
      </c>
      <c r="Q115" s="1" t="s">
        <v>771</v>
      </c>
      <c r="R115" s="1">
        <v>2.9</v>
      </c>
      <c r="S115" s="1" t="s">
        <v>883</v>
      </c>
      <c r="T115" s="1">
        <v>4</v>
      </c>
      <c r="U115" s="3">
        <v>0</v>
      </c>
    </row>
    <row r="116" spans="1:21" x14ac:dyDescent="0.25">
      <c r="A116" s="4" t="s">
        <v>134</v>
      </c>
      <c r="B116" s="1" t="s">
        <v>174</v>
      </c>
      <c r="C116" s="1" t="s">
        <v>357</v>
      </c>
      <c r="D116" s="1" t="s">
        <v>396</v>
      </c>
      <c r="E116" s="1" t="s">
        <v>404</v>
      </c>
      <c r="F116" s="1" t="s">
        <v>417</v>
      </c>
      <c r="G116" s="1" t="s">
        <v>570</v>
      </c>
      <c r="H116" s="33">
        <v>45635</v>
      </c>
      <c r="I116" s="1">
        <v>3</v>
      </c>
      <c r="J116" s="1">
        <v>89192</v>
      </c>
      <c r="K116" s="37">
        <v>0</v>
      </c>
      <c r="L116" s="1" t="s">
        <v>613</v>
      </c>
      <c r="M116" s="1">
        <v>267576</v>
      </c>
      <c r="N116" s="1" t="s">
        <v>608</v>
      </c>
      <c r="O116" s="1" t="s">
        <v>617</v>
      </c>
      <c r="P116" s="1" t="s">
        <v>733</v>
      </c>
      <c r="Q116" s="1" t="s">
        <v>917</v>
      </c>
      <c r="R116" s="1">
        <v>3.4</v>
      </c>
      <c r="S116" s="1" t="s">
        <v>884</v>
      </c>
      <c r="T116" s="1">
        <v>3</v>
      </c>
      <c r="U116" s="3">
        <v>0</v>
      </c>
    </row>
    <row r="117" spans="1:21" x14ac:dyDescent="0.25">
      <c r="A117" s="4" t="s">
        <v>135</v>
      </c>
      <c r="B117" s="1" t="s">
        <v>191</v>
      </c>
      <c r="C117" s="1" t="s">
        <v>358</v>
      </c>
      <c r="D117" s="1" t="s">
        <v>395</v>
      </c>
      <c r="E117" s="1" t="s">
        <v>402</v>
      </c>
      <c r="F117" s="1" t="s">
        <v>435</v>
      </c>
      <c r="G117" s="1" t="s">
        <v>571</v>
      </c>
      <c r="H117" s="33">
        <v>44111</v>
      </c>
      <c r="I117" s="1">
        <v>2</v>
      </c>
      <c r="J117" s="1">
        <v>89216</v>
      </c>
      <c r="K117" s="37">
        <v>0.1</v>
      </c>
      <c r="L117" s="1" t="s">
        <v>614</v>
      </c>
      <c r="M117" s="1">
        <v>160588.79999999999</v>
      </c>
      <c r="N117" s="1" t="s">
        <v>609</v>
      </c>
      <c r="O117" s="1" t="s">
        <v>616</v>
      </c>
      <c r="P117" s="1" t="s">
        <v>734</v>
      </c>
      <c r="Q117" s="1" t="s">
        <v>774</v>
      </c>
      <c r="R117" s="1">
        <v>3.4</v>
      </c>
      <c r="S117" s="1" t="s">
        <v>885</v>
      </c>
      <c r="T117" s="1">
        <v>0</v>
      </c>
      <c r="U117" s="3">
        <v>0</v>
      </c>
    </row>
    <row r="118" spans="1:21" x14ac:dyDescent="0.25">
      <c r="A118" s="4" t="s">
        <v>136</v>
      </c>
      <c r="B118" s="1" t="s">
        <v>212</v>
      </c>
      <c r="C118" s="1" t="s">
        <v>359</v>
      </c>
      <c r="D118" s="1" t="s">
        <v>399</v>
      </c>
      <c r="E118" s="1" t="s">
        <v>407</v>
      </c>
      <c r="F118" s="1" t="s">
        <v>438</v>
      </c>
      <c r="G118" s="1" t="s">
        <v>572</v>
      </c>
      <c r="H118" s="33">
        <v>43652</v>
      </c>
      <c r="I118" s="1">
        <v>4</v>
      </c>
      <c r="J118" s="1">
        <v>6598</v>
      </c>
      <c r="K118" s="37">
        <v>0.1</v>
      </c>
      <c r="L118" s="1" t="s">
        <v>613</v>
      </c>
      <c r="M118" s="1">
        <v>23752.799999999999</v>
      </c>
      <c r="N118" s="1" t="s">
        <v>608</v>
      </c>
      <c r="O118" s="1" t="s">
        <v>619</v>
      </c>
      <c r="P118" s="1" t="s">
        <v>735</v>
      </c>
      <c r="Q118" s="1" t="s">
        <v>769</v>
      </c>
      <c r="R118" s="1">
        <v>3.3</v>
      </c>
      <c r="S118" s="1" t="s">
        <v>886</v>
      </c>
      <c r="T118" s="1">
        <v>8</v>
      </c>
      <c r="U118" s="3">
        <v>0</v>
      </c>
    </row>
    <row r="119" spans="1:21" x14ac:dyDescent="0.25">
      <c r="A119" s="4" t="s">
        <v>137</v>
      </c>
      <c r="B119" s="1" t="s">
        <v>212</v>
      </c>
      <c r="C119" s="1" t="s">
        <v>360</v>
      </c>
      <c r="D119" s="1" t="s">
        <v>396</v>
      </c>
      <c r="E119" s="1" t="s">
        <v>406</v>
      </c>
      <c r="F119" s="1" t="s">
        <v>420</v>
      </c>
      <c r="G119" s="1" t="s">
        <v>573</v>
      </c>
      <c r="H119" s="33">
        <v>44561</v>
      </c>
      <c r="I119" s="1">
        <v>5</v>
      </c>
      <c r="J119" s="1">
        <v>113566</v>
      </c>
      <c r="K119" s="37">
        <v>0.1</v>
      </c>
      <c r="L119" s="1" t="s">
        <v>615</v>
      </c>
      <c r="M119" s="1">
        <v>511047</v>
      </c>
      <c r="N119" s="1" t="s">
        <v>611</v>
      </c>
      <c r="O119" s="1" t="s">
        <v>616</v>
      </c>
      <c r="P119" s="1" t="s">
        <v>736</v>
      </c>
      <c r="Q119" s="1" t="s">
        <v>769</v>
      </c>
      <c r="R119" s="1">
        <v>3.3</v>
      </c>
      <c r="S119" s="1" t="s">
        <v>887</v>
      </c>
      <c r="T119" s="1">
        <v>0</v>
      </c>
      <c r="U119" s="3">
        <v>511047</v>
      </c>
    </row>
    <row r="120" spans="1:21" x14ac:dyDescent="0.25">
      <c r="A120" s="4" t="s">
        <v>138</v>
      </c>
      <c r="B120" s="1" t="s">
        <v>179</v>
      </c>
      <c r="C120" s="1" t="s">
        <v>361</v>
      </c>
      <c r="D120" s="1" t="s">
        <v>393</v>
      </c>
      <c r="E120" s="1" t="s">
        <v>408</v>
      </c>
      <c r="F120" s="1" t="s">
        <v>424</v>
      </c>
      <c r="G120" s="1" t="s">
        <v>574</v>
      </c>
      <c r="H120" s="33">
        <v>45326</v>
      </c>
      <c r="I120" s="1">
        <v>2</v>
      </c>
      <c r="J120" s="1">
        <v>16837</v>
      </c>
      <c r="K120" s="37">
        <v>0</v>
      </c>
      <c r="L120" s="1" t="s">
        <v>614</v>
      </c>
      <c r="M120" s="1">
        <v>33674</v>
      </c>
      <c r="N120" s="1" t="s">
        <v>609</v>
      </c>
      <c r="O120" s="1" t="s">
        <v>616</v>
      </c>
      <c r="P120" s="1" t="s">
        <v>737</v>
      </c>
      <c r="Q120" s="1" t="s">
        <v>770</v>
      </c>
      <c r="R120" s="1">
        <v>3.4</v>
      </c>
      <c r="S120" s="1" t="s">
        <v>888</v>
      </c>
      <c r="T120" s="1">
        <v>0</v>
      </c>
      <c r="U120" s="3">
        <v>0</v>
      </c>
    </row>
    <row r="121" spans="1:21" x14ac:dyDescent="0.25">
      <c r="A121" s="4" t="s">
        <v>139</v>
      </c>
      <c r="B121" s="1" t="s">
        <v>194</v>
      </c>
      <c r="C121" s="1" t="s">
        <v>362</v>
      </c>
      <c r="D121" s="1" t="s">
        <v>396</v>
      </c>
      <c r="E121" s="1" t="s">
        <v>400</v>
      </c>
      <c r="F121" s="1" t="s">
        <v>441</v>
      </c>
      <c r="G121" s="1" t="s">
        <v>575</v>
      </c>
      <c r="H121" s="33">
        <v>45061</v>
      </c>
      <c r="I121" s="1">
        <v>5</v>
      </c>
      <c r="J121" s="1">
        <v>105199</v>
      </c>
      <c r="K121" s="37">
        <v>0</v>
      </c>
      <c r="L121" s="1" t="s">
        <v>615</v>
      </c>
      <c r="M121" s="1">
        <v>525995</v>
      </c>
      <c r="N121" s="1" t="s">
        <v>611</v>
      </c>
      <c r="O121" s="1" t="s">
        <v>617</v>
      </c>
      <c r="P121" s="1" t="s">
        <v>738</v>
      </c>
      <c r="Q121" s="1" t="s">
        <v>771</v>
      </c>
      <c r="R121" s="1">
        <v>3.6</v>
      </c>
      <c r="S121" s="1" t="s">
        <v>889</v>
      </c>
      <c r="T121" s="1">
        <v>0</v>
      </c>
      <c r="U121" s="3">
        <v>525995</v>
      </c>
    </row>
    <row r="122" spans="1:21" x14ac:dyDescent="0.25">
      <c r="A122" s="4" t="s">
        <v>140</v>
      </c>
      <c r="B122" s="1" t="s">
        <v>214</v>
      </c>
      <c r="C122" s="1" t="s">
        <v>363</v>
      </c>
      <c r="D122" s="1" t="s">
        <v>394</v>
      </c>
      <c r="E122" s="1" t="s">
        <v>409</v>
      </c>
      <c r="F122" s="1" t="s">
        <v>434</v>
      </c>
      <c r="G122" s="1" t="s">
        <v>576</v>
      </c>
      <c r="H122" s="33">
        <v>44005</v>
      </c>
      <c r="I122" s="1">
        <v>2</v>
      </c>
      <c r="J122" s="1">
        <v>90266</v>
      </c>
      <c r="K122" s="37">
        <v>0</v>
      </c>
      <c r="L122" s="1" t="s">
        <v>614</v>
      </c>
      <c r="M122" s="1">
        <v>180532</v>
      </c>
      <c r="N122" s="1" t="s">
        <v>609</v>
      </c>
      <c r="O122" s="1" t="s">
        <v>617</v>
      </c>
      <c r="P122" s="1" t="s">
        <v>739</v>
      </c>
      <c r="Q122" s="1" t="s">
        <v>772</v>
      </c>
      <c r="R122" s="1">
        <v>4.8</v>
      </c>
      <c r="S122" s="1" t="s">
        <v>890</v>
      </c>
      <c r="T122" s="1">
        <v>0</v>
      </c>
      <c r="U122" s="3">
        <v>0</v>
      </c>
    </row>
    <row r="123" spans="1:21" x14ac:dyDescent="0.25">
      <c r="A123" s="4" t="s">
        <v>141</v>
      </c>
      <c r="B123" s="1" t="s">
        <v>220</v>
      </c>
      <c r="C123" s="1" t="s">
        <v>364</v>
      </c>
      <c r="D123" s="1" t="s">
        <v>395</v>
      </c>
      <c r="E123" s="1" t="s">
        <v>405</v>
      </c>
      <c r="F123" s="1" t="s">
        <v>454</v>
      </c>
      <c r="G123" s="1" t="s">
        <v>577</v>
      </c>
      <c r="H123" s="33">
        <v>45485</v>
      </c>
      <c r="I123" s="1">
        <v>5</v>
      </c>
      <c r="J123" s="1">
        <v>19149</v>
      </c>
      <c r="K123" s="37">
        <v>0.15</v>
      </c>
      <c r="L123" s="1" t="s">
        <v>612</v>
      </c>
      <c r="M123" s="1">
        <v>81383.25</v>
      </c>
      <c r="N123" s="1" t="s">
        <v>610</v>
      </c>
      <c r="O123" s="1" t="s">
        <v>616</v>
      </c>
      <c r="P123" s="1" t="s">
        <v>740</v>
      </c>
      <c r="Q123" s="1" t="s">
        <v>773</v>
      </c>
      <c r="R123" s="1">
        <v>4</v>
      </c>
      <c r="S123" s="1" t="s">
        <v>891</v>
      </c>
      <c r="T123" s="1">
        <v>0</v>
      </c>
      <c r="U123" s="3">
        <v>0</v>
      </c>
    </row>
    <row r="124" spans="1:21" x14ac:dyDescent="0.25">
      <c r="A124" s="4" t="s">
        <v>142</v>
      </c>
      <c r="B124" s="1" t="s">
        <v>175</v>
      </c>
      <c r="C124" s="1" t="s">
        <v>365</v>
      </c>
      <c r="D124" s="1" t="s">
        <v>397</v>
      </c>
      <c r="E124" s="1" t="s">
        <v>411</v>
      </c>
      <c r="F124" s="1" t="s">
        <v>429</v>
      </c>
      <c r="G124" s="1" t="s">
        <v>578</v>
      </c>
      <c r="H124" s="33">
        <v>44586</v>
      </c>
      <c r="I124" s="1">
        <v>3</v>
      </c>
      <c r="J124" s="1">
        <v>61218</v>
      </c>
      <c r="K124" s="37">
        <v>0.05</v>
      </c>
      <c r="L124" s="1" t="s">
        <v>614</v>
      </c>
      <c r="M124" s="1">
        <v>174471.3</v>
      </c>
      <c r="N124" s="1" t="s">
        <v>608</v>
      </c>
      <c r="O124" s="1" t="s">
        <v>619</v>
      </c>
      <c r="P124" s="1" t="s">
        <v>741</v>
      </c>
      <c r="Q124" s="1" t="s">
        <v>771</v>
      </c>
      <c r="R124" s="1">
        <v>2.9</v>
      </c>
      <c r="S124" s="1" t="s">
        <v>892</v>
      </c>
      <c r="T124" s="1">
        <v>0</v>
      </c>
      <c r="U124" s="3">
        <v>0</v>
      </c>
    </row>
    <row r="125" spans="1:21" x14ac:dyDescent="0.25">
      <c r="A125" s="4" t="s">
        <v>143</v>
      </c>
      <c r="B125" s="1" t="s">
        <v>181</v>
      </c>
      <c r="C125" s="1" t="s">
        <v>366</v>
      </c>
      <c r="D125" s="1" t="s">
        <v>393</v>
      </c>
      <c r="E125" s="1" t="s">
        <v>412</v>
      </c>
      <c r="F125" s="1" t="s">
        <v>444</v>
      </c>
      <c r="G125" s="1" t="s">
        <v>579</v>
      </c>
      <c r="H125" s="33">
        <v>44506</v>
      </c>
      <c r="I125" s="1">
        <v>4</v>
      </c>
      <c r="J125" s="1">
        <v>84795</v>
      </c>
      <c r="K125" s="37">
        <v>0.05</v>
      </c>
      <c r="L125" s="1" t="s">
        <v>613</v>
      </c>
      <c r="M125" s="1">
        <v>322221</v>
      </c>
      <c r="N125" s="1" t="s">
        <v>610</v>
      </c>
      <c r="O125" s="1" t="s">
        <v>616</v>
      </c>
      <c r="P125" s="1" t="s">
        <v>742</v>
      </c>
      <c r="Q125" s="1" t="s">
        <v>917</v>
      </c>
      <c r="R125" s="1">
        <v>3.4</v>
      </c>
      <c r="S125" s="1" t="s">
        <v>893</v>
      </c>
      <c r="T125" s="1">
        <v>10</v>
      </c>
      <c r="U125" s="3">
        <v>0</v>
      </c>
    </row>
    <row r="126" spans="1:21" x14ac:dyDescent="0.25">
      <c r="A126" s="4" t="s">
        <v>144</v>
      </c>
      <c r="B126" s="1" t="s">
        <v>235</v>
      </c>
      <c r="C126" s="1" t="s">
        <v>367</v>
      </c>
      <c r="D126" s="1" t="s">
        <v>392</v>
      </c>
      <c r="E126" s="1" t="s">
        <v>404</v>
      </c>
      <c r="F126" s="1" t="s">
        <v>426</v>
      </c>
      <c r="G126" s="1" t="s">
        <v>580</v>
      </c>
      <c r="H126" s="33">
        <v>43951</v>
      </c>
      <c r="I126" s="1">
        <v>5</v>
      </c>
      <c r="J126" s="1">
        <v>85308</v>
      </c>
      <c r="K126" s="37">
        <v>0</v>
      </c>
      <c r="L126" s="1" t="s">
        <v>614</v>
      </c>
      <c r="M126" s="1">
        <v>426540</v>
      </c>
      <c r="N126" s="1" t="s">
        <v>610</v>
      </c>
      <c r="O126" s="1" t="s">
        <v>616</v>
      </c>
      <c r="P126" s="1" t="s">
        <v>743</v>
      </c>
      <c r="Q126" s="1" t="s">
        <v>774</v>
      </c>
      <c r="R126" s="1">
        <v>3.4</v>
      </c>
      <c r="S126" s="1" t="s">
        <v>894</v>
      </c>
      <c r="T126" s="1">
        <v>0</v>
      </c>
      <c r="U126" s="3">
        <v>0</v>
      </c>
    </row>
    <row r="127" spans="1:21" x14ac:dyDescent="0.25">
      <c r="A127" s="4" t="s">
        <v>145</v>
      </c>
      <c r="B127" s="1" t="s">
        <v>236</v>
      </c>
      <c r="C127" s="1" t="s">
        <v>368</v>
      </c>
      <c r="D127" s="1" t="s">
        <v>397</v>
      </c>
      <c r="E127" s="1" t="s">
        <v>407</v>
      </c>
      <c r="F127" s="1" t="s">
        <v>443</v>
      </c>
      <c r="G127" s="1" t="s">
        <v>581</v>
      </c>
      <c r="H127" s="33">
        <v>44803</v>
      </c>
      <c r="I127" s="1">
        <v>5</v>
      </c>
      <c r="J127" s="1">
        <v>111458</v>
      </c>
      <c r="K127" s="37">
        <v>0.05</v>
      </c>
      <c r="L127" s="1" t="s">
        <v>614</v>
      </c>
      <c r="M127" s="1">
        <v>529425.5</v>
      </c>
      <c r="N127" s="1" t="s">
        <v>608</v>
      </c>
      <c r="O127" s="1" t="s">
        <v>619</v>
      </c>
      <c r="P127" s="1" t="s">
        <v>744</v>
      </c>
      <c r="Q127" s="1" t="s">
        <v>769</v>
      </c>
      <c r="R127" s="1">
        <v>3.3</v>
      </c>
      <c r="S127" s="1" t="s">
        <v>895</v>
      </c>
      <c r="T127" s="1">
        <v>0</v>
      </c>
      <c r="U127" s="3">
        <v>0</v>
      </c>
    </row>
    <row r="128" spans="1:21" x14ac:dyDescent="0.25">
      <c r="A128" s="4" t="s">
        <v>146</v>
      </c>
      <c r="B128" s="1" t="s">
        <v>191</v>
      </c>
      <c r="C128" s="1" t="s">
        <v>369</v>
      </c>
      <c r="D128" s="1" t="s">
        <v>398</v>
      </c>
      <c r="E128" s="1" t="s">
        <v>400</v>
      </c>
      <c r="F128" s="1" t="s">
        <v>441</v>
      </c>
      <c r="G128" s="1" t="s">
        <v>478</v>
      </c>
      <c r="H128" s="33">
        <v>44449</v>
      </c>
      <c r="I128" s="1">
        <v>3</v>
      </c>
      <c r="J128" s="1">
        <v>73879</v>
      </c>
      <c r="K128" s="37">
        <v>0.05</v>
      </c>
      <c r="L128" s="1" t="s">
        <v>613</v>
      </c>
      <c r="M128" s="1">
        <v>210555.15</v>
      </c>
      <c r="N128" s="1" t="s">
        <v>609</v>
      </c>
      <c r="O128" s="1" t="s">
        <v>616</v>
      </c>
      <c r="P128" s="1" t="s">
        <v>745</v>
      </c>
      <c r="Q128" s="1" t="s">
        <v>769</v>
      </c>
      <c r="R128" s="1">
        <v>3.3</v>
      </c>
      <c r="S128" s="1" t="s">
        <v>896</v>
      </c>
      <c r="T128" s="1">
        <v>9</v>
      </c>
      <c r="U128" s="3">
        <v>0</v>
      </c>
    </row>
    <row r="129" spans="1:21" x14ac:dyDescent="0.25">
      <c r="A129" s="4" t="s">
        <v>147</v>
      </c>
      <c r="B129" s="1" t="s">
        <v>237</v>
      </c>
      <c r="C129" s="1" t="s">
        <v>370</v>
      </c>
      <c r="D129" s="1" t="s">
        <v>399</v>
      </c>
      <c r="E129" s="1" t="s">
        <v>401</v>
      </c>
      <c r="F129" s="1" t="s">
        <v>448</v>
      </c>
      <c r="G129" s="1" t="s">
        <v>582</v>
      </c>
      <c r="H129" s="33">
        <v>45330</v>
      </c>
      <c r="I129" s="1">
        <v>3</v>
      </c>
      <c r="J129" s="1">
        <v>70701</v>
      </c>
      <c r="K129" s="37">
        <v>0.1</v>
      </c>
      <c r="L129" s="1" t="s">
        <v>614</v>
      </c>
      <c r="M129" s="1">
        <v>190892.7</v>
      </c>
      <c r="N129" s="1" t="s">
        <v>611</v>
      </c>
      <c r="O129" s="1" t="s">
        <v>619</v>
      </c>
      <c r="P129" s="1" t="s">
        <v>746</v>
      </c>
      <c r="Q129" s="1" t="s">
        <v>770</v>
      </c>
      <c r="R129" s="1">
        <v>3.4</v>
      </c>
      <c r="S129" s="1" t="s">
        <v>897</v>
      </c>
      <c r="T129" s="1">
        <v>0</v>
      </c>
      <c r="U129" s="3">
        <v>0</v>
      </c>
    </row>
    <row r="130" spans="1:21" x14ac:dyDescent="0.25">
      <c r="A130" s="4" t="s">
        <v>148</v>
      </c>
      <c r="B130" s="1" t="s">
        <v>203</v>
      </c>
      <c r="C130" s="1" t="s">
        <v>371</v>
      </c>
      <c r="D130" s="1" t="s">
        <v>398</v>
      </c>
      <c r="E130" s="1" t="s">
        <v>404</v>
      </c>
      <c r="F130" s="1" t="s">
        <v>426</v>
      </c>
      <c r="G130" s="1" t="s">
        <v>583</v>
      </c>
      <c r="H130" s="33">
        <v>43950</v>
      </c>
      <c r="I130" s="1">
        <v>3</v>
      </c>
      <c r="J130" s="1">
        <v>57064</v>
      </c>
      <c r="K130" s="37">
        <v>0.2</v>
      </c>
      <c r="L130" s="1" t="s">
        <v>615</v>
      </c>
      <c r="M130" s="1">
        <v>136953.60000000001</v>
      </c>
      <c r="N130" s="1" t="s">
        <v>609</v>
      </c>
      <c r="O130" s="1" t="s">
        <v>619</v>
      </c>
      <c r="P130" s="1" t="s">
        <v>747</v>
      </c>
      <c r="Q130" s="1" t="s">
        <v>771</v>
      </c>
      <c r="R130" s="1">
        <v>3.6</v>
      </c>
      <c r="S130" s="1" t="s">
        <v>898</v>
      </c>
      <c r="T130" s="1">
        <v>0</v>
      </c>
      <c r="U130" s="3">
        <v>136953.60000000001</v>
      </c>
    </row>
    <row r="131" spans="1:21" x14ac:dyDescent="0.25">
      <c r="A131" s="4" t="s">
        <v>149</v>
      </c>
      <c r="B131" s="1" t="s">
        <v>238</v>
      </c>
      <c r="C131" s="1" t="s">
        <v>372</v>
      </c>
      <c r="D131" s="1" t="s">
        <v>397</v>
      </c>
      <c r="E131" s="1" t="s">
        <v>407</v>
      </c>
      <c r="F131" s="1" t="s">
        <v>423</v>
      </c>
      <c r="G131" s="1" t="s">
        <v>584</v>
      </c>
      <c r="H131" s="33">
        <v>45514</v>
      </c>
      <c r="I131" s="1">
        <v>1</v>
      </c>
      <c r="J131" s="1">
        <v>5824</v>
      </c>
      <c r="K131" s="37">
        <v>0.2</v>
      </c>
      <c r="L131" s="1" t="s">
        <v>615</v>
      </c>
      <c r="M131" s="1">
        <v>4659.2</v>
      </c>
      <c r="N131" s="1" t="s">
        <v>610</v>
      </c>
      <c r="O131" s="1" t="s">
        <v>617</v>
      </c>
      <c r="P131" s="1" t="s">
        <v>748</v>
      </c>
      <c r="Q131" s="1" t="s">
        <v>772</v>
      </c>
      <c r="R131" s="1">
        <v>4.8</v>
      </c>
      <c r="S131" s="1" t="s">
        <v>865</v>
      </c>
      <c r="T131" s="1">
        <v>0</v>
      </c>
      <c r="U131" s="3">
        <v>4659.2</v>
      </c>
    </row>
    <row r="132" spans="1:21" x14ac:dyDescent="0.25">
      <c r="A132" s="4" t="s">
        <v>150</v>
      </c>
      <c r="B132" s="1" t="s">
        <v>222</v>
      </c>
      <c r="C132" s="1" t="s">
        <v>373</v>
      </c>
      <c r="D132" s="1" t="s">
        <v>396</v>
      </c>
      <c r="E132" s="1" t="s">
        <v>411</v>
      </c>
      <c r="F132" s="1" t="s">
        <v>447</v>
      </c>
      <c r="G132" s="1" t="s">
        <v>585</v>
      </c>
      <c r="H132" s="33">
        <v>44016</v>
      </c>
      <c r="I132" s="1">
        <v>5</v>
      </c>
      <c r="J132" s="1">
        <v>45765</v>
      </c>
      <c r="K132" s="37">
        <v>0.2</v>
      </c>
      <c r="L132" s="1" t="s">
        <v>614</v>
      </c>
      <c r="M132" s="1">
        <v>183060</v>
      </c>
      <c r="N132" s="1" t="s">
        <v>609</v>
      </c>
      <c r="O132" s="1" t="s">
        <v>616</v>
      </c>
      <c r="P132" s="1" t="s">
        <v>749</v>
      </c>
      <c r="Q132" s="1" t="s">
        <v>773</v>
      </c>
      <c r="R132" s="1">
        <v>4</v>
      </c>
      <c r="S132" s="1" t="s">
        <v>899</v>
      </c>
      <c r="T132" s="1">
        <v>0</v>
      </c>
      <c r="U132" s="3">
        <v>0</v>
      </c>
    </row>
    <row r="133" spans="1:21" x14ac:dyDescent="0.25">
      <c r="A133" s="4" t="s">
        <v>151</v>
      </c>
      <c r="B133" s="1" t="s">
        <v>181</v>
      </c>
      <c r="C133" s="1" t="s">
        <v>374</v>
      </c>
      <c r="D133" s="1" t="s">
        <v>395</v>
      </c>
      <c r="E133" s="1" t="s">
        <v>403</v>
      </c>
      <c r="F133" s="1" t="s">
        <v>425</v>
      </c>
      <c r="G133" s="1" t="s">
        <v>586</v>
      </c>
      <c r="H133" s="33">
        <v>44262</v>
      </c>
      <c r="I133" s="1">
        <v>2</v>
      </c>
      <c r="J133" s="1">
        <v>114028</v>
      </c>
      <c r="K133" s="37">
        <v>0.15</v>
      </c>
      <c r="L133" s="1" t="s">
        <v>612</v>
      </c>
      <c r="M133" s="1">
        <v>193847.6</v>
      </c>
      <c r="N133" s="1" t="s">
        <v>610</v>
      </c>
      <c r="O133" s="1" t="s">
        <v>617</v>
      </c>
      <c r="P133" s="1" t="s">
        <v>750</v>
      </c>
      <c r="Q133" s="1" t="s">
        <v>771</v>
      </c>
      <c r="R133" s="1">
        <v>2.9</v>
      </c>
      <c r="S133" s="1" t="s">
        <v>900</v>
      </c>
      <c r="T133" s="1">
        <v>0</v>
      </c>
      <c r="U133" s="3">
        <v>0</v>
      </c>
    </row>
    <row r="134" spans="1:21" x14ac:dyDescent="0.25">
      <c r="A134" s="4" t="s">
        <v>152</v>
      </c>
      <c r="B134" s="1" t="s">
        <v>180</v>
      </c>
      <c r="C134" s="1" t="s">
        <v>375</v>
      </c>
      <c r="D134" s="1" t="s">
        <v>392</v>
      </c>
      <c r="E134" s="1" t="s">
        <v>401</v>
      </c>
      <c r="F134" s="1" t="s">
        <v>448</v>
      </c>
      <c r="G134" s="1" t="s">
        <v>587</v>
      </c>
      <c r="H134" s="33">
        <v>44753</v>
      </c>
      <c r="I134" s="1">
        <v>4</v>
      </c>
      <c r="J134" s="1">
        <v>65819</v>
      </c>
      <c r="K134" s="37">
        <v>0.1</v>
      </c>
      <c r="L134" s="1" t="s">
        <v>615</v>
      </c>
      <c r="M134" s="1">
        <v>236948.4</v>
      </c>
      <c r="N134" s="1" t="s">
        <v>610</v>
      </c>
      <c r="O134" s="1" t="s">
        <v>616</v>
      </c>
      <c r="P134" s="1" t="s">
        <v>751</v>
      </c>
      <c r="Q134" s="1" t="s">
        <v>917</v>
      </c>
      <c r="R134" s="1">
        <v>3.4</v>
      </c>
      <c r="S134" s="1" t="s">
        <v>901</v>
      </c>
      <c r="T134" s="1">
        <v>0</v>
      </c>
      <c r="U134" s="3">
        <v>236948.4</v>
      </c>
    </row>
    <row r="135" spans="1:21" x14ac:dyDescent="0.25">
      <c r="A135" s="4" t="s">
        <v>153</v>
      </c>
      <c r="B135" s="1" t="s">
        <v>239</v>
      </c>
      <c r="C135" s="1" t="s">
        <v>376</v>
      </c>
      <c r="D135" s="1" t="s">
        <v>394</v>
      </c>
      <c r="E135" s="1" t="s">
        <v>403</v>
      </c>
      <c r="F135" s="1" t="s">
        <v>422</v>
      </c>
      <c r="G135" s="1" t="s">
        <v>588</v>
      </c>
      <c r="H135" s="33">
        <v>43809</v>
      </c>
      <c r="I135" s="1">
        <v>1</v>
      </c>
      <c r="J135" s="1">
        <v>113440</v>
      </c>
      <c r="K135" s="37">
        <v>0.05</v>
      </c>
      <c r="L135" s="1" t="s">
        <v>614</v>
      </c>
      <c r="M135" s="1">
        <v>107768</v>
      </c>
      <c r="N135" s="1" t="s">
        <v>610</v>
      </c>
      <c r="O135" s="1" t="s">
        <v>618</v>
      </c>
      <c r="P135" s="1" t="s">
        <v>752</v>
      </c>
      <c r="Q135" s="1" t="s">
        <v>774</v>
      </c>
      <c r="R135" s="1">
        <v>3.4</v>
      </c>
      <c r="S135" s="1" t="s">
        <v>902</v>
      </c>
      <c r="T135" s="1">
        <v>0</v>
      </c>
      <c r="U135" s="3">
        <v>0</v>
      </c>
    </row>
    <row r="136" spans="1:21" x14ac:dyDescent="0.25">
      <c r="A136" s="4" t="s">
        <v>154</v>
      </c>
      <c r="B136" s="1" t="s">
        <v>240</v>
      </c>
      <c r="C136" s="1" t="s">
        <v>377</v>
      </c>
      <c r="D136" s="1" t="s">
        <v>396</v>
      </c>
      <c r="E136" s="1" t="s">
        <v>404</v>
      </c>
      <c r="F136" s="1" t="s">
        <v>417</v>
      </c>
      <c r="G136" s="1" t="s">
        <v>589</v>
      </c>
      <c r="H136" s="33">
        <v>44424</v>
      </c>
      <c r="I136" s="1">
        <v>2</v>
      </c>
      <c r="J136" s="1">
        <v>111414</v>
      </c>
      <c r="K136" s="37">
        <v>0.2</v>
      </c>
      <c r="L136" s="1" t="s">
        <v>615</v>
      </c>
      <c r="M136" s="1">
        <v>178262.39999999999</v>
      </c>
      <c r="N136" s="1" t="s">
        <v>609</v>
      </c>
      <c r="O136" s="1" t="s">
        <v>616</v>
      </c>
      <c r="P136" s="1" t="s">
        <v>753</v>
      </c>
      <c r="Q136" s="1" t="s">
        <v>769</v>
      </c>
      <c r="R136" s="1">
        <v>3.3</v>
      </c>
      <c r="S136" s="1" t="s">
        <v>903</v>
      </c>
      <c r="T136" s="1">
        <v>0</v>
      </c>
      <c r="U136" s="3">
        <v>178262.39999999999</v>
      </c>
    </row>
    <row r="137" spans="1:21" x14ac:dyDescent="0.25">
      <c r="A137" s="4" t="s">
        <v>155</v>
      </c>
      <c r="B137" s="1" t="s">
        <v>211</v>
      </c>
      <c r="C137" s="1" t="s">
        <v>378</v>
      </c>
      <c r="D137" s="1" t="s">
        <v>398</v>
      </c>
      <c r="E137" s="1" t="s">
        <v>408</v>
      </c>
      <c r="F137" s="1" t="s">
        <v>424</v>
      </c>
      <c r="G137" s="1" t="s">
        <v>590</v>
      </c>
      <c r="H137" s="33">
        <v>45184</v>
      </c>
      <c r="I137" s="1">
        <v>2</v>
      </c>
      <c r="J137" s="1">
        <v>81365</v>
      </c>
      <c r="K137" s="37">
        <v>0.15</v>
      </c>
      <c r="L137" s="1" t="s">
        <v>613</v>
      </c>
      <c r="M137" s="1">
        <v>138320.5</v>
      </c>
      <c r="N137" s="1" t="s">
        <v>609</v>
      </c>
      <c r="O137" s="1" t="s">
        <v>619</v>
      </c>
      <c r="P137" s="1" t="s">
        <v>754</v>
      </c>
      <c r="Q137" s="1" t="s">
        <v>769</v>
      </c>
      <c r="R137" s="1">
        <v>3.3</v>
      </c>
      <c r="S137" s="1" t="s">
        <v>780</v>
      </c>
      <c r="T137" s="1">
        <v>4</v>
      </c>
      <c r="U137" s="3">
        <v>0</v>
      </c>
    </row>
    <row r="138" spans="1:21" x14ac:dyDescent="0.25">
      <c r="A138" s="4" t="s">
        <v>156</v>
      </c>
      <c r="B138" s="1" t="s">
        <v>190</v>
      </c>
      <c r="C138" s="1" t="s">
        <v>379</v>
      </c>
      <c r="D138" s="1" t="s">
        <v>394</v>
      </c>
      <c r="E138" s="1" t="s">
        <v>406</v>
      </c>
      <c r="F138" s="1" t="s">
        <v>455</v>
      </c>
      <c r="G138" s="1" t="s">
        <v>591</v>
      </c>
      <c r="H138" s="33">
        <v>45105</v>
      </c>
      <c r="I138" s="1">
        <v>5</v>
      </c>
      <c r="J138" s="1">
        <v>43791</v>
      </c>
      <c r="K138" s="37">
        <v>0.2</v>
      </c>
      <c r="L138" s="1" t="s">
        <v>613</v>
      </c>
      <c r="M138" s="1">
        <v>175164</v>
      </c>
      <c r="N138" s="1" t="s">
        <v>608</v>
      </c>
      <c r="O138" s="1" t="s">
        <v>618</v>
      </c>
      <c r="P138" s="1" t="s">
        <v>755</v>
      </c>
      <c r="Q138" s="1" t="s">
        <v>770</v>
      </c>
      <c r="R138" s="1">
        <v>3.4</v>
      </c>
      <c r="S138" s="1" t="s">
        <v>904</v>
      </c>
      <c r="T138" s="1">
        <v>4</v>
      </c>
      <c r="U138" s="3">
        <v>0</v>
      </c>
    </row>
    <row r="139" spans="1:21" x14ac:dyDescent="0.25">
      <c r="A139" s="4" t="s">
        <v>157</v>
      </c>
      <c r="B139" s="1" t="s">
        <v>238</v>
      </c>
      <c r="C139" s="1" t="s">
        <v>372</v>
      </c>
      <c r="D139" s="1" t="s">
        <v>399</v>
      </c>
      <c r="E139" s="1" t="s">
        <v>404</v>
      </c>
      <c r="F139" s="1" t="s">
        <v>417</v>
      </c>
      <c r="G139" s="1" t="s">
        <v>592</v>
      </c>
      <c r="H139" s="33">
        <v>45361</v>
      </c>
      <c r="I139" s="1">
        <v>3</v>
      </c>
      <c r="J139" s="1">
        <v>11161</v>
      </c>
      <c r="K139" s="37">
        <v>0.15</v>
      </c>
      <c r="L139" s="1" t="s">
        <v>614</v>
      </c>
      <c r="M139" s="1">
        <v>28460.55</v>
      </c>
      <c r="N139" s="1" t="s">
        <v>610</v>
      </c>
      <c r="O139" s="1" t="s">
        <v>616</v>
      </c>
      <c r="P139" s="1" t="s">
        <v>756</v>
      </c>
      <c r="Q139" s="1" t="s">
        <v>771</v>
      </c>
      <c r="R139" s="1">
        <v>3.6</v>
      </c>
      <c r="S139" s="1" t="s">
        <v>905</v>
      </c>
      <c r="T139" s="1">
        <v>0</v>
      </c>
      <c r="U139" s="3">
        <v>0</v>
      </c>
    </row>
    <row r="140" spans="1:21" x14ac:dyDescent="0.25">
      <c r="A140" s="4" t="s">
        <v>158</v>
      </c>
      <c r="B140" s="1" t="s">
        <v>198</v>
      </c>
      <c r="C140" s="1" t="s">
        <v>380</v>
      </c>
      <c r="D140" s="1" t="s">
        <v>398</v>
      </c>
      <c r="E140" s="1" t="s">
        <v>404</v>
      </c>
      <c r="F140" s="1" t="s">
        <v>426</v>
      </c>
      <c r="G140" s="1" t="s">
        <v>593</v>
      </c>
      <c r="H140" s="33">
        <v>45653</v>
      </c>
      <c r="I140" s="1">
        <v>5</v>
      </c>
      <c r="J140" s="1">
        <v>109950</v>
      </c>
      <c r="K140" s="37">
        <v>0</v>
      </c>
      <c r="L140" s="1" t="s">
        <v>614</v>
      </c>
      <c r="M140" s="1">
        <v>549750</v>
      </c>
      <c r="N140" s="1" t="s">
        <v>608</v>
      </c>
      <c r="O140" s="1" t="s">
        <v>617</v>
      </c>
      <c r="P140" s="1" t="s">
        <v>757</v>
      </c>
      <c r="Q140" s="1" t="s">
        <v>772</v>
      </c>
      <c r="R140" s="1">
        <v>4.8</v>
      </c>
      <c r="S140" s="1" t="s">
        <v>906</v>
      </c>
      <c r="T140" s="1">
        <v>0</v>
      </c>
      <c r="U140" s="3">
        <v>0</v>
      </c>
    </row>
    <row r="141" spans="1:21" x14ac:dyDescent="0.25">
      <c r="A141" s="4" t="s">
        <v>159</v>
      </c>
      <c r="B141" s="1" t="s">
        <v>241</v>
      </c>
      <c r="C141" s="1" t="s">
        <v>381</v>
      </c>
      <c r="D141" s="1" t="s">
        <v>392</v>
      </c>
      <c r="E141" s="1" t="s">
        <v>409</v>
      </c>
      <c r="F141" s="1" t="s">
        <v>434</v>
      </c>
      <c r="G141" s="1" t="s">
        <v>594</v>
      </c>
      <c r="H141" s="33">
        <v>43523</v>
      </c>
      <c r="I141" s="1">
        <v>1</v>
      </c>
      <c r="J141" s="1">
        <v>42563</v>
      </c>
      <c r="K141" s="37">
        <v>0.1</v>
      </c>
      <c r="L141" s="1" t="s">
        <v>614</v>
      </c>
      <c r="M141" s="1">
        <v>38306.699999999997</v>
      </c>
      <c r="N141" s="1" t="s">
        <v>608</v>
      </c>
      <c r="O141" s="1" t="s">
        <v>618</v>
      </c>
      <c r="P141" s="1" t="s">
        <v>758</v>
      </c>
      <c r="Q141" s="1" t="s">
        <v>773</v>
      </c>
      <c r="R141" s="1">
        <v>4</v>
      </c>
      <c r="S141" s="1" t="s">
        <v>907</v>
      </c>
      <c r="T141" s="1">
        <v>0</v>
      </c>
      <c r="U141" s="3">
        <v>0</v>
      </c>
    </row>
    <row r="142" spans="1:21" x14ac:dyDescent="0.25">
      <c r="A142" s="4" t="s">
        <v>160</v>
      </c>
      <c r="B142" s="1" t="s">
        <v>235</v>
      </c>
      <c r="C142" s="1" t="s">
        <v>382</v>
      </c>
      <c r="D142" s="1" t="s">
        <v>398</v>
      </c>
      <c r="E142" s="1" t="s">
        <v>405</v>
      </c>
      <c r="F142" s="1" t="s">
        <v>456</v>
      </c>
      <c r="G142" s="1" t="s">
        <v>595</v>
      </c>
      <c r="H142" s="33">
        <v>43501</v>
      </c>
      <c r="I142" s="1">
        <v>1</v>
      </c>
      <c r="J142" s="1">
        <v>19740</v>
      </c>
      <c r="K142" s="37">
        <v>0.15</v>
      </c>
      <c r="L142" s="1" t="s">
        <v>613</v>
      </c>
      <c r="M142" s="1">
        <v>16779</v>
      </c>
      <c r="N142" s="1" t="s">
        <v>610</v>
      </c>
      <c r="O142" s="1" t="s">
        <v>619</v>
      </c>
      <c r="P142" s="1" t="s">
        <v>759</v>
      </c>
      <c r="Q142" s="1" t="s">
        <v>771</v>
      </c>
      <c r="R142" s="1">
        <v>2.9</v>
      </c>
      <c r="S142" s="1" t="s">
        <v>908</v>
      </c>
      <c r="T142" s="1">
        <v>6</v>
      </c>
      <c r="U142" s="3">
        <v>0</v>
      </c>
    </row>
    <row r="143" spans="1:21" x14ac:dyDescent="0.25">
      <c r="A143" s="4" t="s">
        <v>161</v>
      </c>
      <c r="B143" s="1" t="s">
        <v>242</v>
      </c>
      <c r="C143" s="1" t="s">
        <v>383</v>
      </c>
      <c r="D143" s="1" t="s">
        <v>396</v>
      </c>
      <c r="E143" s="1" t="s">
        <v>403</v>
      </c>
      <c r="F143" s="1" t="s">
        <v>422</v>
      </c>
      <c r="G143" s="1" t="s">
        <v>596</v>
      </c>
      <c r="H143" s="33">
        <v>44288</v>
      </c>
      <c r="I143" s="1">
        <v>2</v>
      </c>
      <c r="J143" s="1">
        <v>116675</v>
      </c>
      <c r="K143" s="37">
        <v>0.2</v>
      </c>
      <c r="L143" s="1" t="s">
        <v>613</v>
      </c>
      <c r="M143" s="1">
        <v>186680</v>
      </c>
      <c r="N143" s="1" t="s">
        <v>611</v>
      </c>
      <c r="O143" s="1" t="s">
        <v>617</v>
      </c>
      <c r="P143" s="1" t="s">
        <v>760</v>
      </c>
      <c r="Q143" s="1" t="s">
        <v>917</v>
      </c>
      <c r="R143" s="1">
        <v>3.4</v>
      </c>
      <c r="S143" s="1" t="s">
        <v>909</v>
      </c>
      <c r="T143" s="1">
        <v>10</v>
      </c>
      <c r="U143" s="3">
        <v>0</v>
      </c>
    </row>
    <row r="144" spans="1:21" x14ac:dyDescent="0.25">
      <c r="A144" s="4" t="s">
        <v>162</v>
      </c>
      <c r="B144" s="1" t="s">
        <v>182</v>
      </c>
      <c r="C144" s="1" t="s">
        <v>384</v>
      </c>
      <c r="D144" s="1" t="s">
        <v>399</v>
      </c>
      <c r="E144" s="1" t="s">
        <v>401</v>
      </c>
      <c r="F144" s="1" t="s">
        <v>448</v>
      </c>
      <c r="G144" s="1" t="s">
        <v>597</v>
      </c>
      <c r="H144" s="33">
        <v>44034</v>
      </c>
      <c r="I144" s="1">
        <v>3</v>
      </c>
      <c r="J144" s="1">
        <v>66886</v>
      </c>
      <c r="K144" s="37">
        <v>0.1</v>
      </c>
      <c r="L144" s="1" t="s">
        <v>613</v>
      </c>
      <c r="M144" s="1">
        <v>180592.2</v>
      </c>
      <c r="N144" s="1" t="s">
        <v>611</v>
      </c>
      <c r="O144" s="1" t="s">
        <v>619</v>
      </c>
      <c r="P144" s="1" t="s">
        <v>761</v>
      </c>
      <c r="Q144" s="1" t="s">
        <v>774</v>
      </c>
      <c r="R144" s="1">
        <v>3.4</v>
      </c>
      <c r="S144" s="1" t="s">
        <v>910</v>
      </c>
      <c r="T144" s="1">
        <v>6</v>
      </c>
      <c r="U144" s="3">
        <v>0</v>
      </c>
    </row>
    <row r="145" spans="1:21" x14ac:dyDescent="0.25">
      <c r="A145" s="4" t="s">
        <v>163</v>
      </c>
      <c r="B145" s="1" t="s">
        <v>243</v>
      </c>
      <c r="C145" s="1" t="s">
        <v>385</v>
      </c>
      <c r="D145" s="1" t="s">
        <v>393</v>
      </c>
      <c r="E145" s="1" t="s">
        <v>408</v>
      </c>
      <c r="F145" s="1" t="s">
        <v>446</v>
      </c>
      <c r="G145" s="1" t="s">
        <v>598</v>
      </c>
      <c r="H145" s="33">
        <v>44324</v>
      </c>
      <c r="I145" s="1">
        <v>5</v>
      </c>
      <c r="J145" s="1">
        <v>109421</v>
      </c>
      <c r="K145" s="37">
        <v>0.2</v>
      </c>
      <c r="L145" s="1" t="s">
        <v>612</v>
      </c>
      <c r="M145" s="1">
        <v>437684</v>
      </c>
      <c r="N145" s="1" t="s">
        <v>610</v>
      </c>
      <c r="O145" s="1" t="s">
        <v>617</v>
      </c>
      <c r="P145" s="1" t="s">
        <v>762</v>
      </c>
      <c r="Q145" s="1" t="s">
        <v>769</v>
      </c>
      <c r="R145" s="1">
        <v>3.3</v>
      </c>
      <c r="S145" s="1" t="s">
        <v>911</v>
      </c>
      <c r="T145" s="1">
        <v>0</v>
      </c>
      <c r="U145" s="3">
        <v>0</v>
      </c>
    </row>
    <row r="146" spans="1:21" x14ac:dyDescent="0.25">
      <c r="A146" s="4" t="s">
        <v>164</v>
      </c>
      <c r="B146" s="1" t="s">
        <v>229</v>
      </c>
      <c r="C146" s="1" t="s">
        <v>386</v>
      </c>
      <c r="D146" s="1" t="s">
        <v>392</v>
      </c>
      <c r="E146" s="1" t="s">
        <v>406</v>
      </c>
      <c r="F146" s="1" t="s">
        <v>419</v>
      </c>
      <c r="G146" s="1" t="s">
        <v>599</v>
      </c>
      <c r="H146" s="33">
        <v>44865</v>
      </c>
      <c r="I146" s="1">
        <v>3</v>
      </c>
      <c r="J146" s="1">
        <v>99097</v>
      </c>
      <c r="K146" s="37">
        <v>0</v>
      </c>
      <c r="L146" s="1" t="s">
        <v>614</v>
      </c>
      <c r="M146" s="1">
        <v>297291</v>
      </c>
      <c r="N146" s="1" t="s">
        <v>608</v>
      </c>
      <c r="O146" s="1" t="s">
        <v>616</v>
      </c>
      <c r="P146" s="1" t="s">
        <v>763</v>
      </c>
      <c r="Q146" s="1" t="s">
        <v>769</v>
      </c>
      <c r="R146" s="1">
        <v>3.3</v>
      </c>
      <c r="S146" s="1" t="s">
        <v>815</v>
      </c>
      <c r="T146" s="1">
        <v>0</v>
      </c>
      <c r="U146" s="3">
        <v>0</v>
      </c>
    </row>
    <row r="147" spans="1:21" x14ac:dyDescent="0.25">
      <c r="A147" s="4" t="s">
        <v>165</v>
      </c>
      <c r="B147" s="1" t="s">
        <v>192</v>
      </c>
      <c r="C147" s="1" t="s">
        <v>387</v>
      </c>
      <c r="D147" s="1" t="s">
        <v>396</v>
      </c>
      <c r="E147" s="1" t="s">
        <v>400</v>
      </c>
      <c r="F147" s="1" t="s">
        <v>421</v>
      </c>
      <c r="G147" s="1" t="s">
        <v>600</v>
      </c>
      <c r="H147" s="33">
        <v>44242</v>
      </c>
      <c r="I147" s="1">
        <v>3</v>
      </c>
      <c r="J147" s="1">
        <v>46196</v>
      </c>
      <c r="K147" s="37">
        <v>0.15</v>
      </c>
      <c r="L147" s="1" t="s">
        <v>615</v>
      </c>
      <c r="M147" s="1">
        <v>117799.8</v>
      </c>
      <c r="N147" s="1" t="s">
        <v>611</v>
      </c>
      <c r="O147" s="1" t="s">
        <v>617</v>
      </c>
      <c r="P147" s="1" t="s">
        <v>764</v>
      </c>
      <c r="Q147" s="1" t="s">
        <v>770</v>
      </c>
      <c r="R147" s="1">
        <v>3.4</v>
      </c>
      <c r="S147" s="1" t="s">
        <v>912</v>
      </c>
      <c r="T147" s="1">
        <v>0</v>
      </c>
      <c r="U147" s="3">
        <v>117799.8</v>
      </c>
    </row>
    <row r="148" spans="1:21" x14ac:dyDescent="0.25">
      <c r="A148" s="4" t="s">
        <v>166</v>
      </c>
      <c r="B148" s="1" t="s">
        <v>207</v>
      </c>
      <c r="C148" s="1" t="s">
        <v>388</v>
      </c>
      <c r="D148" s="1" t="s">
        <v>392</v>
      </c>
      <c r="E148" s="1" t="s">
        <v>401</v>
      </c>
      <c r="F148" s="1" t="s">
        <v>448</v>
      </c>
      <c r="G148" s="1" t="s">
        <v>601</v>
      </c>
      <c r="H148" s="33">
        <v>44638</v>
      </c>
      <c r="I148" s="1">
        <v>3</v>
      </c>
      <c r="J148" s="1">
        <v>52402</v>
      </c>
      <c r="K148" s="37">
        <v>0.05</v>
      </c>
      <c r="L148" s="1" t="s">
        <v>615</v>
      </c>
      <c r="M148" s="1">
        <v>149345.70000000001</v>
      </c>
      <c r="N148" s="1" t="s">
        <v>611</v>
      </c>
      <c r="O148" s="1" t="s">
        <v>617</v>
      </c>
      <c r="P148" s="1" t="s">
        <v>765</v>
      </c>
      <c r="Q148" s="1" t="s">
        <v>771</v>
      </c>
      <c r="R148" s="1">
        <v>3.6</v>
      </c>
      <c r="S148" s="1" t="s">
        <v>913</v>
      </c>
      <c r="T148" s="1">
        <v>0</v>
      </c>
      <c r="U148" s="3">
        <v>149345.70000000001</v>
      </c>
    </row>
    <row r="149" spans="1:21" x14ac:dyDescent="0.25">
      <c r="A149" s="4" t="s">
        <v>167</v>
      </c>
      <c r="B149" s="1" t="s">
        <v>234</v>
      </c>
      <c r="C149" s="1" t="s">
        <v>389</v>
      </c>
      <c r="D149" s="1" t="s">
        <v>395</v>
      </c>
      <c r="E149" s="1" t="s">
        <v>411</v>
      </c>
      <c r="F149" s="1" t="s">
        <v>445</v>
      </c>
      <c r="G149" s="1" t="s">
        <v>602</v>
      </c>
      <c r="H149" s="33">
        <v>45035</v>
      </c>
      <c r="I149" s="1">
        <v>3</v>
      </c>
      <c r="J149" s="1">
        <v>79190</v>
      </c>
      <c r="K149" s="37">
        <v>0.05</v>
      </c>
      <c r="L149" s="1" t="s">
        <v>614</v>
      </c>
      <c r="M149" s="1">
        <v>225691.5</v>
      </c>
      <c r="N149" s="1" t="s">
        <v>608</v>
      </c>
      <c r="O149" s="1" t="s">
        <v>619</v>
      </c>
      <c r="P149" s="1" t="s">
        <v>766</v>
      </c>
      <c r="Q149" s="1" t="s">
        <v>772</v>
      </c>
      <c r="R149" s="1">
        <v>4.8</v>
      </c>
      <c r="S149" s="1" t="s">
        <v>914</v>
      </c>
      <c r="T149" s="1">
        <v>0</v>
      </c>
      <c r="U149" s="3">
        <v>0</v>
      </c>
    </row>
    <row r="150" spans="1:21" x14ac:dyDescent="0.25">
      <c r="A150" s="4" t="s">
        <v>168</v>
      </c>
      <c r="B150" s="1" t="s">
        <v>203</v>
      </c>
      <c r="C150" s="1" t="s">
        <v>390</v>
      </c>
      <c r="D150" s="1" t="s">
        <v>394</v>
      </c>
      <c r="E150" s="1" t="s">
        <v>409</v>
      </c>
      <c r="F150" s="1" t="s">
        <v>427</v>
      </c>
      <c r="G150" s="1" t="s">
        <v>603</v>
      </c>
      <c r="H150" s="33">
        <v>43920</v>
      </c>
      <c r="I150" s="1">
        <v>3</v>
      </c>
      <c r="J150" s="1">
        <v>92672</v>
      </c>
      <c r="K150" s="37">
        <v>0.2</v>
      </c>
      <c r="L150" s="1" t="s">
        <v>615</v>
      </c>
      <c r="M150" s="1">
        <v>222412.79999999999</v>
      </c>
      <c r="N150" s="1" t="s">
        <v>609</v>
      </c>
      <c r="O150" s="1" t="s">
        <v>617</v>
      </c>
      <c r="P150" s="2" t="s">
        <v>767</v>
      </c>
      <c r="Q150" s="2" t="s">
        <v>773</v>
      </c>
      <c r="R150" s="2">
        <v>4</v>
      </c>
      <c r="S150" s="1" t="s">
        <v>915</v>
      </c>
      <c r="T150" s="1">
        <v>0</v>
      </c>
      <c r="U150" s="3">
        <v>222412.79999999999</v>
      </c>
    </row>
    <row r="151" spans="1:21" x14ac:dyDescent="0.25">
      <c r="A151" s="7" t="s">
        <v>169</v>
      </c>
      <c r="B151" s="2" t="s">
        <v>197</v>
      </c>
      <c r="C151" s="2" t="s">
        <v>391</v>
      </c>
      <c r="D151" s="2" t="s">
        <v>392</v>
      </c>
      <c r="E151" s="2" t="s">
        <v>409</v>
      </c>
      <c r="F151" s="2" t="s">
        <v>431</v>
      </c>
      <c r="G151" s="2" t="s">
        <v>604</v>
      </c>
      <c r="H151" s="34">
        <v>43767</v>
      </c>
      <c r="I151" s="2">
        <v>3</v>
      </c>
      <c r="J151" s="2">
        <v>57551</v>
      </c>
      <c r="K151" s="38">
        <v>0.15</v>
      </c>
      <c r="L151" s="2" t="s">
        <v>615</v>
      </c>
      <c r="M151" s="2">
        <v>146755.04999999999</v>
      </c>
      <c r="N151" s="2" t="s">
        <v>610</v>
      </c>
      <c r="O151" s="8" t="s">
        <v>618</v>
      </c>
      <c r="P151" s="2" t="s">
        <v>768</v>
      </c>
      <c r="Q151" s="2" t="s">
        <v>771</v>
      </c>
      <c r="R151" s="2">
        <v>2.9</v>
      </c>
      <c r="S151" s="7" t="s">
        <v>916</v>
      </c>
      <c r="T151" s="2">
        <v>0</v>
      </c>
      <c r="U151" s="8">
        <v>146755.04999999999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68A7-516E-4702-BF2F-2675AED12412}">
  <sheetPr codeName="Sheet4"/>
  <dimension ref="A1:L229"/>
  <sheetViews>
    <sheetView topLeftCell="A134" zoomScale="120" zoomScaleNormal="120" workbookViewId="0">
      <selection activeCell="A145" sqref="A145"/>
    </sheetView>
  </sheetViews>
  <sheetFormatPr defaultRowHeight="15" x14ac:dyDescent="0.25"/>
  <cols>
    <col min="1" max="1" width="194" style="6" customWidth="1"/>
  </cols>
  <sheetData>
    <row r="1" spans="1:11" ht="31.5" x14ac:dyDescent="0.25">
      <c r="A1" s="41" t="s">
        <v>918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x14ac:dyDescent="0.25">
      <c r="A3" s="6" t="s">
        <v>919</v>
      </c>
    </row>
    <row r="4" spans="1:11" ht="31.5" x14ac:dyDescent="0.25">
      <c r="A4" s="40" t="s">
        <v>920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6" spans="1:11" x14ac:dyDescent="0.25">
      <c r="A6" s="6" t="s">
        <v>921</v>
      </c>
    </row>
    <row r="8" spans="1:11" ht="31.5" x14ac:dyDescent="0.25">
      <c r="A8" s="40" t="s">
        <v>922</v>
      </c>
      <c r="B8" s="40"/>
      <c r="C8" s="40"/>
      <c r="D8" s="40"/>
      <c r="E8" s="40"/>
      <c r="F8" s="40"/>
      <c r="G8" s="40"/>
      <c r="H8" s="40"/>
      <c r="I8" s="40"/>
      <c r="J8" s="40"/>
      <c r="K8" s="40"/>
    </row>
    <row r="10" spans="1:11" x14ac:dyDescent="0.25">
      <c r="A10" s="6" t="s">
        <v>923</v>
      </c>
    </row>
    <row r="12" spans="1:11" ht="31.5" x14ac:dyDescent="0.25">
      <c r="A12" s="40" t="s">
        <v>924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4" spans="1:11" x14ac:dyDescent="0.25">
      <c r="A14" s="6" t="s">
        <v>925</v>
      </c>
    </row>
    <row r="16" spans="1:11" ht="31.5" x14ac:dyDescent="0.25">
      <c r="A16" s="40" t="s">
        <v>926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</row>
    <row r="17" spans="1:12" ht="31.5" x14ac:dyDescent="0.25">
      <c r="A17" s="5"/>
    </row>
    <row r="18" spans="1:12" ht="31.5" x14ac:dyDescent="0.25">
      <c r="A18" s="40" t="s">
        <v>927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20" spans="1:12" x14ac:dyDescent="0.25">
      <c r="A20" s="6" t="s">
        <v>928</v>
      </c>
    </row>
    <row r="22" spans="1:12" ht="18" x14ac:dyDescent="0.25">
      <c r="A22" s="23" t="s">
        <v>929</v>
      </c>
    </row>
    <row r="24" spans="1:12" ht="18" x14ac:dyDescent="0.25">
      <c r="A24" s="23" t="s">
        <v>930</v>
      </c>
    </row>
    <row r="26" spans="1:12" ht="18" x14ac:dyDescent="0.25">
      <c r="A26" s="23" t="s">
        <v>931</v>
      </c>
    </row>
    <row r="28" spans="1:12" ht="18" x14ac:dyDescent="0.25">
      <c r="A28" s="23" t="s">
        <v>932</v>
      </c>
    </row>
    <row r="30" spans="1:12" x14ac:dyDescent="0.25">
      <c r="A30" s="6" t="s">
        <v>933</v>
      </c>
    </row>
    <row r="32" spans="1:12" ht="18" x14ac:dyDescent="0.25">
      <c r="A32" s="23" t="s">
        <v>934</v>
      </c>
    </row>
    <row r="34" spans="1:1" x14ac:dyDescent="0.25">
      <c r="A34" s="6" t="s">
        <v>935</v>
      </c>
    </row>
    <row r="36" spans="1:1" ht="18" x14ac:dyDescent="0.25">
      <c r="A36" s="23" t="s">
        <v>936</v>
      </c>
    </row>
    <row r="38" spans="1:1" x14ac:dyDescent="0.25">
      <c r="A38" s="6" t="s">
        <v>937</v>
      </c>
    </row>
    <row r="40" spans="1:1" ht="18" x14ac:dyDescent="0.25">
      <c r="A40" s="23" t="s">
        <v>938</v>
      </c>
    </row>
    <row r="42" spans="1:1" x14ac:dyDescent="0.25">
      <c r="A42" s="6" t="s">
        <v>939</v>
      </c>
    </row>
    <row r="44" spans="1:1" ht="18" x14ac:dyDescent="0.25">
      <c r="A44" s="23" t="s">
        <v>940</v>
      </c>
    </row>
    <row r="46" spans="1:1" x14ac:dyDescent="0.25">
      <c r="A46" s="6" t="s">
        <v>941</v>
      </c>
    </row>
    <row r="48" spans="1:1" ht="18" x14ac:dyDescent="0.25">
      <c r="A48" s="23" t="s">
        <v>942</v>
      </c>
    </row>
    <row r="50" spans="1:1" x14ac:dyDescent="0.25">
      <c r="A50" s="6" t="s">
        <v>943</v>
      </c>
    </row>
    <row r="52" spans="1:1" ht="18" x14ac:dyDescent="0.25">
      <c r="A52" s="23" t="s">
        <v>944</v>
      </c>
    </row>
    <row r="54" spans="1:1" x14ac:dyDescent="0.25">
      <c r="A54" s="6" t="s">
        <v>945</v>
      </c>
    </row>
    <row r="56" spans="1:1" ht="18" x14ac:dyDescent="0.25">
      <c r="A56" s="23" t="s">
        <v>946</v>
      </c>
    </row>
    <row r="58" spans="1:1" ht="18" x14ac:dyDescent="0.25">
      <c r="A58" s="23" t="s">
        <v>947</v>
      </c>
    </row>
    <row r="60" spans="1:1" x14ac:dyDescent="0.25">
      <c r="A60" s="6" t="s">
        <v>948</v>
      </c>
    </row>
    <row r="62" spans="1:1" ht="18" x14ac:dyDescent="0.25">
      <c r="A62" s="23" t="s">
        <v>949</v>
      </c>
    </row>
    <row r="64" spans="1:1" x14ac:dyDescent="0.25">
      <c r="A64" s="6" t="s">
        <v>950</v>
      </c>
    </row>
    <row r="66" spans="1:1" ht="18" x14ac:dyDescent="0.25">
      <c r="A66" s="23" t="s">
        <v>951</v>
      </c>
    </row>
    <row r="68" spans="1:1" x14ac:dyDescent="0.25">
      <c r="A68" s="6" t="s">
        <v>952</v>
      </c>
    </row>
    <row r="70" spans="1:1" ht="18" x14ac:dyDescent="0.25">
      <c r="A70" s="23" t="s">
        <v>953</v>
      </c>
    </row>
    <row r="72" spans="1:1" x14ac:dyDescent="0.25">
      <c r="A72" s="6" t="s">
        <v>928</v>
      </c>
    </row>
    <row r="76" spans="1:1" ht="31.5" x14ac:dyDescent="0.25">
      <c r="A76" s="5" t="s">
        <v>954</v>
      </c>
    </row>
    <row r="78" spans="1:1" x14ac:dyDescent="0.25">
      <c r="A78" s="6" t="s">
        <v>955</v>
      </c>
    </row>
    <row r="80" spans="1:1" ht="18" x14ac:dyDescent="0.25">
      <c r="A80" s="23" t="s">
        <v>956</v>
      </c>
    </row>
    <row r="82" spans="1:1" x14ac:dyDescent="0.25">
      <c r="A82" s="6" t="s">
        <v>957</v>
      </c>
    </row>
    <row r="84" spans="1:1" ht="18" x14ac:dyDescent="0.25">
      <c r="A84" s="23" t="s">
        <v>958</v>
      </c>
    </row>
    <row r="86" spans="1:1" x14ac:dyDescent="0.25">
      <c r="A86" s="6" t="s">
        <v>959</v>
      </c>
    </row>
    <row r="88" spans="1:1" ht="18" x14ac:dyDescent="0.25">
      <c r="A88" s="23" t="s">
        <v>960</v>
      </c>
    </row>
    <row r="90" spans="1:1" x14ac:dyDescent="0.25">
      <c r="A90" s="6" t="s">
        <v>961</v>
      </c>
    </row>
    <row r="92" spans="1:1" ht="18" x14ac:dyDescent="0.25">
      <c r="A92" s="23" t="s">
        <v>962</v>
      </c>
    </row>
    <row r="94" spans="1:1" x14ac:dyDescent="0.25">
      <c r="A94" s="6" t="s">
        <v>963</v>
      </c>
    </row>
    <row r="96" spans="1:1" ht="18" x14ac:dyDescent="0.25">
      <c r="A96" s="43" t="s">
        <v>964</v>
      </c>
    </row>
    <row r="98" spans="1:1" x14ac:dyDescent="0.25">
      <c r="A98" s="6" t="s">
        <v>965</v>
      </c>
    </row>
    <row r="100" spans="1:1" ht="18" x14ac:dyDescent="0.25">
      <c r="A100" s="43" t="s">
        <v>966</v>
      </c>
    </row>
    <row r="102" spans="1:1" ht="18" x14ac:dyDescent="0.25">
      <c r="A102" s="43" t="s">
        <v>967</v>
      </c>
    </row>
    <row r="104" spans="1:1" x14ac:dyDescent="0.25">
      <c r="A104" s="6" t="s">
        <v>968</v>
      </c>
    </row>
    <row r="105" spans="1:1" x14ac:dyDescent="0.25">
      <c r="A105" s="6" t="s">
        <v>969</v>
      </c>
    </row>
    <row r="106" spans="1:1" x14ac:dyDescent="0.25">
      <c r="A106" s="6" t="s">
        <v>970</v>
      </c>
    </row>
    <row r="107" spans="1:1" x14ac:dyDescent="0.25">
      <c r="A107" s="6" t="s">
        <v>971</v>
      </c>
    </row>
    <row r="108" spans="1:1" x14ac:dyDescent="0.25">
      <c r="A108" s="6" t="s">
        <v>972</v>
      </c>
    </row>
    <row r="109" spans="1:1" x14ac:dyDescent="0.25">
      <c r="A109" s="6" t="s">
        <v>973</v>
      </c>
    </row>
    <row r="111" spans="1:1" ht="18" x14ac:dyDescent="0.25">
      <c r="A111" s="43" t="s">
        <v>974</v>
      </c>
    </row>
    <row r="113" spans="1:1" x14ac:dyDescent="0.25">
      <c r="A113" s="6" t="s">
        <v>975</v>
      </c>
    </row>
    <row r="115" spans="1:1" ht="18" x14ac:dyDescent="0.25">
      <c r="A115" s="24" t="s">
        <v>976</v>
      </c>
    </row>
    <row r="117" spans="1:1" x14ac:dyDescent="0.25">
      <c r="A117" s="6" t="s">
        <v>977</v>
      </c>
    </row>
    <row r="119" spans="1:1" ht="18" x14ac:dyDescent="0.25">
      <c r="A119" s="24" t="s">
        <v>978</v>
      </c>
    </row>
    <row r="121" spans="1:1" x14ac:dyDescent="0.25">
      <c r="A121" s="6" t="s">
        <v>979</v>
      </c>
    </row>
    <row r="123" spans="1:1" ht="18" x14ac:dyDescent="0.25">
      <c r="A123" s="24" t="s">
        <v>980</v>
      </c>
    </row>
    <row r="125" spans="1:1" x14ac:dyDescent="0.25">
      <c r="A125" s="6" t="s">
        <v>981</v>
      </c>
    </row>
    <row r="127" spans="1:1" ht="18" x14ac:dyDescent="0.25">
      <c r="A127" s="24" t="s">
        <v>982</v>
      </c>
    </row>
    <row r="129" spans="1:1" x14ac:dyDescent="0.25">
      <c r="A129" s="6" t="s">
        <v>983</v>
      </c>
    </row>
    <row r="131" spans="1:1" ht="18" x14ac:dyDescent="0.25">
      <c r="A131" s="24" t="s">
        <v>984</v>
      </c>
    </row>
    <row r="133" spans="1:1" x14ac:dyDescent="0.25">
      <c r="A133" s="6" t="s">
        <v>985</v>
      </c>
    </row>
    <row r="135" spans="1:1" ht="18" x14ac:dyDescent="0.25">
      <c r="A135" s="43" t="s">
        <v>986</v>
      </c>
    </row>
    <row r="137" spans="1:1" x14ac:dyDescent="0.25">
      <c r="A137" s="6" t="s">
        <v>987</v>
      </c>
    </row>
    <row r="139" spans="1:1" ht="18" x14ac:dyDescent="0.25">
      <c r="A139" s="43" t="s">
        <v>988</v>
      </c>
    </row>
    <row r="141" spans="1:1" ht="18" x14ac:dyDescent="0.25">
      <c r="A141" s="44" t="s">
        <v>989</v>
      </c>
    </row>
    <row r="143" spans="1:1" x14ac:dyDescent="0.25">
      <c r="A143" s="6" t="s">
        <v>990</v>
      </c>
    </row>
    <row r="145" spans="1:1" ht="18" x14ac:dyDescent="0.25">
      <c r="A145" s="24" t="s">
        <v>991</v>
      </c>
    </row>
    <row r="147" spans="1:1" ht="18" x14ac:dyDescent="0.25">
      <c r="A147" s="24" t="s">
        <v>992</v>
      </c>
    </row>
    <row r="148" spans="1:1" x14ac:dyDescent="0.25">
      <c r="A148" s="25"/>
    </row>
    <row r="149" spans="1:1" x14ac:dyDescent="0.25">
      <c r="A149" s="25" t="s">
        <v>993</v>
      </c>
    </row>
    <row r="150" spans="1:1" x14ac:dyDescent="0.25">
      <c r="A150" s="25" t="s">
        <v>994</v>
      </c>
    </row>
    <row r="151" spans="1:1" x14ac:dyDescent="0.25">
      <c r="A151" s="25" t="s">
        <v>995</v>
      </c>
    </row>
    <row r="153" spans="1:1" ht="18" x14ac:dyDescent="0.25">
      <c r="A153" s="24" t="s">
        <v>996</v>
      </c>
    </row>
    <row r="155" spans="1:1" ht="18" x14ac:dyDescent="0.25">
      <c r="A155" s="24" t="s">
        <v>997</v>
      </c>
    </row>
    <row r="159" spans="1:1" ht="31.5" x14ac:dyDescent="0.25">
      <c r="A159" s="5" t="s">
        <v>998</v>
      </c>
    </row>
    <row r="161" spans="1:1" x14ac:dyDescent="0.25">
      <c r="A161" s="6" t="s">
        <v>999</v>
      </c>
    </row>
    <row r="163" spans="1:1" ht="18" x14ac:dyDescent="0.25">
      <c r="A163" s="24" t="s">
        <v>1000</v>
      </c>
    </row>
    <row r="165" spans="1:1" x14ac:dyDescent="0.25">
      <c r="A165" s="6" t="s">
        <v>1001</v>
      </c>
    </row>
    <row r="167" spans="1:1" ht="18" x14ac:dyDescent="0.25">
      <c r="A167" s="24" t="s">
        <v>1002</v>
      </c>
    </row>
    <row r="169" spans="1:1" x14ac:dyDescent="0.25">
      <c r="A169" s="6" t="s">
        <v>1003</v>
      </c>
    </row>
    <row r="171" spans="1:1" ht="18" x14ac:dyDescent="0.25">
      <c r="A171" s="24" t="s">
        <v>1004</v>
      </c>
    </row>
    <row r="173" spans="1:1" x14ac:dyDescent="0.25">
      <c r="A173" s="6" t="s">
        <v>1005</v>
      </c>
    </row>
    <row r="175" spans="1:1" ht="18" x14ac:dyDescent="0.25">
      <c r="A175" s="24" t="s">
        <v>1006</v>
      </c>
    </row>
    <row r="177" spans="1:1" x14ac:dyDescent="0.25">
      <c r="A177" s="6" t="s">
        <v>1007</v>
      </c>
    </row>
    <row r="179" spans="1:1" ht="18" x14ac:dyDescent="0.25">
      <c r="A179" s="24" t="s">
        <v>1008</v>
      </c>
    </row>
    <row r="181" spans="1:1" x14ac:dyDescent="0.25">
      <c r="A181" s="6" t="s">
        <v>1009</v>
      </c>
    </row>
    <row r="183" spans="1:1" ht="18" x14ac:dyDescent="0.25">
      <c r="A183" s="24" t="s">
        <v>1010</v>
      </c>
    </row>
    <row r="185" spans="1:1" ht="18" x14ac:dyDescent="0.25">
      <c r="A185" s="24" t="s">
        <v>1011</v>
      </c>
    </row>
    <row r="187" spans="1:1" ht="31.5" x14ac:dyDescent="0.25">
      <c r="A187" s="5" t="s">
        <v>1012</v>
      </c>
    </row>
    <row r="189" spans="1:1" ht="18" x14ac:dyDescent="0.25">
      <c r="A189" s="24" t="s">
        <v>1013</v>
      </c>
    </row>
    <row r="191" spans="1:1" x14ac:dyDescent="0.25">
      <c r="A191" s="6" t="s">
        <v>1014</v>
      </c>
    </row>
    <row r="193" spans="1:1" ht="18" x14ac:dyDescent="0.25">
      <c r="A193" s="24" t="s">
        <v>1015</v>
      </c>
    </row>
    <row r="195" spans="1:1" ht="18" x14ac:dyDescent="0.25">
      <c r="A195" s="24" t="s">
        <v>1016</v>
      </c>
    </row>
    <row r="197" spans="1:1" x14ac:dyDescent="0.25">
      <c r="A197" s="6" t="s">
        <v>1017</v>
      </c>
    </row>
    <row r="199" spans="1:1" ht="18" x14ac:dyDescent="0.25">
      <c r="A199" s="24" t="s">
        <v>1018</v>
      </c>
    </row>
    <row r="201" spans="1:1" x14ac:dyDescent="0.25">
      <c r="A201" s="6" t="s">
        <v>1019</v>
      </c>
    </row>
    <row r="202" spans="1:1" x14ac:dyDescent="0.25">
      <c r="A202" s="6" t="s">
        <v>1020</v>
      </c>
    </row>
    <row r="203" spans="1:1" x14ac:dyDescent="0.25">
      <c r="A203" s="6" t="s">
        <v>1021</v>
      </c>
    </row>
    <row r="205" spans="1:1" ht="18" x14ac:dyDescent="0.25">
      <c r="A205" s="24" t="s">
        <v>1022</v>
      </c>
    </row>
    <row r="207" spans="1:1" ht="18" x14ac:dyDescent="0.25">
      <c r="A207" s="24" t="s">
        <v>1023</v>
      </c>
    </row>
    <row r="209" spans="1:1" ht="18" x14ac:dyDescent="0.25">
      <c r="A209" s="24" t="s">
        <v>1024</v>
      </c>
    </row>
    <row r="211" spans="1:1" ht="18" x14ac:dyDescent="0.25">
      <c r="A211" s="24" t="s">
        <v>1025</v>
      </c>
    </row>
    <row r="213" spans="1:1" ht="18" x14ac:dyDescent="0.25">
      <c r="A213" s="24" t="s">
        <v>1026</v>
      </c>
    </row>
    <row r="215" spans="1:1" x14ac:dyDescent="0.25">
      <c r="A215" s="6" t="s">
        <v>921</v>
      </c>
    </row>
    <row r="217" spans="1:1" ht="18" x14ac:dyDescent="0.25">
      <c r="A217" s="24" t="s">
        <v>1027</v>
      </c>
    </row>
    <row r="219" spans="1:1" x14ac:dyDescent="0.25">
      <c r="A219" s="6" t="s">
        <v>1028</v>
      </c>
    </row>
    <row r="221" spans="1:1" ht="18" x14ac:dyDescent="0.25">
      <c r="A221" s="24" t="s">
        <v>1029</v>
      </c>
    </row>
    <row r="223" spans="1:1" ht="18" x14ac:dyDescent="0.25">
      <c r="A223" s="24" t="s">
        <v>1030</v>
      </c>
    </row>
    <row r="225" spans="1:1" x14ac:dyDescent="0.25">
      <c r="A225" s="6" t="s">
        <v>1031</v>
      </c>
    </row>
    <row r="227" spans="1:1" ht="18" x14ac:dyDescent="0.25">
      <c r="A227" s="24" t="s">
        <v>1032</v>
      </c>
    </row>
    <row r="229" spans="1:1" x14ac:dyDescent="0.25">
      <c r="A229" s="6" t="s">
        <v>1033</v>
      </c>
    </row>
  </sheetData>
  <mergeCells count="6">
    <mergeCell ref="A18:L18"/>
    <mergeCell ref="A1:K1"/>
    <mergeCell ref="A4:K4"/>
    <mergeCell ref="A8:K8"/>
    <mergeCell ref="A12:K12"/>
    <mergeCell ref="A16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FBAF-5CD6-437F-A6F5-D23A545DE0DC}">
  <sheetPr codeName="Sheet6"/>
  <dimension ref="A1"/>
  <sheetViews>
    <sheetView workbookViewId="0">
      <selection activeCell="H16" sqref="H16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842-6861-4648-9E35-A2C7D86485C2}">
  <sheetPr codeName="Sheet5"/>
  <dimension ref="A1:CB451"/>
  <sheetViews>
    <sheetView tabSelected="1" topLeftCell="A83" zoomScale="116" zoomScaleNormal="105" workbookViewId="0">
      <selection activeCellId="3" sqref="A104:XFD1048576 D103:XFD103 A103:B103 A1:XFD102"/>
    </sheetView>
  </sheetViews>
  <sheetFormatPr defaultRowHeight="15" x14ac:dyDescent="0.25"/>
  <cols>
    <col min="1" max="1" width="36.28515625" customWidth="1"/>
    <col min="3" max="3" width="54.7109375" style="6" customWidth="1"/>
    <col min="4" max="4" width="11" customWidth="1"/>
    <col min="5" max="5" width="41.28515625" customWidth="1"/>
    <col min="7" max="7" width="39.5703125" customWidth="1"/>
    <col min="9" max="9" width="42.28515625" customWidth="1"/>
    <col min="11" max="11" width="11.85546875" bestFit="1" customWidth="1"/>
    <col min="12" max="12" width="11" bestFit="1" customWidth="1"/>
    <col min="18" max="18" width="17.7109375" customWidth="1"/>
    <col min="24" max="24" width="30.85546875" customWidth="1"/>
    <col min="26" max="26" width="84" customWidth="1"/>
    <col min="41" max="41" width="10.42578125" bestFit="1" customWidth="1"/>
    <col min="44" max="44" width="22.42578125" customWidth="1"/>
    <col min="71" max="71" width="14.7109375" customWidth="1"/>
  </cols>
  <sheetData>
    <row r="1" spans="1:80" x14ac:dyDescent="0.25">
      <c r="A1" s="13" t="s">
        <v>1034</v>
      </c>
      <c r="C1" s="15" t="s">
        <v>1035</v>
      </c>
      <c r="E1" s="15" t="s">
        <v>1036</v>
      </c>
      <c r="G1" s="15" t="s">
        <v>1037</v>
      </c>
      <c r="I1" s="15" t="s">
        <v>1038</v>
      </c>
      <c r="K1">
        <f>SUM(Amazon[FinalPrice])</f>
        <v>26634899.500000004</v>
      </c>
    </row>
    <row r="2" spans="1:80" ht="15.75" thickBot="1" x14ac:dyDescent="0.3">
      <c r="A2" s="14" t="str">
        <f>LEFT(Amazon[Brand],3)</f>
        <v>Mi</v>
      </c>
      <c r="C2" s="16" t="str">
        <f>UPPER(LEFT(Amazon[Brand],3))</f>
        <v>MI</v>
      </c>
      <c r="E2" s="16" t="str">
        <f>LOWER(RIGHT(Amazon[SellerID],2))</f>
        <v>24</v>
      </c>
      <c r="G2" s="16" t="str">
        <f>UPPER(Amazon[CustomerName])</f>
        <v>ZOYA VERMA</v>
      </c>
      <c r="I2" s="16">
        <f>SUM(Amazon[FinalPrice])</f>
        <v>26634899.500000004</v>
      </c>
      <c r="Z2" t="str">
        <f>IF(Amazon[SellerRating]&gt;=4,"true","false")</f>
        <v>false</v>
      </c>
      <c r="AA2">
        <f>COUNTIFS(Amazon_Data!N:N,Amazon_Data!N7)</f>
        <v>36</v>
      </c>
      <c r="BK2">
        <f>ABS(_xlfn.DAYS(Amazon[OrderDate],Amazon[DeliveryDate]))</f>
        <v>11</v>
      </c>
    </row>
    <row r="3" spans="1:80" x14ac:dyDescent="0.25">
      <c r="A3" s="14" t="str">
        <f>LEFT(Amazon[Brand],3)</f>
        <v>Viv</v>
      </c>
      <c r="C3" s="16" t="str">
        <f>UPPER(LEFT(Amazon[Brand],3))</f>
        <v>VIV</v>
      </c>
      <c r="E3" s="16" t="str">
        <f>LOWER(RIGHT(Amazon[SellerID],2))</f>
        <v>49</v>
      </c>
      <c r="G3" s="16" t="str">
        <f>UPPER(Amazon[CustomerName])</f>
        <v>SANJAY KAPOOR</v>
      </c>
      <c r="I3" s="6"/>
      <c r="Z3" t="str">
        <f>IF(Amazon[SellerRating]&gt;=4,"true","false")</f>
        <v>false</v>
      </c>
      <c r="AI3" s="26" t="s">
        <v>400</v>
      </c>
      <c r="AJ3" s="27">
        <f>SUMIFS(Amazon[FinalPrice],Amazon[Brand],AI3)</f>
        <v>3796963.3499999996</v>
      </c>
      <c r="BK3">
        <f>ABS(_xlfn.DAYS(Amazon[OrderDate],Amazon[DeliveryDate]))</f>
        <v>4</v>
      </c>
    </row>
    <row r="4" spans="1:80" x14ac:dyDescent="0.25">
      <c r="A4" s="14" t="str">
        <f>LEFT(Amazon[Brand],3)</f>
        <v>ZTE</v>
      </c>
      <c r="C4" s="16" t="str">
        <f>UPPER(LEFT(Amazon[Brand],3))</f>
        <v>ZTE</v>
      </c>
      <c r="E4" s="16" t="str">
        <f>LOWER(RIGHT(Amazon[SellerID],2))</f>
        <v>86</v>
      </c>
      <c r="G4" s="16" t="str">
        <f>UPPER(Amazon[CustomerName])</f>
        <v>AMIT GUPTA</v>
      </c>
      <c r="I4" s="15" t="s">
        <v>1039</v>
      </c>
      <c r="Z4" t="str">
        <f>IF(Amazon[SellerRating]&gt;=4,"true","false")</f>
        <v>false</v>
      </c>
      <c r="AI4" s="28" t="s">
        <v>401</v>
      </c>
      <c r="AJ4" s="29">
        <f>SUMIFS(Amazon[FinalPrice],Amazon[Brand],AI4)</f>
        <v>1754912.5999999999</v>
      </c>
      <c r="BK4">
        <f>ABS(_xlfn.DAYS(Amazon[OrderDate],Amazon[DeliveryDate]))</f>
        <v>9</v>
      </c>
    </row>
    <row r="5" spans="1:80" x14ac:dyDescent="0.25">
      <c r="A5" s="14" t="str">
        <f>LEFT(Amazon[Brand],3)</f>
        <v>ZTE</v>
      </c>
      <c r="C5" s="16" t="str">
        <f>UPPER(LEFT(Amazon[Brand],3))</f>
        <v>ZTE</v>
      </c>
      <c r="E5" s="16" t="str">
        <f>LOWER(RIGHT(Amazon[SellerID],2))</f>
        <v>58</v>
      </c>
      <c r="G5" s="16" t="str">
        <f>UPPER(Amazon[CustomerName])</f>
        <v>HITESH VERMA</v>
      </c>
      <c r="I5" s="16">
        <f>SUMIF(Amazon_Data!L:L,"Delivered",Amazon_Data!M:M)</f>
        <v>7650453.1499999994</v>
      </c>
      <c r="K5">
        <f>SUMIF(Amazon[OrderStatus],"Delivered",Amazon[FinalPrice])</f>
        <v>7650453.1499999994</v>
      </c>
      <c r="Z5" t="str">
        <f>IF(Amazon[SellerRating]&gt;=4,"true","false")</f>
        <v>true</v>
      </c>
      <c r="AI5" s="30" t="s">
        <v>402</v>
      </c>
      <c r="AJ5" s="29">
        <f>SUMIFS(Amazon[FinalPrice],Amazon[Brand],AI5)</f>
        <v>1021437.1500000001</v>
      </c>
      <c r="BK5">
        <f>ABS(_xlfn.DAYS(Amazon[OrderDate],Amazon[DeliveryDate]))</f>
        <v>6</v>
      </c>
    </row>
    <row r="6" spans="1:80" x14ac:dyDescent="0.25">
      <c r="A6" s="14" t="str">
        <f>LEFT(Amazon[Brand],3)</f>
        <v>LG</v>
      </c>
      <c r="C6" s="16" t="str">
        <f>UPPER(LEFT(Amazon[Brand],3))</f>
        <v>LG</v>
      </c>
      <c r="E6" s="16" t="str">
        <f>LOWER(RIGHT(Amazon[SellerID],2))</f>
        <v>86</v>
      </c>
      <c r="G6" s="16" t="str">
        <f>UPPER(Amazon[CustomerName])</f>
        <v>HITESH SHARMA</v>
      </c>
      <c r="I6" s="15" t="s">
        <v>1040</v>
      </c>
      <c r="Z6" t="str">
        <f>IF(Amazon[SellerRating]&gt;=4,"true","false")</f>
        <v>true</v>
      </c>
      <c r="AI6" s="30" t="s">
        <v>403</v>
      </c>
      <c r="AJ6" s="29">
        <f>SUMIFS(Amazon[FinalPrice],Amazon[Brand],AI6)</f>
        <v>2255586.6</v>
      </c>
      <c r="BA6">
        <v>85135</v>
      </c>
      <c r="BK6">
        <f>ABS(_xlfn.DAYS(Amazon[OrderDate],Amazon[DeliveryDate]))</f>
        <v>9</v>
      </c>
    </row>
    <row r="7" spans="1:80" x14ac:dyDescent="0.25">
      <c r="A7" s="14" t="str">
        <f>LEFT(Amazon[Brand],3)</f>
        <v>HTC</v>
      </c>
      <c r="C7" s="16" t="str">
        <f>UPPER(LEFT(Amazon[Brand],3))</f>
        <v>HTC</v>
      </c>
      <c r="E7" s="16" t="str">
        <f>LOWER(RIGHT(Amazon[SellerID],2))</f>
        <v>35</v>
      </c>
      <c r="G7" s="16" t="str">
        <f>UPPER(Amazon[CustomerName])</f>
        <v>LAKSHMI REDDY</v>
      </c>
      <c r="I7" s="16">
        <f>SUMIFS(Amazon_Data!M:M,Amazon_Data!L:L,Amazon_Data!L8)</f>
        <v>7650453.1499999994</v>
      </c>
      <c r="K7">
        <f>SUMIFS(Amazon[FinalPrice],Amazon[OrderStatus],"Delivered")</f>
        <v>7650453.1499999994</v>
      </c>
      <c r="Z7" t="str">
        <f>IF(Amazon[SellerRating]&gt;=4,"true","false")</f>
        <v>false</v>
      </c>
      <c r="AI7" s="28" t="s">
        <v>404</v>
      </c>
      <c r="AJ7" s="29">
        <f>SUMIFS(Amazon[FinalPrice],Amazon[Brand],AI7)</f>
        <v>3436426.75</v>
      </c>
      <c r="BK7">
        <f>ABS(_xlfn.DAYS(Amazon[OrderDate],Amazon[DeliveryDate]))</f>
        <v>5</v>
      </c>
    </row>
    <row r="8" spans="1:80" x14ac:dyDescent="0.25">
      <c r="A8" s="14" t="str">
        <f>LEFT(Amazon[Brand],3)</f>
        <v>Del</v>
      </c>
      <c r="C8" s="16" t="str">
        <f>UPPER(LEFT(Amazon[Brand],3))</f>
        <v>DEL</v>
      </c>
      <c r="E8" s="16" t="str">
        <f>LOWER(RIGHT(Amazon[SellerID],2))</f>
        <v>75</v>
      </c>
      <c r="G8" s="16" t="str">
        <f>UPPER(Amazon[CustomerName])</f>
        <v>POOJA IYER</v>
      </c>
      <c r="I8" s="15" t="s">
        <v>1041</v>
      </c>
      <c r="Z8" t="str">
        <f>IF(Amazon[SellerRating]&gt;=4,"true","false")</f>
        <v>false</v>
      </c>
      <c r="AI8" s="30" t="s">
        <v>405</v>
      </c>
      <c r="AJ8" s="29">
        <f>SUMIFS(Amazon[FinalPrice],Amazon[Brand],AI8)</f>
        <v>554347.75</v>
      </c>
      <c r="BK8">
        <f>ABS(_xlfn.DAYS(Amazon[OrderDate],Amazon[DeliveryDate]))</f>
        <v>7</v>
      </c>
    </row>
    <row r="9" spans="1:80" x14ac:dyDescent="0.25">
      <c r="A9" s="14" t="str">
        <f>LEFT(Amazon[Brand],3)</f>
        <v>App</v>
      </c>
      <c r="C9" s="16" t="str">
        <f>UPPER(LEFT(Amazon[Brand],3))</f>
        <v>APP</v>
      </c>
      <c r="E9" s="16" t="str">
        <f>LOWER(RIGHT(Amazon[SellerID],2))</f>
        <v>32</v>
      </c>
      <c r="G9" s="16" t="str">
        <f>UPPER(Amazon[CustomerName])</f>
        <v>HITESH REDDY</v>
      </c>
      <c r="I9" s="16">
        <f>COUNTIF(Amazon_Data!L:L,Amazon_Data!L14)</f>
        <v>39</v>
      </c>
      <c r="K9">
        <f>COUNTIF(Amazon[OrderStatus],"delivered")</f>
        <v>39</v>
      </c>
      <c r="L9" s="17"/>
      <c r="Z9" t="str">
        <f>IF(Amazon[SellerRating]&gt;=4,"true","false")</f>
        <v>false</v>
      </c>
      <c r="AI9" s="28" t="s">
        <v>406</v>
      </c>
      <c r="AJ9" s="29">
        <f>SUMIFS(Amazon[FinalPrice],Amazon[Brand],AI9)</f>
        <v>3156674.55</v>
      </c>
      <c r="BD9" t="s">
        <v>1068</v>
      </c>
      <c r="BK9">
        <f>ABS(_xlfn.DAYS(Amazon[OrderDate],Amazon[DeliveryDate]))</f>
        <v>7</v>
      </c>
    </row>
    <row r="10" spans="1:80" x14ac:dyDescent="0.25">
      <c r="A10" s="14" t="str">
        <f>LEFT(Amazon[Brand],3)</f>
        <v>App</v>
      </c>
      <c r="C10" s="16" t="str">
        <f>UPPER(LEFT(Amazon[Brand],3))</f>
        <v>APP</v>
      </c>
      <c r="E10" s="16" t="str">
        <f>LOWER(RIGHT(Amazon[SellerID],2))</f>
        <v>37</v>
      </c>
      <c r="G10" s="16" t="str">
        <f>UPPER(Amazon[CustomerName])</f>
        <v>ARJUN PATEL</v>
      </c>
      <c r="I10" s="15" t="s">
        <v>1042</v>
      </c>
      <c r="L10" s="17"/>
      <c r="Z10" t="str">
        <f>IF(Amazon[SellerRating]&gt;=4,"true","false")</f>
        <v>false</v>
      </c>
      <c r="AI10" s="28" t="s">
        <v>407</v>
      </c>
      <c r="AJ10" s="29">
        <f>SUMIFS(Amazon[FinalPrice],Amazon[Brand],AI10)</f>
        <v>2256308.9000000004</v>
      </c>
      <c r="BK10">
        <f>ABS(_xlfn.DAYS(Amazon[OrderDate],Amazon[DeliveryDate]))</f>
        <v>11</v>
      </c>
    </row>
    <row r="11" spans="1:80" x14ac:dyDescent="0.25">
      <c r="A11" s="14" t="str">
        <f>LEFT(Amazon[Brand],3)</f>
        <v>Mi</v>
      </c>
      <c r="C11" s="16" t="str">
        <f>UPPER(LEFT(Amazon[Brand],3))</f>
        <v>MI</v>
      </c>
      <c r="E11" s="16" t="str">
        <f>LOWER(RIGHT(Amazon[SellerID],2))</f>
        <v>33</v>
      </c>
      <c r="G11" s="16" t="str">
        <f>UPPER(Amazon[CustomerName])</f>
        <v>RAVI VERMA</v>
      </c>
      <c r="I11" s="16">
        <f>SUMIFS(Amazon_Data!I:I,Amazon_Data!D:D,Amazon[[#This Row],[Location]])</f>
        <v>41</v>
      </c>
      <c r="K11">
        <f>SUMIF(Amazon_Data!D:D,Amazon_Data!D14,Amazon_Data!I:I)</f>
        <v>41</v>
      </c>
      <c r="Z11" t="str">
        <f>IF(Amazon[SellerRating]&gt;=4,"true","false")</f>
        <v>false</v>
      </c>
      <c r="AI11" s="30" t="s">
        <v>408</v>
      </c>
      <c r="AJ11" s="29">
        <f>SUMIFS(Amazon[FinalPrice],Amazon[Brand],AI11)</f>
        <v>2056416.85</v>
      </c>
      <c r="BK11">
        <f>ABS(_xlfn.DAYS(Amazon[OrderDate],Amazon[DeliveryDate]))</f>
        <v>6</v>
      </c>
    </row>
    <row r="12" spans="1:80" x14ac:dyDescent="0.25">
      <c r="A12" s="14" t="str">
        <f>LEFT(Amazon[Brand],3)</f>
        <v>LG</v>
      </c>
      <c r="C12" s="16" t="str">
        <f>UPPER(LEFT(Amazon[Brand],3))</f>
        <v>LG</v>
      </c>
      <c r="E12" s="16" t="str">
        <f>LOWER(RIGHT(Amazon[SellerID],2))</f>
        <v>11</v>
      </c>
      <c r="G12" s="16" t="str">
        <f>UPPER(Amazon[CustomerName])</f>
        <v>AMIT SHARMA</v>
      </c>
      <c r="I12" s="16"/>
      <c r="K12">
        <f>SUMIFS(Amazon_Data!I:I,Amazon_Data!D:D,Amazon_Data!D14)</f>
        <v>41</v>
      </c>
      <c r="Z12" t="str">
        <f>IF(Amazon[SellerRating]&gt;=4,"true","false")</f>
        <v>false</v>
      </c>
      <c r="AI12" s="30" t="s">
        <v>409</v>
      </c>
      <c r="AJ12" s="29">
        <f>SUMIFS(Amazon[FinalPrice],Amazon[Brand],AI12)</f>
        <v>2485374.1499999994</v>
      </c>
      <c r="BK12">
        <f>ABS(_xlfn.DAYS(Amazon[OrderDate],Amazon[DeliveryDate]))</f>
        <v>5</v>
      </c>
    </row>
    <row r="13" spans="1:80" x14ac:dyDescent="0.25">
      <c r="A13" s="14" t="str">
        <f>LEFT(Amazon[Brand],3)</f>
        <v>Opp</v>
      </c>
      <c r="C13" s="16" t="str">
        <f>UPPER(LEFT(Amazon[Brand],3))</f>
        <v>OPP</v>
      </c>
      <c r="E13" s="16" t="str">
        <f>LOWER(RIGHT(Amazon[SellerID],2))</f>
        <v>76</v>
      </c>
      <c r="G13" s="16" t="str">
        <f>UPPER(Amazon[CustomerName])</f>
        <v>AMIT VERMA</v>
      </c>
      <c r="I13" s="15" t="s">
        <v>1043</v>
      </c>
      <c r="Z13" t="str">
        <f>IF(Amazon[SellerRating]&gt;=4,"true","false")</f>
        <v>false</v>
      </c>
      <c r="AI13" s="28" t="s">
        <v>410</v>
      </c>
      <c r="AJ13" s="29">
        <f>SUMIFS(Amazon[FinalPrice],Amazon[Brand],AI13)</f>
        <v>949738.2</v>
      </c>
      <c r="BF13">
        <f ca="1">INDIRECT(BD9)</f>
        <v>85135</v>
      </c>
      <c r="BK13">
        <f>ABS(_xlfn.DAYS(Amazon[OrderDate],Amazon[DeliveryDate]))</f>
        <v>8</v>
      </c>
      <c r="BV13">
        <v>0.8</v>
      </c>
    </row>
    <row r="14" spans="1:80" x14ac:dyDescent="0.25">
      <c r="A14" s="14" t="str">
        <f>LEFT(Amazon[Brand],3)</f>
        <v>LG</v>
      </c>
      <c r="C14" s="16" t="str">
        <f>UPPER(LEFT(Amazon[Brand],3))</f>
        <v>LG</v>
      </c>
      <c r="E14" s="16" t="str">
        <f>LOWER(RIGHT(Amazon[SellerID],2))</f>
        <v>23</v>
      </c>
      <c r="G14" s="16" t="str">
        <f>UPPER(Amazon[CustomerName])</f>
        <v>NEHA GUPTA</v>
      </c>
      <c r="I14" s="16">
        <f>MAX(Amazon[UnitPrice])</f>
        <v>119513</v>
      </c>
      <c r="K14">
        <f>MAX(Amazon[UnitPrice])</f>
        <v>119513</v>
      </c>
      <c r="AI14" s="30" t="s">
        <v>411</v>
      </c>
      <c r="AJ14" s="29">
        <f>SUMIFS(Amazon[FinalPrice],Amazon[Brand],AI14)</f>
        <v>1667041.7</v>
      </c>
      <c r="AO14">
        <f>AVERAGEIFS(Amazon_Data!J:J,Amazon_Data!E:E,Amazon_Data!E9)</f>
        <v>69148.5</v>
      </c>
      <c r="BK14">
        <f>ABS(_xlfn.DAYS(Amazon[OrderDate],Amazon[DeliveryDate]))</f>
        <v>10</v>
      </c>
      <c r="BV14">
        <v>1.9</v>
      </c>
    </row>
    <row r="15" spans="1:80" ht="15.75" thickBot="1" x14ac:dyDescent="0.3">
      <c r="A15" s="14" t="str">
        <f>LEFT(Amazon[Brand],3)</f>
        <v>Viv</v>
      </c>
      <c r="C15" s="16" t="str">
        <f>UPPER(LEFT(Amazon[Brand],3))</f>
        <v>VIV</v>
      </c>
      <c r="E15" s="16" t="str">
        <f>LOWER(RIGHT(Amazon[SellerID],2))</f>
        <v>21</v>
      </c>
      <c r="G15" s="16" t="str">
        <f>UPPER(Amazon[CustomerName])</f>
        <v>LAKSHMI VERMA</v>
      </c>
      <c r="I15" s="16"/>
      <c r="AI15" s="31" t="s">
        <v>412</v>
      </c>
      <c r="AJ15" s="32">
        <f>SUMIFS(Amazon[FinalPrice],Amazon[Brand],AI15)</f>
        <v>1243670.95</v>
      </c>
      <c r="BK15">
        <f>ABS(_xlfn.DAYS(Amazon[OrderDate],Amazon[DeliveryDate]))</f>
        <v>10</v>
      </c>
      <c r="BV15">
        <v>5</v>
      </c>
      <c r="CA15" t="s">
        <v>1074</v>
      </c>
      <c r="CB15" t="s">
        <v>1075</v>
      </c>
    </row>
    <row r="16" spans="1:80" x14ac:dyDescent="0.25">
      <c r="A16" s="14" t="str">
        <f>LEFT(Amazon[Brand],3)</f>
        <v>Sam</v>
      </c>
      <c r="C16" s="16" t="str">
        <f>UPPER(LEFT(Amazon[Brand],3))</f>
        <v>SAM</v>
      </c>
      <c r="E16" s="16" t="str">
        <f>LOWER(RIGHT(Amazon[SellerID],2))</f>
        <v>61</v>
      </c>
      <c r="G16" s="16" t="str">
        <f>UPPER(Amazon[CustomerName])</f>
        <v>RAVI PATEL</v>
      </c>
      <c r="I16" s="15" t="s">
        <v>1044</v>
      </c>
      <c r="BK16">
        <f>ABS(_xlfn.DAYS(Amazon[OrderDate],Amazon[DeliveryDate]))</f>
        <v>4</v>
      </c>
      <c r="BV16">
        <v>3.7</v>
      </c>
      <c r="CA16" t="s">
        <v>1069</v>
      </c>
      <c r="CB16" t="s">
        <v>1071</v>
      </c>
    </row>
    <row r="17" spans="1:80" x14ac:dyDescent="0.25">
      <c r="A17" s="14" t="str">
        <f>LEFT(Amazon[Brand],3)</f>
        <v>LG</v>
      </c>
      <c r="C17" s="16" t="str">
        <f>UPPER(LEFT(Amazon[Brand],3))</f>
        <v>LG</v>
      </c>
      <c r="E17" s="16" t="str">
        <f>LOWER(RIGHT(Amazon[SellerID],2))</f>
        <v>92</v>
      </c>
      <c r="G17" s="16" t="str">
        <f>UPPER(Amazon[CustomerName])</f>
        <v>POOJA REDDY</v>
      </c>
      <c r="I17" s="16">
        <f>MIN(Amazon[Quantity])</f>
        <v>1</v>
      </c>
      <c r="AR17" t="e">
        <f>Amazon[Quantity]*Amazon[UnitPrice]*#REF!%</f>
        <v>#REF!</v>
      </c>
      <c r="BK17">
        <f>ABS(_xlfn.DAYS(Amazon[OrderDate],Amazon[DeliveryDate]))</f>
        <v>10</v>
      </c>
      <c r="BS17" t="str">
        <f>_xlfn.IFS(
    BV13&lt;1, "Very Worst",
    BV13&lt;2, "WORST",
    BV13&lt;3, "Below Average",
    BV13&lt;4, "GOOD",
    BV13&lt;=5, "Best"
)</f>
        <v>Very Worst</v>
      </c>
      <c r="BV17">
        <v>4.0999999999999996</v>
      </c>
      <c r="BY17" t="str">
        <f>_xlfn.TEXTJOIN("",TRUE,LEFT(Amazon[Location],2),RIGHT(Amazon[OrderID],2))</f>
        <v>Ah16</v>
      </c>
      <c r="CA17" t="s">
        <v>1070</v>
      </c>
      <c r="CB17" t="s">
        <v>1072</v>
      </c>
    </row>
    <row r="18" spans="1:80" x14ac:dyDescent="0.25">
      <c r="A18" s="14" t="str">
        <f>LEFT(Amazon[Brand],3)</f>
        <v>HTC</v>
      </c>
      <c r="C18" s="16" t="str">
        <f>UPPER(LEFT(Amazon[Brand],3))</f>
        <v>HTC</v>
      </c>
      <c r="E18" s="16" t="str">
        <f>LOWER(RIGHT(Amazon[SellerID],2))</f>
        <v>27</v>
      </c>
      <c r="G18" s="16" t="str">
        <f>UPPER(Amazon[CustomerName])</f>
        <v>ZOYA VERMA</v>
      </c>
      <c r="I18" s="16"/>
      <c r="AO18">
        <f>COUNTIFS(Amazon[DeliveryDate],"&gt;="&amp;DATE(2023,1,1),
          Amazon[DeliveryDate],"&lt;"&amp;DATE(2024,1,1))</f>
        <v>21</v>
      </c>
      <c r="AQ18">
        <f>Amazon[UnitPrice]*Amazon[Quantity]*Amazon[Discounts%]%</f>
        <v>438.68</v>
      </c>
      <c r="BK18">
        <f>ABS(_xlfn.DAYS(Amazon[OrderDate],Amazon[DeliveryDate]))</f>
        <v>11</v>
      </c>
      <c r="BS18" t="str">
        <f t="shared" ref="BS18:BS31" si="0">_xlfn.IFS(
    BV14&lt;1, "Very Worst",
    BV14&lt;2, "WORST",
    BV14&lt;3, "Below Average",
    BV14&lt;4, "GOOD",
    BV14&lt;=5, "Best"
)</f>
        <v>WORST</v>
      </c>
      <c r="BV18">
        <v>5</v>
      </c>
      <c r="CA18" t="s">
        <v>1069</v>
      </c>
      <c r="CB18" t="s">
        <v>1073</v>
      </c>
    </row>
    <row r="19" spans="1:80" x14ac:dyDescent="0.25">
      <c r="A19" s="14" t="str">
        <f>LEFT(Amazon[Brand],3)</f>
        <v>HTC</v>
      </c>
      <c r="C19" s="16" t="str">
        <f>UPPER(LEFT(Amazon[Brand],3))</f>
        <v>HTC</v>
      </c>
      <c r="E19" s="16" t="str">
        <f>LOWER(RIGHT(Amazon[SellerID],2))</f>
        <v>01</v>
      </c>
      <c r="G19" s="16" t="str">
        <f>UPPER(Amazon[CustomerName])</f>
        <v>NEHA IYER</v>
      </c>
      <c r="I19" s="15" t="s">
        <v>1045</v>
      </c>
      <c r="X19" s="19" t="s">
        <v>1064</v>
      </c>
      <c r="AQ19">
        <f>Amazon[UnitPrice]*Amazon[Quantity]*Amazon[Discounts%]%</f>
        <v>114.003</v>
      </c>
      <c r="BK19">
        <f>ABS(_xlfn.DAYS(Amazon[OrderDate],Amazon[DeliveryDate]))</f>
        <v>3</v>
      </c>
      <c r="BS19" t="str">
        <f t="shared" si="0"/>
        <v>Best</v>
      </c>
    </row>
    <row r="20" spans="1:80" x14ac:dyDescent="0.25">
      <c r="A20" s="14" t="str">
        <f>LEFT(Amazon[Brand],3)</f>
        <v>Son</v>
      </c>
      <c r="C20" s="16" t="str">
        <f>UPPER(LEFT(Amazon[Brand],3))</f>
        <v>SON</v>
      </c>
      <c r="E20" s="16" t="str">
        <f>LOWER(RIGHT(Amazon[SellerID],2))</f>
        <v>33</v>
      </c>
      <c r="G20" s="16" t="str">
        <f>UPPER(Amazon[CustomerName])</f>
        <v>ZOYA RAO</v>
      </c>
      <c r="I20" s="16">
        <f>YEAR(Amazon[OrderDate])</f>
        <v>2021</v>
      </c>
      <c r="AQ20">
        <f>Amazon[UnitPrice]*Amazon[Quantity]*Amazon[Discounts%]%</f>
        <v>77.132000000000005</v>
      </c>
      <c r="BK20">
        <f>ABS(_xlfn.DAYS(Amazon[OrderDate],Amazon[DeliveryDate]))</f>
        <v>9</v>
      </c>
      <c r="BS20" t="str">
        <f t="shared" si="0"/>
        <v>GOOD</v>
      </c>
    </row>
    <row r="21" spans="1:80" x14ac:dyDescent="0.25">
      <c r="A21" s="14" t="str">
        <f>LEFT(Amazon[Brand],3)</f>
        <v>Hin</v>
      </c>
      <c r="C21" s="16" t="str">
        <f>UPPER(LEFT(Amazon[Brand],3))</f>
        <v>HIN</v>
      </c>
      <c r="E21" s="16" t="str">
        <f>LOWER(RIGHT(Amazon[SellerID],2))</f>
        <v>05</v>
      </c>
      <c r="G21" s="16" t="str">
        <f>UPPER(Amazon[CustomerName])</f>
        <v>SANJAY RAO</v>
      </c>
      <c r="I21" s="16"/>
      <c r="X21" t="s">
        <v>1061</v>
      </c>
      <c r="AO21" s="17"/>
      <c r="BK21">
        <f>ABS(_xlfn.DAYS(Amazon[OrderDate],Amazon[DeliveryDate]))</f>
        <v>12</v>
      </c>
      <c r="BS21" t="str">
        <f t="shared" si="0"/>
        <v>Best</v>
      </c>
    </row>
    <row r="22" spans="1:80" x14ac:dyDescent="0.25">
      <c r="A22" s="14" t="str">
        <f>LEFT(Amazon[Brand],3)</f>
        <v>Nik</v>
      </c>
      <c r="C22" s="16" t="str">
        <f>UPPER(LEFT(Amazon[Brand],3))</f>
        <v>NIK</v>
      </c>
      <c r="E22" s="16" t="str">
        <f>LOWER(RIGHT(Amazon[SellerID],2))</f>
        <v>15</v>
      </c>
      <c r="G22" s="16" t="str">
        <f>UPPER(Amazon[CustomerName])</f>
        <v>ARJUN GUPTA</v>
      </c>
      <c r="I22" s="15" t="s">
        <v>1046</v>
      </c>
      <c r="T22" t="s">
        <v>1060</v>
      </c>
      <c r="X22" t="s">
        <v>1062</v>
      </c>
      <c r="AI22">
        <f>COUNTIFS(Amazon[PaymentType],"Card",Amazon[Quantity],"&gt;2")</f>
        <v>23</v>
      </c>
      <c r="BK22">
        <f>ABS(_xlfn.DAYS(Amazon[OrderDate],Amazon[DeliveryDate]))</f>
        <v>10</v>
      </c>
      <c r="BS22" t="str">
        <f t="shared" si="0"/>
        <v>Best</v>
      </c>
    </row>
    <row r="23" spans="1:80" x14ac:dyDescent="0.25">
      <c r="A23" s="14" t="str">
        <f>LEFT(Amazon[Brand],3)</f>
        <v>ZTE</v>
      </c>
      <c r="C23" s="16" t="str">
        <f>UPPER(LEFT(Amazon[Brand],3))</f>
        <v>ZTE</v>
      </c>
      <c r="E23" s="16" t="str">
        <f>LOWER(RIGHT(Amazon[SellerID],2))</f>
        <v>44</v>
      </c>
      <c r="G23" s="16" t="str">
        <f>UPPER(Amazon[CustomerName])</f>
        <v>POOJA PATEL</v>
      </c>
      <c r="I23" s="16" t="str">
        <f>TEXT(Amazon[DeliveryDate],"MMM")</f>
        <v>Sep</v>
      </c>
      <c r="K23" t="str">
        <f>TEXT(Amazon[DeliveryDate],"MMM")</f>
        <v>Sep</v>
      </c>
      <c r="R23" s="20" t="s">
        <v>1059</v>
      </c>
      <c r="T23" t="str">
        <f>IF(WEEKDAY(Amazon[OrderDate],2)&gt;=6,"Weekend","WeekDay")</f>
        <v>WeekDay</v>
      </c>
      <c r="X23" t="s">
        <v>1063</v>
      </c>
      <c r="BK23">
        <f>ABS(_xlfn.DAYS(Amazon[OrderDate],Amazon[DeliveryDate]))</f>
        <v>7</v>
      </c>
      <c r="BS23" t="str">
        <f t="shared" si="0"/>
        <v>Very Worst</v>
      </c>
    </row>
    <row r="24" spans="1:80" x14ac:dyDescent="0.25">
      <c r="A24" s="14" t="str">
        <f>LEFT(Amazon[Brand],3)</f>
        <v>HTC</v>
      </c>
      <c r="C24" s="16" t="str">
        <f>UPPER(LEFT(Amazon[Brand],3))</f>
        <v>HTC</v>
      </c>
      <c r="E24" s="16" t="str">
        <f>LOWER(RIGHT(Amazon[SellerID],2))</f>
        <v>30</v>
      </c>
      <c r="G24" s="16" t="str">
        <f>UPPER(Amazon[CustomerName])</f>
        <v>ARJUN PATEL</v>
      </c>
      <c r="I24" s="16" t="str">
        <f>TEXT(Amazon[DeliveryDate],"MMM")</f>
        <v>Jul</v>
      </c>
      <c r="K24" t="str">
        <f>TEXT(Amazon[DeliveryDate],"MMM")</f>
        <v>Jul</v>
      </c>
      <c r="R24">
        <f>SUM(Amazon_Data!I2*Amazon_Data!J2)</f>
        <v>310092</v>
      </c>
      <c r="T24" t="str">
        <f>IF(WEEKDAY(Amazon[OrderDate],2)&gt;=6,"Weekend","WeekDay")</f>
        <v>Weekend</v>
      </c>
      <c r="X24">
        <f>FIND("@",X19,6)</f>
        <v>13</v>
      </c>
      <c r="Z24">
        <f>LEN(X19)</f>
        <v>22</v>
      </c>
      <c r="BK24">
        <f>ABS(_xlfn.DAYS(Amazon[OrderDate],Amazon[DeliveryDate]))</f>
        <v>5</v>
      </c>
      <c r="BS24" t="str">
        <f t="shared" si="0"/>
        <v>Very Worst</v>
      </c>
    </row>
    <row r="25" spans="1:80" x14ac:dyDescent="0.25">
      <c r="A25" s="14" t="str">
        <f>LEFT(Amazon[Brand],3)</f>
        <v>App</v>
      </c>
      <c r="C25" s="16" t="str">
        <f>UPPER(LEFT(Amazon[Brand],3))</f>
        <v>APP</v>
      </c>
      <c r="E25" s="16" t="str">
        <f>LOWER(RIGHT(Amazon[SellerID],2))</f>
        <v>93</v>
      </c>
      <c r="G25" s="16" t="str">
        <f>UPPER(Amazon[CustomerName])</f>
        <v>MANOJ GUPTA</v>
      </c>
      <c r="I25" s="16" t="str">
        <f>TEXT(Amazon[DeliveryDate],"MMM")</f>
        <v>Dec</v>
      </c>
      <c r="K25" t="str">
        <f>TEXT(Amazon[DeliveryDate],"MMM")</f>
        <v>Dec</v>
      </c>
      <c r="R25">
        <f>SUM(Amazon_Data!I3*Amazon_Data!J3)</f>
        <v>92974</v>
      </c>
      <c r="T25" t="str">
        <f>IF(WEEKDAY(Amazon[OrderDate],2)&gt;=6,"Weekend","WeekDay")</f>
        <v>WeekDay</v>
      </c>
      <c r="BK25">
        <f>ABS(_xlfn.DAYS(Amazon[OrderDate],Amazon[DeliveryDate]))</f>
        <v>11</v>
      </c>
      <c r="BS25" t="str">
        <f t="shared" si="0"/>
        <v>Very Worst</v>
      </c>
    </row>
    <row r="26" spans="1:80" x14ac:dyDescent="0.25">
      <c r="A26" s="14" t="str">
        <f>LEFT(Amazon[Brand],3)</f>
        <v>Son</v>
      </c>
      <c r="C26" s="16" t="str">
        <f>UPPER(LEFT(Amazon[Brand],3))</f>
        <v>SON</v>
      </c>
      <c r="E26" s="16" t="str">
        <f>LOWER(RIGHT(Amazon[SellerID],2))</f>
        <v>57</v>
      </c>
      <c r="G26" s="16" t="str">
        <f>UPPER(Amazon[CustomerName])</f>
        <v>HITESH REDDY</v>
      </c>
      <c r="I26" s="16" t="str">
        <f>TEXT(Amazon[DeliveryDate],"MMM")</f>
        <v>Apr</v>
      </c>
      <c r="K26" t="str">
        <f>TEXT(Amazon[DeliveryDate],"MMM")</f>
        <v>Apr</v>
      </c>
      <c r="R26">
        <f>SUM(Amazon_Data!I4*Amazon_Data!J4)</f>
        <v>133546</v>
      </c>
      <c r="T26" t="str">
        <f>IF(WEEKDAY(Amazon[OrderDate],2)&gt;=6,"Weekend","WeekDay")</f>
        <v>Weekend</v>
      </c>
      <c r="X26">
        <f>SEARCH(".",X19,FIND("@",X19,6))</f>
        <v>19</v>
      </c>
      <c r="BK26">
        <f>ABS(_xlfn.DAYS(Amazon[OrderDate],Amazon[DeliveryDate]))</f>
        <v>7</v>
      </c>
      <c r="BS26" t="str">
        <f t="shared" si="0"/>
        <v>Very Worst</v>
      </c>
    </row>
    <row r="27" spans="1:80" x14ac:dyDescent="0.25">
      <c r="A27" s="14" t="str">
        <f>LEFT(Amazon[Brand],3)</f>
        <v>HTC</v>
      </c>
      <c r="C27" s="16" t="str">
        <f>UPPER(LEFT(Amazon[Brand],3))</f>
        <v>HTC</v>
      </c>
      <c r="E27" s="16" t="str">
        <f>LOWER(RIGHT(Amazon[SellerID],2))</f>
        <v>23</v>
      </c>
      <c r="G27" s="16" t="str">
        <f>UPPER(Amazon[CustomerName])</f>
        <v>NEHA SHARMA</v>
      </c>
      <c r="I27" s="16"/>
      <c r="K27" t="str">
        <f>TEXT(Amazon[DeliveryDate],"MMM")</f>
        <v>Feb</v>
      </c>
      <c r="R27">
        <f>SUM(Amazon_Data!I5*Amazon_Data!J5)</f>
        <v>231910</v>
      </c>
      <c r="T27" t="str">
        <f>IF(WEEKDAY(Amazon[OrderDate],2)&gt;=6,"Weekend","WeekDay")</f>
        <v>WeekDay</v>
      </c>
      <c r="AE27">
        <f>LEN(FIND("m",X19,FIND("@",X19,6)))</f>
        <v>2</v>
      </c>
      <c r="BK27">
        <f>ABS(_xlfn.DAYS(Amazon[OrderDate],Amazon[DeliveryDate]))</f>
        <v>10</v>
      </c>
      <c r="BS27" t="str">
        <f t="shared" si="0"/>
        <v>Very Worst</v>
      </c>
    </row>
    <row r="28" spans="1:80" x14ac:dyDescent="0.25">
      <c r="A28" s="14" t="str">
        <f>LEFT(Amazon[Brand],3)</f>
        <v>God</v>
      </c>
      <c r="C28" s="16" t="str">
        <f>UPPER(LEFT(Amazon[Brand],3))</f>
        <v>GOD</v>
      </c>
      <c r="E28" s="16" t="str">
        <f>LOWER(RIGHT(Amazon[SellerID],2))</f>
        <v>61</v>
      </c>
      <c r="G28" s="16" t="str">
        <f>UPPER(Amazon[CustomerName])</f>
        <v>AMIT VERMA</v>
      </c>
      <c r="I28" s="16"/>
      <c r="L28" s="19" t="s">
        <v>1048</v>
      </c>
      <c r="O28" t="b">
        <f>ISNUMBER(SEARCH("@",L28,8))</f>
        <v>1</v>
      </c>
      <c r="P28">
        <f>SEARCH("@",L28,8)</f>
        <v>12</v>
      </c>
      <c r="R28">
        <f>SUM(Amazon_Data!I6*Amazon_Data!J6)</f>
        <v>139554</v>
      </c>
      <c r="T28" t="str">
        <f>IF(WEEKDAY(Amazon[OrderDate],2)&gt;=6,"Weekend","WeekDay")</f>
        <v>Weekend</v>
      </c>
      <c r="Y28">
        <v>22</v>
      </c>
      <c r="Z28">
        <v>13</v>
      </c>
      <c r="AA28">
        <v>19</v>
      </c>
      <c r="BK28">
        <f>ABS(_xlfn.DAYS(Amazon[OrderDate],Amazon[DeliveryDate]))</f>
        <v>8</v>
      </c>
      <c r="BS28" t="str">
        <f t="shared" si="0"/>
        <v>Very Worst</v>
      </c>
    </row>
    <row r="29" spans="1:80" x14ac:dyDescent="0.25">
      <c r="A29" s="14" t="str">
        <f>LEFT(Amazon[Brand],3)</f>
        <v>Del</v>
      </c>
      <c r="C29" s="16" t="str">
        <f>UPPER(LEFT(Amazon[Brand],3))</f>
        <v>DEL</v>
      </c>
      <c r="E29" s="16" t="str">
        <f>LOWER(RIGHT(Amazon[SellerID],2))</f>
        <v>40</v>
      </c>
      <c r="G29" s="16" t="str">
        <f>UPPER(Amazon[CustomerName])</f>
        <v>LAKSHMI SHARMA</v>
      </c>
      <c r="I29" s="18" t="s">
        <v>1047</v>
      </c>
      <c r="L29" t="s">
        <v>1049</v>
      </c>
      <c r="O29" t="b">
        <f>ISNUMBER(SEARCH("@",L29,8))</f>
        <v>0</v>
      </c>
      <c r="P29" t="e">
        <f>SEARCH("@",L29,8)</f>
        <v>#VALUE!</v>
      </c>
      <c r="R29">
        <f>SUM(Amazon_Data!I7*Amazon_Data!J7)</f>
        <v>78171</v>
      </c>
      <c r="T29" t="str">
        <f>IF(WEEKDAY(Amazon[OrderDate],2)&gt;=6,"Weekend","WeekDay")</f>
        <v>Weekend</v>
      </c>
      <c r="Z29" t="s">
        <v>1065</v>
      </c>
      <c r="AA29" t="s">
        <v>1066</v>
      </c>
      <c r="BK29">
        <f>ABS(_xlfn.DAYS(Amazon[OrderDate],Amazon[DeliveryDate]))</f>
        <v>8</v>
      </c>
      <c r="BS29" t="str">
        <f t="shared" si="0"/>
        <v>Very Worst</v>
      </c>
    </row>
    <row r="30" spans="1:80" x14ac:dyDescent="0.25">
      <c r="I30" s="16" t="b">
        <f>ISNUMBER(SEARCH("@",Amazon[Email],10))</f>
        <v>1</v>
      </c>
      <c r="R30">
        <f>SUM(Amazon_Data!I8*Amazon_Data!J8)</f>
        <v>51542</v>
      </c>
      <c r="T30" t="str">
        <f>IF(WEEKDAY(Amazon[OrderDate],2)&gt;=6,"Weekend","WeekDay")</f>
        <v>WeekDay</v>
      </c>
      <c r="BS30" t="str">
        <f t="shared" si="0"/>
        <v>Very Worst</v>
      </c>
    </row>
    <row r="31" spans="1:80" x14ac:dyDescent="0.25">
      <c r="I31" s="16" t="b">
        <f>ISNUMBER(SEARCH("@",Amazon[Email],10))</f>
        <v>1</v>
      </c>
      <c r="R31">
        <f>SUM(Amazon_Data!I9*Amazon_Data!J9)</f>
        <v>283740</v>
      </c>
      <c r="T31" t="str">
        <f>IF(WEEKDAY(Amazon[OrderDate],2)&gt;=6,"Weekend","WeekDay")</f>
        <v>Weekend</v>
      </c>
      <c r="BS31" t="str">
        <f t="shared" si="0"/>
        <v>Very Worst</v>
      </c>
    </row>
    <row r="32" spans="1:80" x14ac:dyDescent="0.25">
      <c r="I32" s="16" t="b">
        <f>ISNUMBER(SEARCH("@",Amazon[Email],10))</f>
        <v>1</v>
      </c>
      <c r="R32">
        <f>SUM(Amazon_Data!I10*Amazon_Data!J10)</f>
        <v>285415</v>
      </c>
      <c r="T32" t="str">
        <f>IF(WEEKDAY(Amazon[OrderDate],2)&gt;=6,"Weekend","WeekDay")</f>
        <v>WeekDay</v>
      </c>
      <c r="Z32" t="str">
        <f>MID(X19,FIND("@",X19)+1,FIND(".",X19,FIND("@",X19))-FIND("@",X19)-1)</f>
        <v>gmail</v>
      </c>
    </row>
    <row r="33" spans="1:26" x14ac:dyDescent="0.25">
      <c r="I33" s="16" t="b">
        <f>ISNUMBER(SEARCH("@",Amazon[Email],10))</f>
        <v>1</v>
      </c>
      <c r="L33" t="b">
        <f>ISNUMBER(SEARCH("@",Amazon[Email],6))</f>
        <v>1</v>
      </c>
      <c r="T33" t="str">
        <f>IF(WEEKDAY(Amazon[OrderDate],2)&gt;=6,"Weekend","WeekDay")</f>
        <v>Weekend</v>
      </c>
      <c r="Z33" t="str">
        <f>MID(X19,FIND("@",X19)+1,FIND(".",X19,FIND("@",X19))-FIND("@",X19)-1)</f>
        <v>gmail</v>
      </c>
    </row>
    <row r="34" spans="1:26" x14ac:dyDescent="0.25">
      <c r="I34" s="16" t="b">
        <f>ISNUMBER(SEARCH("@",Amazon[Email],10))</f>
        <v>1</v>
      </c>
      <c r="N34" s="20" t="s">
        <v>1050</v>
      </c>
      <c r="T34" t="str">
        <f>IF(WEEKDAY(Amazon[OrderDate],2)&gt;=6,"Weekend","WeekDay")</f>
        <v>WeekDay</v>
      </c>
    </row>
    <row r="35" spans="1:26" x14ac:dyDescent="0.25">
      <c r="I35" s="16"/>
      <c r="N35" t="str">
        <f>Amazon_Data!E2&amp;" _"&amp;Amazon_Data!F2</f>
        <v>Mi _Mi Soundbar</v>
      </c>
      <c r="T35" t="str">
        <f>IF(WEEKDAY(Amazon[OrderDate],2)&gt;=6,"Weekend","WeekDay")</f>
        <v>Weekend</v>
      </c>
    </row>
    <row r="36" spans="1:26" x14ac:dyDescent="0.25">
      <c r="I36" s="16"/>
      <c r="N36" t="str">
        <f>_xlfn.CONCAT(Amazon_Data!E2,"_",Amazon_Data!F2)</f>
        <v>Mi_Mi Soundbar</v>
      </c>
    </row>
    <row r="37" spans="1:26" x14ac:dyDescent="0.25">
      <c r="I37" s="16"/>
    </row>
    <row r="38" spans="1:26" x14ac:dyDescent="0.25">
      <c r="I38" s="16">
        <f>FIND(" ",G29)</f>
        <v>8</v>
      </c>
    </row>
    <row r="39" spans="1:26" x14ac:dyDescent="0.25">
      <c r="A39" t="str">
        <f>_xlfn.TEXTJOIN(" , ",TRUE,Amazon[CustomerName])</f>
        <v>Zoya Verma , Sanjay Kapoor , Amit Gupta , Hitesh Verma , Hitesh Sharma , Lakshmi Reddy , Pooja Iyer , Hitesh Reddy , Arjun Patel , Ravi Verma , Amit Sharma , Amit Verma , Neha Gupta , Lakshmi Verma , Ravi Patel , Pooja Reddy , Zoya Verma , Neha Iyer , Zoya Rao , Sanjay Rao , Arjun Gupta , Pooja Patel , Arjun Patel , Manoj Gupta , Hitesh Reddy , Neha Sharma , Amit Verma , Lakshmi Sharma , Ravi Verma , Pooja Verma , Neha Sharma , Ravi Verma , Zoya Reddy , Lakshmi Rao , Hitesh Iyer , Kiran Iyer , Kiran Rao , Amit Gupta , Sanjay Gupta , Ravi Kapoor , Lakshmi Verma , Kiran Rao , Pooja Gupta , Neha Iyer , Zoya Iyer , Pooja Verma , Sanjay Reddy , Arjun Rao , Kiran Verma , Hitesh Gupta , Kiran Patel , Lakshmi Sharma , Pooja Iyer , Manoj Sharma , Ravi Rao , Kiran Iyer , Sanjay Reddy , Manoj Patel , Zoya Reddy , Neha Iyer , Sanjay Kapoor , Ravi Rao , Kiran Gupta , Ravi Rao , Pooja Rao , Zoya Reddy , Zoya Iyer , Sanjay Patel , Lakshmi Iyer , Neha Iyer , Divya Gupta , Arjun Verma , Hitesh Verma , Kiran Reddy , Neha Rao , Ravi Verma , Neha Verma , Arjun Patel , Arjun Gupta , Hitesh Verma , Kiran Patel , Lakshmi Reddy , Neha Verma , Hitesh Reddy , Arjun Reddy , Manoj Patel , Amit Rao , Ravi Reddy , Kiran Verma , Sanjay Patel , Divya Kapoor , Amit Verma , Kiran Kapoor , Amit Verma , Kiran Rao , Ravi Reddy , Kiran Gupta , Kiran Rao , Pooja Sharma , Sanjay Rao , Hitesh Rao , Neha Reddy , Kiran Rao , Pooja Patel , Hitesh Iyer , Lakshmi Kapoor , Neha Gupta , Lakshmi Rao , Zoya Gupta , Zoya Sharma , Arjun Iyer , Manoj Kapoor , Kiran Rao , Divya Reddy , Hitesh Sharma , Manoj Gupta , Kiran Gupta , Kiran Gupta , Ravi Verma , Pooja Verma , Sanjay Patel , Neha Verma , Lakshmi Reddy , Amit Verma , Amit Iyer , Zoya Patel , Manoj Gupta , Pooja Kapoor , Zoya Iyer , Lakshmi Patel , Amit Rao , Amit Verma , Amit Sharma , Manoj Reddy , Divya Patel , Manoj Patel , Pooja Patel , Lakshmi Patel , Kiran Iyer , Kiran Sharma , Amit Iyer , Hitesh Kapoor , Neha Gupta , Divya Verma , Lakshmi Kapoor , Neha Sharma , Hitesh Gupta , Divya Reddy , Zoya Iyer , Hitesh Iyer</v>
      </c>
      <c r="I39" s="16" t="str">
        <f>LEFT(G29,FIND(" ",G29))</f>
        <v xml:space="preserve">LAKSHMI </v>
      </c>
    </row>
    <row r="40" spans="1:26" x14ac:dyDescent="0.25">
      <c r="I40" s="16" t="str">
        <f>LEFT(G29,FIND(" ",G29,1))</f>
        <v xml:space="preserve">LAKSHMI </v>
      </c>
      <c r="L40" s="42" t="s">
        <v>1051</v>
      </c>
      <c r="M40" s="42"/>
      <c r="N40" s="42"/>
    </row>
    <row r="41" spans="1:26" x14ac:dyDescent="0.25">
      <c r="I41" s="16" t="str">
        <f>RIGHT(G29,LEN(G29)-LEFT(FIND(" ",G29)))</f>
        <v>SHARMA</v>
      </c>
      <c r="J41">
        <f>LEN(I41)</f>
        <v>6</v>
      </c>
      <c r="L41" t="s">
        <v>1052</v>
      </c>
      <c r="M41" t="str">
        <f>TRIM(G29)</f>
        <v>LAKSHMI SHARMA</v>
      </c>
    </row>
    <row r="42" spans="1:26" x14ac:dyDescent="0.25">
      <c r="C42" s="6">
        <f>LEN(Amazon[Model])</f>
        <v>8</v>
      </c>
      <c r="I42" s="16" t="str">
        <f>RIGHT(G29,LEN(G29)-FIND(" ",G29))</f>
        <v>SHARMA</v>
      </c>
      <c r="L42" t="s">
        <v>1053</v>
      </c>
      <c r="M42" t="str">
        <f>SUBSTITUTE(G29," ","")</f>
        <v>LAKSHMISHARMA</v>
      </c>
    </row>
    <row r="43" spans="1:26" x14ac:dyDescent="0.25">
      <c r="I43" s="16"/>
    </row>
    <row r="44" spans="1:26" x14ac:dyDescent="0.25">
      <c r="I44" s="16"/>
    </row>
    <row r="45" spans="1:26" x14ac:dyDescent="0.25">
      <c r="H45">
        <v>4</v>
      </c>
      <c r="I45" s="16">
        <f>SUMPRODUCT(H45,H46)</f>
        <v>310092</v>
      </c>
    </row>
    <row r="46" spans="1:26" x14ac:dyDescent="0.25">
      <c r="H46">
        <v>77523</v>
      </c>
      <c r="I46" s="16"/>
    </row>
    <row r="47" spans="1:26" x14ac:dyDescent="0.25">
      <c r="I47" s="16"/>
    </row>
    <row r="48" spans="1:26" x14ac:dyDescent="0.25">
      <c r="I48" s="16">
        <f>WEEKDAY(Amazon[OrderDate],17)</f>
        <v>5</v>
      </c>
      <c r="L48" t="s">
        <v>1055</v>
      </c>
      <c r="M48" t="s">
        <v>8</v>
      </c>
      <c r="O48" t="s">
        <v>1054</v>
      </c>
    </row>
    <row r="49" spans="3:15" x14ac:dyDescent="0.25">
      <c r="I49" s="16">
        <f>WEEKDAY(Amazon[OrderDate],17)</f>
        <v>7</v>
      </c>
      <c r="L49" s="17">
        <v>45964</v>
      </c>
      <c r="M49">
        <v>5</v>
      </c>
      <c r="O49">
        <f>WEEKDAY(L49,2)</f>
        <v>1</v>
      </c>
    </row>
    <row r="50" spans="3:15" x14ac:dyDescent="0.25">
      <c r="I50" s="16">
        <f>WEEKDAY(Amazon[OrderDate],17)</f>
        <v>5</v>
      </c>
      <c r="L50" s="17">
        <v>45965</v>
      </c>
      <c r="M50">
        <v>7</v>
      </c>
      <c r="O50">
        <f t="shared" ref="O50:O64" si="1">WEEKDAY(L50,2)</f>
        <v>2</v>
      </c>
    </row>
    <row r="51" spans="3:15" x14ac:dyDescent="0.25">
      <c r="I51" s="16">
        <f>WEEKDAY(Amazon[OrderDate],17)</f>
        <v>4</v>
      </c>
      <c r="L51" s="17">
        <v>45966</v>
      </c>
      <c r="M51">
        <v>8</v>
      </c>
      <c r="O51">
        <f t="shared" si="1"/>
        <v>3</v>
      </c>
    </row>
    <row r="52" spans="3:15" x14ac:dyDescent="0.25">
      <c r="I52" s="16">
        <f>WEEKDAY(Amazon[OrderDate],17)</f>
        <v>5</v>
      </c>
      <c r="L52" s="17">
        <v>45967</v>
      </c>
      <c r="M52">
        <v>2</v>
      </c>
      <c r="O52">
        <f t="shared" si="1"/>
        <v>4</v>
      </c>
    </row>
    <row r="53" spans="3:15" x14ac:dyDescent="0.25">
      <c r="I53" s="16">
        <f>WEEKDAY(Amazon[OrderDate],17)</f>
        <v>5</v>
      </c>
      <c r="L53" s="17">
        <v>45968</v>
      </c>
      <c r="M53">
        <v>5</v>
      </c>
      <c r="O53">
        <f t="shared" si="1"/>
        <v>5</v>
      </c>
    </row>
    <row r="54" spans="3:15" x14ac:dyDescent="0.25">
      <c r="I54" s="16">
        <f>WEEKDAY(Amazon[OrderDate],17)</f>
        <v>7</v>
      </c>
      <c r="L54" s="17">
        <v>45969</v>
      </c>
      <c r="M54">
        <v>8</v>
      </c>
      <c r="O54">
        <f t="shared" si="1"/>
        <v>6</v>
      </c>
    </row>
    <row r="55" spans="3:15" x14ac:dyDescent="0.25">
      <c r="I55" s="16">
        <f>WEEKDAY(Amazon[OrderDate],17)</f>
        <v>5</v>
      </c>
      <c r="L55" s="17">
        <v>45970</v>
      </c>
      <c r="M55">
        <v>9</v>
      </c>
      <c r="O55">
        <f t="shared" si="1"/>
        <v>7</v>
      </c>
    </row>
    <row r="56" spans="3:15" x14ac:dyDescent="0.25">
      <c r="I56" s="16">
        <f>WEEKDAY(Amazon[OrderDate],17)</f>
        <v>3</v>
      </c>
      <c r="L56" s="17">
        <v>45971</v>
      </c>
      <c r="M56">
        <v>12</v>
      </c>
      <c r="O56">
        <f t="shared" si="1"/>
        <v>1</v>
      </c>
    </row>
    <row r="57" spans="3:15" x14ac:dyDescent="0.25">
      <c r="C57" s="6" t="s">
        <v>1076</v>
      </c>
      <c r="I57" s="16">
        <f>WEEKDAY(Amazon[OrderDate],17)</f>
        <v>6</v>
      </c>
      <c r="L57" s="17">
        <v>45972</v>
      </c>
      <c r="M57">
        <v>7</v>
      </c>
      <c r="O57">
        <f t="shared" si="1"/>
        <v>2</v>
      </c>
    </row>
    <row r="58" spans="3:15" x14ac:dyDescent="0.25">
      <c r="I58" s="16">
        <f>WEEKDAY(Amazon[OrderDate],17)</f>
        <v>6</v>
      </c>
      <c r="L58" s="17">
        <v>45973</v>
      </c>
      <c r="M58">
        <v>0</v>
      </c>
      <c r="O58">
        <f t="shared" si="1"/>
        <v>3</v>
      </c>
    </row>
    <row r="59" spans="3:15" x14ac:dyDescent="0.25">
      <c r="I59" s="16">
        <f>WEEKDAY(Amazon[OrderDate],17)</f>
        <v>3</v>
      </c>
      <c r="L59" s="17">
        <v>45974</v>
      </c>
      <c r="M59">
        <v>7</v>
      </c>
      <c r="O59">
        <f t="shared" si="1"/>
        <v>4</v>
      </c>
    </row>
    <row r="60" spans="3:15" x14ac:dyDescent="0.25">
      <c r="I60" s="16">
        <f>WEEKDAY(Amazon[OrderDate],17)</f>
        <v>1</v>
      </c>
      <c r="L60" s="17">
        <v>45975</v>
      </c>
      <c r="M60">
        <v>4</v>
      </c>
      <c r="O60">
        <f t="shared" si="1"/>
        <v>5</v>
      </c>
    </row>
    <row r="61" spans="3:15" x14ac:dyDescent="0.25">
      <c r="I61" s="16">
        <f>WEEKDAY(Amazon[OrderDate],17)</f>
        <v>7</v>
      </c>
      <c r="L61" s="17">
        <v>45976</v>
      </c>
      <c r="M61">
        <v>3</v>
      </c>
      <c r="O61">
        <f t="shared" si="1"/>
        <v>6</v>
      </c>
    </row>
    <row r="62" spans="3:15" x14ac:dyDescent="0.25">
      <c r="I62" s="16">
        <f>WEEKDAY(Amazon[OrderDate],17)</f>
        <v>5</v>
      </c>
      <c r="L62" s="17">
        <v>45977</v>
      </c>
      <c r="M62">
        <v>7</v>
      </c>
      <c r="O62">
        <f t="shared" si="1"/>
        <v>7</v>
      </c>
    </row>
    <row r="63" spans="3:15" x14ac:dyDescent="0.25">
      <c r="I63" s="16">
        <f>WEEKDAY(Amazon[OrderDate],17)</f>
        <v>1</v>
      </c>
      <c r="L63" s="17">
        <v>45978</v>
      </c>
      <c r="M63">
        <v>6</v>
      </c>
      <c r="O63">
        <f t="shared" si="1"/>
        <v>1</v>
      </c>
    </row>
    <row r="64" spans="3:15" x14ac:dyDescent="0.25">
      <c r="I64" s="16">
        <f>WEEKDAY(Amazon[OrderDate],17)</f>
        <v>4</v>
      </c>
      <c r="L64" s="17">
        <v>45979</v>
      </c>
      <c r="M64">
        <v>2</v>
      </c>
      <c r="O64">
        <f t="shared" si="1"/>
        <v>2</v>
      </c>
    </row>
    <row r="65" spans="9:9" x14ac:dyDescent="0.25">
      <c r="I65" s="16">
        <f>WEEKDAY(Amazon[OrderDate],17)</f>
        <v>3</v>
      </c>
    </row>
    <row r="66" spans="9:9" x14ac:dyDescent="0.25">
      <c r="I66" s="16">
        <f>WEEKDAY(Amazon[OrderDate],17)</f>
        <v>5</v>
      </c>
    </row>
    <row r="67" spans="9:9" x14ac:dyDescent="0.25">
      <c r="I67" s="16">
        <f>WEEKDAY(Amazon[OrderDate],17)</f>
        <v>1</v>
      </c>
    </row>
    <row r="68" spans="9:9" x14ac:dyDescent="0.25">
      <c r="I68" s="16">
        <f>WEEKDAY(Amazon[OrderDate],17)</f>
        <v>7</v>
      </c>
    </row>
    <row r="69" spans="9:9" x14ac:dyDescent="0.25">
      <c r="I69" s="16">
        <f>WEEKDAY(Amazon[OrderDate],17)</f>
        <v>3</v>
      </c>
    </row>
    <row r="70" spans="9:9" x14ac:dyDescent="0.25">
      <c r="I70" s="16">
        <f>WEEKDAY(Amazon[OrderDate],17)</f>
        <v>2</v>
      </c>
    </row>
    <row r="71" spans="9:9" x14ac:dyDescent="0.25">
      <c r="I71" s="16">
        <f>WEEKDAY(Amazon[OrderDate],17)</f>
        <v>5</v>
      </c>
    </row>
    <row r="72" spans="9:9" x14ac:dyDescent="0.25">
      <c r="I72" s="16">
        <f>WEEKDAY(Amazon[OrderDate],17)</f>
        <v>2</v>
      </c>
    </row>
    <row r="73" spans="9:9" x14ac:dyDescent="0.25">
      <c r="I73" s="16">
        <f>WEEKDAY(Amazon[OrderDate],17)</f>
        <v>6</v>
      </c>
    </row>
    <row r="74" spans="9:9" x14ac:dyDescent="0.25">
      <c r="I74" s="16">
        <f>WEEKDAY(Amazon[OrderDate],17)</f>
        <v>2</v>
      </c>
    </row>
    <row r="75" spans="9:9" x14ac:dyDescent="0.25">
      <c r="I75" s="16">
        <f>WEEKDAY(Amazon[OrderDate],17)</f>
        <v>4</v>
      </c>
    </row>
    <row r="76" spans="9:9" x14ac:dyDescent="0.25">
      <c r="I76" s="16">
        <f>WEEKDAY(Amazon[OrderDate],17)</f>
        <v>5</v>
      </c>
    </row>
    <row r="77" spans="9:9" x14ac:dyDescent="0.25">
      <c r="I77" s="16">
        <f>WEEKDAY(Amazon[OrderDate],17)</f>
        <v>1</v>
      </c>
    </row>
    <row r="78" spans="9:9" x14ac:dyDescent="0.25">
      <c r="I78" s="16">
        <f>WEEKDAY(Amazon[OrderDate],17)</f>
        <v>7</v>
      </c>
    </row>
    <row r="79" spans="9:9" x14ac:dyDescent="0.25">
      <c r="I79" s="16">
        <f>WEEKDAY(Amazon[OrderDate],17)</f>
        <v>3</v>
      </c>
    </row>
    <row r="80" spans="9:9" x14ac:dyDescent="0.25">
      <c r="I80" s="16">
        <f>WEEKDAY(Amazon[OrderDate],17)</f>
        <v>4</v>
      </c>
    </row>
    <row r="81" spans="3:9" x14ac:dyDescent="0.25">
      <c r="I81" s="16">
        <f>WEEKDAY(Amazon[OrderDate],17)</f>
        <v>5</v>
      </c>
    </row>
    <row r="82" spans="3:9" x14ac:dyDescent="0.25">
      <c r="I82" s="16">
        <f>WEEKDAY(Amazon[OrderDate],17)</f>
        <v>2</v>
      </c>
    </row>
    <row r="83" spans="3:9" x14ac:dyDescent="0.25">
      <c r="I83" s="16">
        <f>WEEKDAY(Amazon[OrderDate],17)</f>
        <v>1</v>
      </c>
    </row>
    <row r="84" spans="3:9" x14ac:dyDescent="0.25">
      <c r="I84" s="16">
        <f>WEEKDAY(Amazon[OrderDate],17)</f>
        <v>5</v>
      </c>
    </row>
    <row r="85" spans="3:9" x14ac:dyDescent="0.25">
      <c r="I85" s="16">
        <f>WEEKDAY(Amazon[OrderDate],17)</f>
        <v>5</v>
      </c>
    </row>
    <row r="86" spans="3:9" x14ac:dyDescent="0.25">
      <c r="I86" s="16">
        <f>WEEKDAY(Amazon[OrderDate],17)</f>
        <v>2</v>
      </c>
    </row>
    <row r="87" spans="3:9" x14ac:dyDescent="0.25">
      <c r="I87" s="16">
        <f>WEEKDAY(Amazon[OrderDate],17)</f>
        <v>6</v>
      </c>
    </row>
    <row r="88" spans="3:9" x14ac:dyDescent="0.25">
      <c r="I88" s="16">
        <f>WEEKDAY(Amazon[OrderDate],17)</f>
        <v>1</v>
      </c>
    </row>
    <row r="89" spans="3:9" x14ac:dyDescent="0.25">
      <c r="I89" s="16">
        <f>WEEKDAY(Amazon[OrderDate],17)</f>
        <v>6</v>
      </c>
    </row>
    <row r="90" spans="3:9" x14ac:dyDescent="0.25">
      <c r="C90" s="6" t="s">
        <v>1082</v>
      </c>
      <c r="D90" t="s">
        <v>1083</v>
      </c>
      <c r="I90" s="16">
        <f>WEEKDAY(Amazon[OrderDate],17)</f>
        <v>5</v>
      </c>
    </row>
    <row r="91" spans="3:9" x14ac:dyDescent="0.25">
      <c r="C91" s="6" t="s">
        <v>1077</v>
      </c>
      <c r="D91">
        <v>52166</v>
      </c>
      <c r="I91" s="16">
        <f>WEEKDAY(Amazon[OrderDate],17)</f>
        <v>7</v>
      </c>
    </row>
    <row r="92" spans="3:9" x14ac:dyDescent="0.25">
      <c r="C92" s="6" t="s">
        <v>1078</v>
      </c>
      <c r="D92">
        <v>22199</v>
      </c>
      <c r="I92" s="16">
        <f>WEEKDAY(Amazon[OrderDate],17)</f>
        <v>1</v>
      </c>
    </row>
    <row r="93" spans="3:9" x14ac:dyDescent="0.25">
      <c r="C93" s="6" t="s">
        <v>1079</v>
      </c>
      <c r="D93">
        <v>2641269</v>
      </c>
      <c r="I93" s="16">
        <f>WEEKDAY(Amazon[OrderDate],17)</f>
        <v>6</v>
      </c>
    </row>
    <row r="94" spans="3:9" x14ac:dyDescent="0.25">
      <c r="C94" s="6" t="s">
        <v>1080</v>
      </c>
      <c r="D94">
        <v>5874332</v>
      </c>
      <c r="I94" s="16">
        <f>WEEKDAY(Amazon[OrderDate],17)</f>
        <v>1</v>
      </c>
    </row>
    <row r="95" spans="3:9" x14ac:dyDescent="0.25">
      <c r="C95" s="6" t="s">
        <v>1081</v>
      </c>
      <c r="D95">
        <v>2646</v>
      </c>
      <c r="I95" s="16">
        <f>WEEKDAY(Amazon[OrderDate],17)</f>
        <v>2</v>
      </c>
    </row>
    <row r="96" spans="3:9" x14ac:dyDescent="0.25">
      <c r="I96" s="16">
        <f>WEEKDAY(Amazon[OrderDate],17)</f>
        <v>5</v>
      </c>
    </row>
    <row r="97" spans="9:9" x14ac:dyDescent="0.25">
      <c r="I97" s="16">
        <f>WEEKDAY(Amazon[OrderDate],17)</f>
        <v>3</v>
      </c>
    </row>
    <row r="98" spans="9:9" x14ac:dyDescent="0.25">
      <c r="I98" s="16">
        <f>WEEKDAY(Amazon[OrderDate],17)</f>
        <v>6</v>
      </c>
    </row>
    <row r="99" spans="9:9" x14ac:dyDescent="0.25">
      <c r="I99" s="16">
        <f>WEEKDAY(Amazon[OrderDate],17)</f>
        <v>4</v>
      </c>
    </row>
    <row r="100" spans="9:9" x14ac:dyDescent="0.25">
      <c r="I100" s="16">
        <f>WEEKDAY(Amazon[OrderDate],17)</f>
        <v>7</v>
      </c>
    </row>
    <row r="101" spans="9:9" x14ac:dyDescent="0.25">
      <c r="I101" s="16">
        <f>WEEKDAY(Amazon[OrderDate],17)</f>
        <v>4</v>
      </c>
    </row>
    <row r="102" spans="9:9" x14ac:dyDescent="0.25">
      <c r="I102" s="16">
        <f>WEEKDAY(Amazon[OrderDate],17)</f>
        <v>4</v>
      </c>
    </row>
    <row r="103" spans="9:9" x14ac:dyDescent="0.25">
      <c r="I103" s="16">
        <f>WEEKDAY(Amazon[OrderDate],17)</f>
        <v>2</v>
      </c>
    </row>
    <row r="104" spans="9:9" x14ac:dyDescent="0.25">
      <c r="I104" s="16">
        <f>WEEKDAY(Amazon[OrderDate],17)</f>
        <v>2</v>
      </c>
    </row>
    <row r="105" spans="9:9" x14ac:dyDescent="0.25">
      <c r="I105" s="16">
        <f>WEEKDAY(Amazon[OrderDate],17)</f>
        <v>5</v>
      </c>
    </row>
    <row r="106" spans="9:9" x14ac:dyDescent="0.25">
      <c r="I106" s="16">
        <f>WEEKDAY(Amazon[OrderDate],17)</f>
        <v>6</v>
      </c>
    </row>
    <row r="107" spans="9:9" x14ac:dyDescent="0.25">
      <c r="I107" s="16">
        <f>WEEKDAY(Amazon[OrderDate],17)</f>
        <v>6</v>
      </c>
    </row>
    <row r="108" spans="9:9" x14ac:dyDescent="0.25">
      <c r="I108" s="16">
        <f>WEEKDAY(Amazon[OrderDate],17)</f>
        <v>5</v>
      </c>
    </row>
    <row r="109" spans="9:9" x14ac:dyDescent="0.25">
      <c r="I109" s="16">
        <f>WEEKDAY(Amazon[OrderDate],17)</f>
        <v>6</v>
      </c>
    </row>
    <row r="110" spans="9:9" x14ac:dyDescent="0.25">
      <c r="I110" s="16">
        <f>WEEKDAY(Amazon[OrderDate],17)</f>
        <v>5</v>
      </c>
    </row>
    <row r="111" spans="9:9" x14ac:dyDescent="0.25">
      <c r="I111" s="16">
        <f>WEEKDAY(Amazon[OrderDate],17)</f>
        <v>2</v>
      </c>
    </row>
    <row r="112" spans="9:9" x14ac:dyDescent="0.25">
      <c r="I112" s="16">
        <f>WEEKDAY(Amazon[OrderDate],17)</f>
        <v>4</v>
      </c>
    </row>
    <row r="113" spans="9:9" x14ac:dyDescent="0.25">
      <c r="I113" s="16">
        <f>WEEKDAY(Amazon[OrderDate],17)</f>
        <v>3</v>
      </c>
    </row>
    <row r="114" spans="9:9" x14ac:dyDescent="0.25">
      <c r="I114" s="16">
        <f>WEEKDAY(Amazon[OrderDate],17)</f>
        <v>7</v>
      </c>
    </row>
    <row r="115" spans="9:9" x14ac:dyDescent="0.25">
      <c r="I115" s="16">
        <f>WEEKDAY(Amazon[OrderDate],17)</f>
        <v>6</v>
      </c>
    </row>
    <row r="116" spans="9:9" x14ac:dyDescent="0.25">
      <c r="I116" s="16">
        <f>WEEKDAY(Amazon[OrderDate],17)</f>
        <v>6</v>
      </c>
    </row>
    <row r="117" spans="9:9" x14ac:dyDescent="0.25">
      <c r="I117" s="16">
        <f>WEEKDAY(Amazon[OrderDate],17)</f>
        <v>5</v>
      </c>
    </row>
    <row r="118" spans="9:9" x14ac:dyDescent="0.25">
      <c r="I118" s="16">
        <f>WEEKDAY(Amazon[OrderDate],17)</f>
        <v>1</v>
      </c>
    </row>
    <row r="119" spans="9:9" x14ac:dyDescent="0.25">
      <c r="I119" s="16">
        <f>WEEKDAY(Amazon[OrderDate],17)</f>
        <v>7</v>
      </c>
    </row>
    <row r="120" spans="9:9" x14ac:dyDescent="0.25">
      <c r="I120" s="16">
        <f>WEEKDAY(Amazon[OrderDate],17)</f>
        <v>6</v>
      </c>
    </row>
    <row r="121" spans="9:9" x14ac:dyDescent="0.25">
      <c r="I121" s="16">
        <f>WEEKDAY(Amazon[OrderDate],17)</f>
        <v>4</v>
      </c>
    </row>
    <row r="122" spans="9:9" x14ac:dyDescent="0.25">
      <c r="I122" s="16">
        <f>WEEKDAY(Amazon[OrderDate],17)</f>
        <v>3</v>
      </c>
    </row>
    <row r="123" spans="9:9" x14ac:dyDescent="0.25">
      <c r="I123" s="16">
        <f>WEEKDAY(Amazon[OrderDate],17)</f>
        <v>1</v>
      </c>
    </row>
    <row r="124" spans="9:9" x14ac:dyDescent="0.25">
      <c r="I124" s="16">
        <f>WEEKDAY(Amazon[OrderDate],17)</f>
        <v>3</v>
      </c>
    </row>
    <row r="125" spans="9:9" x14ac:dyDescent="0.25">
      <c r="I125" s="16">
        <f>WEEKDAY(Amazon[OrderDate],17)</f>
        <v>4</v>
      </c>
    </row>
    <row r="126" spans="9:9" x14ac:dyDescent="0.25">
      <c r="I126" s="16">
        <f>WEEKDAY(Amazon[OrderDate],17)</f>
        <v>1</v>
      </c>
    </row>
    <row r="127" spans="9:9" x14ac:dyDescent="0.25">
      <c r="I127" s="16">
        <f>WEEKDAY(Amazon[OrderDate],17)</f>
        <v>4</v>
      </c>
    </row>
    <row r="128" spans="9:9" x14ac:dyDescent="0.25">
      <c r="I128" s="16">
        <f>WEEKDAY(Amazon[OrderDate],17)</f>
        <v>4</v>
      </c>
    </row>
    <row r="129" spans="9:9" x14ac:dyDescent="0.25">
      <c r="I129" s="16">
        <f>WEEKDAY(Amazon[OrderDate],17)</f>
        <v>5</v>
      </c>
    </row>
    <row r="130" spans="9:9" x14ac:dyDescent="0.25">
      <c r="I130" s="16">
        <f>WEEKDAY(Amazon[OrderDate],17)</f>
        <v>6</v>
      </c>
    </row>
    <row r="131" spans="9:9" x14ac:dyDescent="0.25">
      <c r="I131" s="16">
        <f>WEEKDAY(Amazon[OrderDate],17)</f>
        <v>2</v>
      </c>
    </row>
    <row r="132" spans="9:9" x14ac:dyDescent="0.25">
      <c r="I132" s="16">
        <f>WEEKDAY(Amazon[OrderDate],17)</f>
        <v>5</v>
      </c>
    </row>
    <row r="133" spans="9:9" x14ac:dyDescent="0.25">
      <c r="I133" s="16">
        <f>WEEKDAY(Amazon[OrderDate],17)</f>
        <v>5</v>
      </c>
    </row>
    <row r="134" spans="9:9" x14ac:dyDescent="0.25">
      <c r="I134" s="16">
        <f>WEEKDAY(Amazon[OrderDate],17)</f>
        <v>3</v>
      </c>
    </row>
    <row r="135" spans="9:9" x14ac:dyDescent="0.25">
      <c r="I135" s="16">
        <f>WEEKDAY(Amazon[OrderDate],17)</f>
        <v>7</v>
      </c>
    </row>
    <row r="136" spans="9:9" x14ac:dyDescent="0.25">
      <c r="I136" s="16">
        <f>WEEKDAY(Amazon[OrderDate],17)</f>
        <v>6</v>
      </c>
    </row>
    <row r="137" spans="9:9" x14ac:dyDescent="0.25">
      <c r="I137" s="16">
        <f>WEEKDAY(Amazon[OrderDate],17)</f>
        <v>1</v>
      </c>
    </row>
    <row r="138" spans="9:9" x14ac:dyDescent="0.25">
      <c r="I138" s="16">
        <f>WEEKDAY(Amazon[OrderDate],17)</f>
        <v>6</v>
      </c>
    </row>
    <row r="139" spans="9:9" x14ac:dyDescent="0.25">
      <c r="I139" s="16">
        <f>WEEKDAY(Amazon[OrderDate],17)</f>
        <v>3</v>
      </c>
    </row>
    <row r="140" spans="9:9" x14ac:dyDescent="0.25">
      <c r="I140" s="16">
        <f>WEEKDAY(Amazon[OrderDate],17)</f>
        <v>2</v>
      </c>
    </row>
    <row r="141" spans="9:9" x14ac:dyDescent="0.25">
      <c r="I141" s="16">
        <f>WEEKDAY(Amazon[OrderDate],17)</f>
        <v>7</v>
      </c>
    </row>
    <row r="142" spans="9:9" x14ac:dyDescent="0.25">
      <c r="I142" s="16">
        <f>WEEKDAY(Amazon[OrderDate],17)</f>
        <v>7</v>
      </c>
    </row>
    <row r="143" spans="9:9" x14ac:dyDescent="0.25">
      <c r="I143" s="16">
        <f>WEEKDAY(Amazon[OrderDate],17)</f>
        <v>3</v>
      </c>
    </row>
    <row r="144" spans="9:9" x14ac:dyDescent="0.25">
      <c r="I144" s="16">
        <f>WEEKDAY(Amazon[OrderDate],17)</f>
        <v>1</v>
      </c>
    </row>
    <row r="145" spans="9:9" x14ac:dyDescent="0.25">
      <c r="I145" s="16">
        <f>WEEKDAY(Amazon[OrderDate],17)</f>
        <v>2</v>
      </c>
    </row>
    <row r="146" spans="9:9" x14ac:dyDescent="0.25">
      <c r="I146" s="16">
        <f>WEEKDAY(Amazon[OrderDate],17)</f>
        <v>7</v>
      </c>
    </row>
    <row r="147" spans="9:9" x14ac:dyDescent="0.25">
      <c r="I147" s="16">
        <f>WEEKDAY(Amazon[OrderDate],17)</f>
        <v>7</v>
      </c>
    </row>
    <row r="148" spans="9:9" x14ac:dyDescent="0.25">
      <c r="I148" s="16">
        <f>WEEKDAY(Amazon[OrderDate],17)</f>
        <v>3</v>
      </c>
    </row>
    <row r="149" spans="9:9" x14ac:dyDescent="0.25">
      <c r="I149" s="16">
        <f>WEEKDAY(Amazon[OrderDate],17)</f>
        <v>6</v>
      </c>
    </row>
    <row r="150" spans="9:9" x14ac:dyDescent="0.25">
      <c r="I150" s="16">
        <f>WEEKDAY(Amazon[OrderDate],17)</f>
        <v>4</v>
      </c>
    </row>
    <row r="151" spans="9:9" x14ac:dyDescent="0.25">
      <c r="I151" s="16">
        <f>WEEKDAY(Amazon[OrderDate],17)</f>
        <v>2</v>
      </c>
    </row>
    <row r="152" spans="9:9" x14ac:dyDescent="0.25">
      <c r="I152" s="16" t="e">
        <f>WEEKDAY(Amazon[OrderDate],17)</f>
        <v>#VALUE!</v>
      </c>
    </row>
    <row r="153" spans="9:9" x14ac:dyDescent="0.25">
      <c r="I153" s="16" t="e">
        <f>WEEKDAY(Amazon[OrderDate],17)</f>
        <v>#VALUE!</v>
      </c>
    </row>
    <row r="154" spans="9:9" x14ac:dyDescent="0.25">
      <c r="I154" s="16" t="e">
        <f>WEEKDAY(Amazon[OrderDate],17)</f>
        <v>#VALUE!</v>
      </c>
    </row>
    <row r="155" spans="9:9" x14ac:dyDescent="0.25">
      <c r="I155" s="16" t="e">
        <f>WEEKDAY(Amazon[OrderDate],17)</f>
        <v>#VALUE!</v>
      </c>
    </row>
    <row r="156" spans="9:9" x14ac:dyDescent="0.25">
      <c r="I156" s="16" t="e">
        <f>WEEKDAY(Amazon[OrderDate],17)</f>
        <v>#VALUE!</v>
      </c>
    </row>
    <row r="157" spans="9:9" x14ac:dyDescent="0.25">
      <c r="I157" s="16" t="e">
        <f>WEEKDAY(Amazon[OrderDate],17)</f>
        <v>#VALUE!</v>
      </c>
    </row>
    <row r="158" spans="9:9" x14ac:dyDescent="0.25">
      <c r="I158" s="16" t="e">
        <f>WEEKDAY(Amazon[OrderDate],17)</f>
        <v>#VALUE!</v>
      </c>
    </row>
    <row r="159" spans="9:9" x14ac:dyDescent="0.25">
      <c r="I159" s="16" t="e">
        <f>WEEKDAY(Amazon[OrderDate],17)</f>
        <v>#VALUE!</v>
      </c>
    </row>
    <row r="160" spans="9:9" x14ac:dyDescent="0.25">
      <c r="I160" s="16" t="e">
        <f>WEEKDAY(Amazon[OrderDate],17)</f>
        <v>#VALUE!</v>
      </c>
    </row>
    <row r="161" spans="9:9" x14ac:dyDescent="0.25">
      <c r="I161" s="16" t="e">
        <f>WEEKDAY(Amazon[OrderDate],17)</f>
        <v>#VALUE!</v>
      </c>
    </row>
    <row r="162" spans="9:9" x14ac:dyDescent="0.25">
      <c r="I162" s="16" t="e">
        <f>WEEKDAY(Amazon[OrderDate],17)</f>
        <v>#VALUE!</v>
      </c>
    </row>
    <row r="163" spans="9:9" x14ac:dyDescent="0.25">
      <c r="I163" s="16" t="e">
        <f>WEEKDAY(Amazon[OrderDate],17)</f>
        <v>#VALUE!</v>
      </c>
    </row>
    <row r="164" spans="9:9" x14ac:dyDescent="0.25">
      <c r="I164" s="16" t="e">
        <f>WEEKDAY(Amazon[OrderDate],17)</f>
        <v>#VALUE!</v>
      </c>
    </row>
    <row r="165" spans="9:9" x14ac:dyDescent="0.25">
      <c r="I165" s="16" t="e">
        <f>WEEKDAY(Amazon[OrderDate],17)</f>
        <v>#VALUE!</v>
      </c>
    </row>
    <row r="166" spans="9:9" x14ac:dyDescent="0.25">
      <c r="I166" s="16" t="e">
        <f>WEEKDAY(Amazon[OrderDate],17)</f>
        <v>#VALUE!</v>
      </c>
    </row>
    <row r="167" spans="9:9" x14ac:dyDescent="0.25">
      <c r="I167" s="16" t="e">
        <f>WEEKDAY(Amazon[OrderDate],17)</f>
        <v>#VALUE!</v>
      </c>
    </row>
    <row r="168" spans="9:9" x14ac:dyDescent="0.25">
      <c r="I168" s="16" t="e">
        <f>WEEKDAY(Amazon[OrderDate],17)</f>
        <v>#VALUE!</v>
      </c>
    </row>
    <row r="169" spans="9:9" x14ac:dyDescent="0.25">
      <c r="I169" s="16" t="e">
        <f>WEEKDAY(Amazon[OrderDate],17)</f>
        <v>#VALUE!</v>
      </c>
    </row>
    <row r="170" spans="9:9" x14ac:dyDescent="0.25">
      <c r="I170" s="16" t="e">
        <f>WEEKDAY(Amazon[OrderDate],17)</f>
        <v>#VALUE!</v>
      </c>
    </row>
    <row r="171" spans="9:9" x14ac:dyDescent="0.25">
      <c r="I171" s="16" t="e">
        <f>WEEKDAY(Amazon[OrderDate],17)</f>
        <v>#VALUE!</v>
      </c>
    </row>
    <row r="172" spans="9:9" x14ac:dyDescent="0.25">
      <c r="I172" s="16" t="e">
        <f>WEEKDAY(Amazon[OrderDate],17)</f>
        <v>#VALUE!</v>
      </c>
    </row>
    <row r="173" spans="9:9" x14ac:dyDescent="0.25">
      <c r="I173" s="16" t="e">
        <f>WEEKDAY(Amazon[OrderDate],17)</f>
        <v>#VALUE!</v>
      </c>
    </row>
    <row r="174" spans="9:9" x14ac:dyDescent="0.25">
      <c r="I174" s="16" t="e">
        <f>WEEKDAY(Amazon[OrderDate],17)</f>
        <v>#VALUE!</v>
      </c>
    </row>
    <row r="175" spans="9:9" x14ac:dyDescent="0.25">
      <c r="I175" s="16" t="e">
        <f>WEEKDAY(Amazon[OrderDate],17)</f>
        <v>#VALUE!</v>
      </c>
    </row>
    <row r="176" spans="9:9" x14ac:dyDescent="0.25">
      <c r="I176" s="16" t="e">
        <f>WEEKDAY(Amazon[OrderDate],17)</f>
        <v>#VALUE!</v>
      </c>
    </row>
    <row r="177" spans="9:9" x14ac:dyDescent="0.25">
      <c r="I177" s="16" t="e">
        <f>WEEKDAY(Amazon[OrderDate],17)</f>
        <v>#VALUE!</v>
      </c>
    </row>
    <row r="178" spans="9:9" x14ac:dyDescent="0.25">
      <c r="I178" s="16" t="e">
        <f>WEEKDAY(Amazon[OrderDate],17)</f>
        <v>#VALUE!</v>
      </c>
    </row>
    <row r="179" spans="9:9" x14ac:dyDescent="0.25">
      <c r="I179" s="16" t="e">
        <f>WEEKDAY(Amazon[OrderDate],17)</f>
        <v>#VALUE!</v>
      </c>
    </row>
    <row r="180" spans="9:9" x14ac:dyDescent="0.25">
      <c r="I180" s="16" t="e">
        <f>WEEKDAY(Amazon[OrderDate],17)</f>
        <v>#VALUE!</v>
      </c>
    </row>
    <row r="181" spans="9:9" x14ac:dyDescent="0.25">
      <c r="I181" s="16" t="e">
        <f>WEEKDAY(Amazon[OrderDate],17)</f>
        <v>#VALUE!</v>
      </c>
    </row>
    <row r="182" spans="9:9" x14ac:dyDescent="0.25">
      <c r="I182" s="16" t="e">
        <f>WEEKDAY(Amazon[OrderDate],17)</f>
        <v>#VALUE!</v>
      </c>
    </row>
    <row r="183" spans="9:9" x14ac:dyDescent="0.25">
      <c r="I183" s="16" t="e">
        <f>WEEKDAY(Amazon[OrderDate],17)</f>
        <v>#VALUE!</v>
      </c>
    </row>
    <row r="184" spans="9:9" x14ac:dyDescent="0.25">
      <c r="I184" s="16" t="e">
        <f>WEEKDAY(Amazon[OrderDate],17)</f>
        <v>#VALUE!</v>
      </c>
    </row>
    <row r="185" spans="9:9" x14ac:dyDescent="0.25">
      <c r="I185" s="16" t="e">
        <f>WEEKDAY(Amazon[OrderDate],17)</f>
        <v>#VALUE!</v>
      </c>
    </row>
    <row r="186" spans="9:9" x14ac:dyDescent="0.25">
      <c r="I186" s="16" t="e">
        <f>WEEKDAY(Amazon[OrderDate],17)</f>
        <v>#VALUE!</v>
      </c>
    </row>
    <row r="187" spans="9:9" x14ac:dyDescent="0.25">
      <c r="I187" s="16" t="e">
        <f>WEEKDAY(Amazon[OrderDate],17)</f>
        <v>#VALUE!</v>
      </c>
    </row>
    <row r="188" spans="9:9" x14ac:dyDescent="0.25">
      <c r="I188" s="16" t="e">
        <f>WEEKDAY(Amazon[OrderDate],17)</f>
        <v>#VALUE!</v>
      </c>
    </row>
    <row r="189" spans="9:9" x14ac:dyDescent="0.25">
      <c r="I189" s="16" t="e">
        <f>WEEKDAY(Amazon[OrderDate],17)</f>
        <v>#VALUE!</v>
      </c>
    </row>
    <row r="190" spans="9:9" x14ac:dyDescent="0.25">
      <c r="I190" s="16" t="e">
        <f>WEEKDAY(Amazon[OrderDate],17)</f>
        <v>#VALUE!</v>
      </c>
    </row>
    <row r="191" spans="9:9" x14ac:dyDescent="0.25">
      <c r="I191" s="16" t="e">
        <f>WEEKDAY(Amazon[OrderDate],17)</f>
        <v>#VALUE!</v>
      </c>
    </row>
    <row r="192" spans="9:9" x14ac:dyDescent="0.25">
      <c r="I192" s="16" t="e">
        <f>WEEKDAY(Amazon[OrderDate],17)</f>
        <v>#VALUE!</v>
      </c>
    </row>
    <row r="193" spans="9:9" x14ac:dyDescent="0.25">
      <c r="I193" s="16" t="e">
        <f>WEEKDAY(Amazon[OrderDate],17)</f>
        <v>#VALUE!</v>
      </c>
    </row>
    <row r="194" spans="9:9" x14ac:dyDescent="0.25">
      <c r="I194" s="16" t="e">
        <f>WEEKDAY(Amazon[OrderDate],17)</f>
        <v>#VALUE!</v>
      </c>
    </row>
    <row r="195" spans="9:9" x14ac:dyDescent="0.25">
      <c r="I195" s="16" t="e">
        <f>WEEKDAY(Amazon[OrderDate],17)</f>
        <v>#VALUE!</v>
      </c>
    </row>
    <row r="196" spans="9:9" x14ac:dyDescent="0.25">
      <c r="I196" s="16" t="e">
        <f>WEEKDAY(Amazon[OrderDate],17)</f>
        <v>#VALUE!</v>
      </c>
    </row>
    <row r="197" spans="9:9" x14ac:dyDescent="0.25">
      <c r="I197" s="16" t="e">
        <f>WEEKDAY(Amazon[OrderDate],17)</f>
        <v>#VALUE!</v>
      </c>
    </row>
    <row r="198" spans="9:9" x14ac:dyDescent="0.25">
      <c r="I198" s="16" t="e">
        <f>WEEKDAY(Amazon[OrderDate],17)</f>
        <v>#VALUE!</v>
      </c>
    </row>
    <row r="199" spans="9:9" x14ac:dyDescent="0.25">
      <c r="I199" s="16" t="e">
        <f>WEEKDAY(Amazon[OrderDate],17)</f>
        <v>#VALUE!</v>
      </c>
    </row>
    <row r="200" spans="9:9" x14ac:dyDescent="0.25">
      <c r="I200" s="16" t="e">
        <f>WEEKDAY(Amazon[OrderDate],17)</f>
        <v>#VALUE!</v>
      </c>
    </row>
    <row r="201" spans="9:9" x14ac:dyDescent="0.25">
      <c r="I201" s="16" t="e">
        <f>WEEKDAY(Amazon[OrderDate],17)</f>
        <v>#VALUE!</v>
      </c>
    </row>
    <row r="202" spans="9:9" x14ac:dyDescent="0.25">
      <c r="I202" s="16" t="e">
        <f>WEEKDAY(Amazon[OrderDate],17)</f>
        <v>#VALUE!</v>
      </c>
    </row>
    <row r="203" spans="9:9" x14ac:dyDescent="0.25">
      <c r="I203" s="16" t="e">
        <f>WEEKDAY(Amazon[OrderDate],17)</f>
        <v>#VALUE!</v>
      </c>
    </row>
    <row r="204" spans="9:9" x14ac:dyDescent="0.25">
      <c r="I204" s="16" t="e">
        <f>WEEKDAY(Amazon[OrderDate],17)</f>
        <v>#VALUE!</v>
      </c>
    </row>
    <row r="205" spans="9:9" x14ac:dyDescent="0.25">
      <c r="I205" s="16" t="e">
        <f>WEEKDAY(Amazon[OrderDate],17)</f>
        <v>#VALUE!</v>
      </c>
    </row>
    <row r="206" spans="9:9" x14ac:dyDescent="0.25">
      <c r="I206" s="16" t="e">
        <f>WEEKDAY(Amazon[OrderDate],17)</f>
        <v>#VALUE!</v>
      </c>
    </row>
    <row r="207" spans="9:9" x14ac:dyDescent="0.25">
      <c r="I207" s="16" t="e">
        <f>WEEKDAY(Amazon[OrderDate],17)</f>
        <v>#VALUE!</v>
      </c>
    </row>
    <row r="208" spans="9:9" x14ac:dyDescent="0.25">
      <c r="I208" s="16" t="e">
        <f>WEEKDAY(Amazon[OrderDate],17)</f>
        <v>#VALUE!</v>
      </c>
    </row>
    <row r="209" spans="9:9" x14ac:dyDescent="0.25">
      <c r="I209" s="16" t="e">
        <f>WEEKDAY(Amazon[OrderDate],17)</f>
        <v>#VALUE!</v>
      </c>
    </row>
    <row r="210" spans="9:9" x14ac:dyDescent="0.25">
      <c r="I210" s="16" t="e">
        <f>WEEKDAY(Amazon[OrderDate],17)</f>
        <v>#VALUE!</v>
      </c>
    </row>
    <row r="211" spans="9:9" x14ac:dyDescent="0.25">
      <c r="I211" s="16" t="e">
        <f>WEEKDAY(Amazon[OrderDate],17)</f>
        <v>#VALUE!</v>
      </c>
    </row>
    <row r="212" spans="9:9" x14ac:dyDescent="0.25">
      <c r="I212" s="16" t="e">
        <f>WEEKDAY(Amazon[OrderDate],17)</f>
        <v>#VALUE!</v>
      </c>
    </row>
    <row r="213" spans="9:9" x14ac:dyDescent="0.25">
      <c r="I213" s="16" t="e">
        <f>WEEKDAY(Amazon[OrderDate],17)</f>
        <v>#VALUE!</v>
      </c>
    </row>
    <row r="214" spans="9:9" x14ac:dyDescent="0.25">
      <c r="I214" s="16" t="e">
        <f>WEEKDAY(Amazon[OrderDate],17)</f>
        <v>#VALUE!</v>
      </c>
    </row>
    <row r="215" spans="9:9" x14ac:dyDescent="0.25">
      <c r="I215" s="16" t="e">
        <f>WEEKDAY(Amazon[OrderDate],17)</f>
        <v>#VALUE!</v>
      </c>
    </row>
    <row r="216" spans="9:9" x14ac:dyDescent="0.25">
      <c r="I216" s="16" t="e">
        <f>WEEKDAY(Amazon[OrderDate],17)</f>
        <v>#VALUE!</v>
      </c>
    </row>
    <row r="217" spans="9:9" x14ac:dyDescent="0.25">
      <c r="I217" s="16" t="e">
        <f>WEEKDAY(Amazon[OrderDate],17)</f>
        <v>#VALUE!</v>
      </c>
    </row>
    <row r="218" spans="9:9" x14ac:dyDescent="0.25">
      <c r="I218" s="16" t="e">
        <f>WEEKDAY(Amazon[OrderDate],17)</f>
        <v>#VALUE!</v>
      </c>
    </row>
    <row r="219" spans="9:9" x14ac:dyDescent="0.25">
      <c r="I219" s="16" t="e">
        <f>WEEKDAY(Amazon[OrderDate],17)</f>
        <v>#VALUE!</v>
      </c>
    </row>
    <row r="220" spans="9:9" x14ac:dyDescent="0.25">
      <c r="I220" s="16" t="e">
        <f>WEEKDAY(Amazon[OrderDate],17)</f>
        <v>#VALUE!</v>
      </c>
    </row>
    <row r="221" spans="9:9" x14ac:dyDescent="0.25">
      <c r="I221" s="16" t="e">
        <f>WEEKDAY(Amazon[OrderDate],17)</f>
        <v>#VALUE!</v>
      </c>
    </row>
    <row r="222" spans="9:9" x14ac:dyDescent="0.25">
      <c r="I222" s="16" t="e">
        <f>WEEKDAY(Amazon[OrderDate],17)</f>
        <v>#VALUE!</v>
      </c>
    </row>
    <row r="223" spans="9:9" x14ac:dyDescent="0.25">
      <c r="I223" s="16" t="e">
        <f>WEEKDAY(Amazon[OrderDate],17)</f>
        <v>#VALUE!</v>
      </c>
    </row>
    <row r="224" spans="9:9" x14ac:dyDescent="0.25">
      <c r="I224" s="16" t="e">
        <f>WEEKDAY(Amazon[OrderDate],17)</f>
        <v>#VALUE!</v>
      </c>
    </row>
    <row r="225" spans="9:9" x14ac:dyDescent="0.25">
      <c r="I225" s="16" t="e">
        <f>WEEKDAY(Amazon[OrderDate],17)</f>
        <v>#VALUE!</v>
      </c>
    </row>
    <row r="226" spans="9:9" x14ac:dyDescent="0.25">
      <c r="I226" s="16" t="e">
        <f>WEEKDAY(Amazon[OrderDate],17)</f>
        <v>#VALUE!</v>
      </c>
    </row>
    <row r="227" spans="9:9" x14ac:dyDescent="0.25">
      <c r="I227" s="16" t="e">
        <f>WEEKDAY(Amazon[OrderDate],17)</f>
        <v>#VALUE!</v>
      </c>
    </row>
    <row r="228" spans="9:9" x14ac:dyDescent="0.25">
      <c r="I228" s="16" t="e">
        <f>WEEKDAY(Amazon[OrderDate],17)</f>
        <v>#VALUE!</v>
      </c>
    </row>
    <row r="229" spans="9:9" x14ac:dyDescent="0.25">
      <c r="I229" s="16" t="e">
        <f>WEEKDAY(Amazon[OrderDate],17)</f>
        <v>#VALUE!</v>
      </c>
    </row>
    <row r="230" spans="9:9" x14ac:dyDescent="0.25">
      <c r="I230" s="16" t="e">
        <f>WEEKDAY(Amazon[OrderDate],17)</f>
        <v>#VALUE!</v>
      </c>
    </row>
    <row r="231" spans="9:9" x14ac:dyDescent="0.25">
      <c r="I231" s="16" t="e">
        <f>WEEKDAY(Amazon[OrderDate],17)</f>
        <v>#VALUE!</v>
      </c>
    </row>
    <row r="232" spans="9:9" x14ac:dyDescent="0.25">
      <c r="I232" s="16" t="e">
        <f>WEEKDAY(Amazon[OrderDate],17)</f>
        <v>#VALUE!</v>
      </c>
    </row>
    <row r="233" spans="9:9" x14ac:dyDescent="0.25">
      <c r="I233" s="16" t="e">
        <f>WEEKDAY(Amazon[OrderDate],17)</f>
        <v>#VALUE!</v>
      </c>
    </row>
    <row r="234" spans="9:9" x14ac:dyDescent="0.25">
      <c r="I234" s="16" t="e">
        <f>WEEKDAY(Amazon[OrderDate],17)</f>
        <v>#VALUE!</v>
      </c>
    </row>
    <row r="235" spans="9:9" x14ac:dyDescent="0.25">
      <c r="I235" s="16" t="e">
        <f>WEEKDAY(Amazon[OrderDate],17)</f>
        <v>#VALUE!</v>
      </c>
    </row>
    <row r="236" spans="9:9" x14ac:dyDescent="0.25">
      <c r="I236" s="16" t="e">
        <f>WEEKDAY(Amazon[OrderDate],17)</f>
        <v>#VALUE!</v>
      </c>
    </row>
    <row r="237" spans="9:9" x14ac:dyDescent="0.25">
      <c r="I237" s="16" t="e">
        <f>WEEKDAY(Amazon[OrderDate],17)</f>
        <v>#VALUE!</v>
      </c>
    </row>
    <row r="238" spans="9:9" x14ac:dyDescent="0.25">
      <c r="I238" s="16" t="e">
        <f>WEEKDAY(Amazon[OrderDate],17)</f>
        <v>#VALUE!</v>
      </c>
    </row>
    <row r="239" spans="9:9" x14ac:dyDescent="0.25">
      <c r="I239" s="16" t="e">
        <f>WEEKDAY(Amazon[OrderDate],17)</f>
        <v>#VALUE!</v>
      </c>
    </row>
    <row r="240" spans="9:9" x14ac:dyDescent="0.25">
      <c r="I240" s="16" t="e">
        <f>WEEKDAY(Amazon[OrderDate],17)</f>
        <v>#VALUE!</v>
      </c>
    </row>
    <row r="241" spans="9:9" x14ac:dyDescent="0.25">
      <c r="I241" s="16" t="e">
        <f>WEEKDAY(Amazon[OrderDate],17)</f>
        <v>#VALUE!</v>
      </c>
    </row>
    <row r="242" spans="9:9" x14ac:dyDescent="0.25">
      <c r="I242" s="16" t="e">
        <f>WEEKDAY(Amazon[OrderDate],17)</f>
        <v>#VALUE!</v>
      </c>
    </row>
    <row r="243" spans="9:9" x14ac:dyDescent="0.25">
      <c r="I243" s="16" t="e">
        <f>WEEKDAY(Amazon[OrderDate],17)</f>
        <v>#VALUE!</v>
      </c>
    </row>
    <row r="244" spans="9:9" x14ac:dyDescent="0.25">
      <c r="I244" s="16" t="e">
        <f>WEEKDAY(Amazon[OrderDate],17)</f>
        <v>#VALUE!</v>
      </c>
    </row>
    <row r="245" spans="9:9" x14ac:dyDescent="0.25">
      <c r="I245" s="16" t="e">
        <f>WEEKDAY(Amazon[OrderDate],17)</f>
        <v>#VALUE!</v>
      </c>
    </row>
    <row r="246" spans="9:9" x14ac:dyDescent="0.25">
      <c r="I246" s="16" t="e">
        <f>WEEKDAY(Amazon[OrderDate],17)</f>
        <v>#VALUE!</v>
      </c>
    </row>
    <row r="247" spans="9:9" x14ac:dyDescent="0.25">
      <c r="I247" s="16" t="e">
        <f>WEEKDAY(Amazon[OrderDate],17)</f>
        <v>#VALUE!</v>
      </c>
    </row>
    <row r="248" spans="9:9" x14ac:dyDescent="0.25">
      <c r="I248" s="16" t="e">
        <f>WEEKDAY(Amazon[OrderDate],17)</f>
        <v>#VALUE!</v>
      </c>
    </row>
    <row r="249" spans="9:9" x14ac:dyDescent="0.25">
      <c r="I249" s="16" t="e">
        <f>WEEKDAY(Amazon[OrderDate],17)</f>
        <v>#VALUE!</v>
      </c>
    </row>
    <row r="250" spans="9:9" x14ac:dyDescent="0.25">
      <c r="I250" s="16" t="e">
        <f>WEEKDAY(Amazon[OrderDate],17)</f>
        <v>#VALUE!</v>
      </c>
    </row>
    <row r="251" spans="9:9" x14ac:dyDescent="0.25">
      <c r="I251" s="16" t="e">
        <f>WEEKDAY(Amazon[OrderDate],17)</f>
        <v>#VALUE!</v>
      </c>
    </row>
    <row r="252" spans="9:9" x14ac:dyDescent="0.25">
      <c r="I252" s="16" t="e">
        <f>WEEKDAY(Amazon[OrderDate],17)</f>
        <v>#VALUE!</v>
      </c>
    </row>
    <row r="253" spans="9:9" x14ac:dyDescent="0.25">
      <c r="I253" s="16" t="e">
        <f>WEEKDAY(Amazon[OrderDate],17)</f>
        <v>#VALUE!</v>
      </c>
    </row>
    <row r="254" spans="9:9" x14ac:dyDescent="0.25">
      <c r="I254" s="16" t="e">
        <f>WEEKDAY(Amazon[OrderDate],17)</f>
        <v>#VALUE!</v>
      </c>
    </row>
    <row r="255" spans="9:9" x14ac:dyDescent="0.25">
      <c r="I255" s="16" t="e">
        <f>WEEKDAY(Amazon[OrderDate],17)</f>
        <v>#VALUE!</v>
      </c>
    </row>
    <row r="256" spans="9:9" x14ac:dyDescent="0.25">
      <c r="I256" s="16" t="e">
        <f>WEEKDAY(Amazon[OrderDate],17)</f>
        <v>#VALUE!</v>
      </c>
    </row>
    <row r="257" spans="9:9" x14ac:dyDescent="0.25">
      <c r="I257" s="16" t="e">
        <f>WEEKDAY(Amazon[OrderDate],17)</f>
        <v>#VALUE!</v>
      </c>
    </row>
    <row r="258" spans="9:9" x14ac:dyDescent="0.25">
      <c r="I258" s="16" t="e">
        <f>WEEKDAY(Amazon[OrderDate],17)</f>
        <v>#VALUE!</v>
      </c>
    </row>
    <row r="259" spans="9:9" x14ac:dyDescent="0.25">
      <c r="I259" s="16" t="e">
        <f>WEEKDAY(Amazon[OrderDate],17)</f>
        <v>#VALUE!</v>
      </c>
    </row>
    <row r="260" spans="9:9" x14ac:dyDescent="0.25">
      <c r="I260" s="16" t="e">
        <f>WEEKDAY(Amazon[OrderDate],17)</f>
        <v>#VALUE!</v>
      </c>
    </row>
    <row r="261" spans="9:9" x14ac:dyDescent="0.25">
      <c r="I261" s="16" t="e">
        <f>WEEKDAY(Amazon[OrderDate],17)</f>
        <v>#VALUE!</v>
      </c>
    </row>
    <row r="262" spans="9:9" x14ac:dyDescent="0.25">
      <c r="I262" s="16" t="e">
        <f>WEEKDAY(Amazon[OrderDate],17)</f>
        <v>#VALUE!</v>
      </c>
    </row>
    <row r="263" spans="9:9" x14ac:dyDescent="0.25">
      <c r="I263" s="16" t="e">
        <f>WEEKDAY(Amazon[OrderDate],17)</f>
        <v>#VALUE!</v>
      </c>
    </row>
    <row r="264" spans="9:9" x14ac:dyDescent="0.25">
      <c r="I264" s="16" t="e">
        <f>WEEKDAY(Amazon[OrderDate],17)</f>
        <v>#VALUE!</v>
      </c>
    </row>
    <row r="265" spans="9:9" x14ac:dyDescent="0.25">
      <c r="I265" s="16" t="e">
        <f>WEEKDAY(Amazon[OrderDate],17)</f>
        <v>#VALUE!</v>
      </c>
    </row>
    <row r="266" spans="9:9" x14ac:dyDescent="0.25">
      <c r="I266" s="16" t="e">
        <f>WEEKDAY(Amazon[OrderDate],17)</f>
        <v>#VALUE!</v>
      </c>
    </row>
    <row r="267" spans="9:9" x14ac:dyDescent="0.25">
      <c r="I267" s="16" t="e">
        <f>WEEKDAY(Amazon[OrderDate],17)</f>
        <v>#VALUE!</v>
      </c>
    </row>
    <row r="268" spans="9:9" x14ac:dyDescent="0.25">
      <c r="I268" s="16" t="e">
        <f>WEEKDAY(Amazon[OrderDate],17)</f>
        <v>#VALUE!</v>
      </c>
    </row>
    <row r="269" spans="9:9" x14ac:dyDescent="0.25">
      <c r="I269" s="16" t="e">
        <f>WEEKDAY(Amazon[OrderDate],17)</f>
        <v>#VALUE!</v>
      </c>
    </row>
    <row r="270" spans="9:9" x14ac:dyDescent="0.25">
      <c r="I270" s="16" t="e">
        <f>WEEKDAY(Amazon[OrderDate],17)</f>
        <v>#VALUE!</v>
      </c>
    </row>
    <row r="271" spans="9:9" x14ac:dyDescent="0.25">
      <c r="I271" s="16" t="e">
        <f>WEEKDAY(Amazon[OrderDate],17)</f>
        <v>#VALUE!</v>
      </c>
    </row>
    <row r="272" spans="9:9" x14ac:dyDescent="0.25">
      <c r="I272" s="16" t="e">
        <f>WEEKDAY(Amazon[OrderDate],17)</f>
        <v>#VALUE!</v>
      </c>
    </row>
    <row r="273" spans="9:9" x14ac:dyDescent="0.25">
      <c r="I273" s="16" t="e">
        <f>WEEKDAY(Amazon[OrderDate],17)</f>
        <v>#VALUE!</v>
      </c>
    </row>
    <row r="274" spans="9:9" x14ac:dyDescent="0.25">
      <c r="I274" s="16" t="e">
        <f>WEEKDAY(Amazon[OrderDate],17)</f>
        <v>#VALUE!</v>
      </c>
    </row>
    <row r="275" spans="9:9" x14ac:dyDescent="0.25">
      <c r="I275" s="16" t="e">
        <f>WEEKDAY(Amazon[OrderDate],17)</f>
        <v>#VALUE!</v>
      </c>
    </row>
    <row r="276" spans="9:9" x14ac:dyDescent="0.25">
      <c r="I276" s="16" t="e">
        <f>WEEKDAY(Amazon[OrderDate],17)</f>
        <v>#VALUE!</v>
      </c>
    </row>
    <row r="277" spans="9:9" x14ac:dyDescent="0.25">
      <c r="I277" s="16" t="e">
        <f>WEEKDAY(Amazon[OrderDate],17)</f>
        <v>#VALUE!</v>
      </c>
    </row>
    <row r="278" spans="9:9" x14ac:dyDescent="0.25">
      <c r="I278" s="16" t="e">
        <f>WEEKDAY(Amazon[OrderDate],17)</f>
        <v>#VALUE!</v>
      </c>
    </row>
    <row r="279" spans="9:9" x14ac:dyDescent="0.25">
      <c r="I279" s="16" t="e">
        <f>WEEKDAY(Amazon[OrderDate],17)</f>
        <v>#VALUE!</v>
      </c>
    </row>
    <row r="280" spans="9:9" x14ac:dyDescent="0.25">
      <c r="I280" s="16" t="e">
        <f>WEEKDAY(Amazon[OrderDate],17)</f>
        <v>#VALUE!</v>
      </c>
    </row>
    <row r="281" spans="9:9" x14ac:dyDescent="0.25">
      <c r="I281" s="16" t="e">
        <f>WEEKDAY(Amazon[OrderDate],17)</f>
        <v>#VALUE!</v>
      </c>
    </row>
    <row r="282" spans="9:9" x14ac:dyDescent="0.25">
      <c r="I282" s="16" t="e">
        <f>WEEKDAY(Amazon[OrderDate],17)</f>
        <v>#VALUE!</v>
      </c>
    </row>
    <row r="283" spans="9:9" x14ac:dyDescent="0.25">
      <c r="I283" s="16" t="e">
        <f>WEEKDAY(Amazon[OrderDate],17)</f>
        <v>#VALUE!</v>
      </c>
    </row>
    <row r="284" spans="9:9" x14ac:dyDescent="0.25">
      <c r="I284" s="16" t="e">
        <f>WEEKDAY(Amazon[OrderDate],17)</f>
        <v>#VALUE!</v>
      </c>
    </row>
    <row r="285" spans="9:9" x14ac:dyDescent="0.25">
      <c r="I285" s="16" t="e">
        <f>WEEKDAY(Amazon[OrderDate],17)</f>
        <v>#VALUE!</v>
      </c>
    </row>
    <row r="286" spans="9:9" x14ac:dyDescent="0.25">
      <c r="I286" s="16" t="e">
        <f>WEEKDAY(Amazon[OrderDate],17)</f>
        <v>#VALUE!</v>
      </c>
    </row>
    <row r="287" spans="9:9" x14ac:dyDescent="0.25">
      <c r="I287" s="16" t="e">
        <f>WEEKDAY(Amazon[OrderDate],17)</f>
        <v>#VALUE!</v>
      </c>
    </row>
    <row r="288" spans="9:9" x14ac:dyDescent="0.25">
      <c r="I288" s="16" t="e">
        <f>WEEKDAY(Amazon[OrderDate],17)</f>
        <v>#VALUE!</v>
      </c>
    </row>
    <row r="289" spans="9:9" x14ac:dyDescent="0.25">
      <c r="I289" s="16" t="e">
        <f>WEEKDAY(Amazon[OrderDate],17)</f>
        <v>#VALUE!</v>
      </c>
    </row>
    <row r="290" spans="9:9" x14ac:dyDescent="0.25">
      <c r="I290" s="16" t="e">
        <f>WEEKDAY(Amazon[OrderDate],17)</f>
        <v>#VALUE!</v>
      </c>
    </row>
    <row r="291" spans="9:9" x14ac:dyDescent="0.25">
      <c r="I291" s="16" t="e">
        <f>WEEKDAY(Amazon[OrderDate],17)</f>
        <v>#VALUE!</v>
      </c>
    </row>
    <row r="292" spans="9:9" x14ac:dyDescent="0.25">
      <c r="I292" s="16" t="e">
        <f>WEEKDAY(Amazon[OrderDate],17)</f>
        <v>#VALUE!</v>
      </c>
    </row>
    <row r="293" spans="9:9" x14ac:dyDescent="0.25">
      <c r="I293" s="16" t="e">
        <f>WEEKDAY(Amazon[OrderDate],17)</f>
        <v>#VALUE!</v>
      </c>
    </row>
    <row r="294" spans="9:9" x14ac:dyDescent="0.25">
      <c r="I294" s="16" t="e">
        <f>WEEKDAY(Amazon[OrderDate],17)</f>
        <v>#VALUE!</v>
      </c>
    </row>
    <row r="295" spans="9:9" x14ac:dyDescent="0.25">
      <c r="I295" s="16" t="e">
        <f>WEEKDAY(Amazon[OrderDate],17)</f>
        <v>#VALUE!</v>
      </c>
    </row>
    <row r="296" spans="9:9" x14ac:dyDescent="0.25">
      <c r="I296" s="16" t="e">
        <f>WEEKDAY(Amazon[OrderDate],17)</f>
        <v>#VALUE!</v>
      </c>
    </row>
    <row r="297" spans="9:9" x14ac:dyDescent="0.25">
      <c r="I297" s="16" t="e">
        <f>WEEKDAY(Amazon[OrderDate],17)</f>
        <v>#VALUE!</v>
      </c>
    </row>
    <row r="298" spans="9:9" x14ac:dyDescent="0.25">
      <c r="I298" s="16" t="e">
        <f>WEEKDAY(Amazon[OrderDate],17)</f>
        <v>#VALUE!</v>
      </c>
    </row>
    <row r="299" spans="9:9" x14ac:dyDescent="0.25">
      <c r="I299" s="16" t="e">
        <f>WEEKDAY(Amazon[OrderDate],17)</f>
        <v>#VALUE!</v>
      </c>
    </row>
    <row r="300" spans="9:9" x14ac:dyDescent="0.25">
      <c r="I300" s="16" t="e">
        <f>WEEKDAY(Amazon[OrderDate],17)</f>
        <v>#VALUE!</v>
      </c>
    </row>
    <row r="301" spans="9:9" x14ac:dyDescent="0.25">
      <c r="I301" s="16" t="e">
        <f>WEEKDAY(Amazon[OrderDate],17)</f>
        <v>#VALUE!</v>
      </c>
    </row>
    <row r="302" spans="9:9" x14ac:dyDescent="0.25">
      <c r="I302" s="16" t="e">
        <f>WEEKDAY(Amazon[OrderDate],17)</f>
        <v>#VALUE!</v>
      </c>
    </row>
    <row r="303" spans="9:9" x14ac:dyDescent="0.25">
      <c r="I303" s="16" t="e">
        <f>WEEKDAY(Amazon[OrderDate],17)</f>
        <v>#VALUE!</v>
      </c>
    </row>
    <row r="304" spans="9:9" x14ac:dyDescent="0.25">
      <c r="I304" s="16" t="e">
        <f>WEEKDAY(Amazon[OrderDate],17)</f>
        <v>#VALUE!</v>
      </c>
    </row>
    <row r="305" spans="9:9" x14ac:dyDescent="0.25">
      <c r="I305" s="16" t="e">
        <f>WEEKDAY(Amazon[OrderDate],17)</f>
        <v>#VALUE!</v>
      </c>
    </row>
    <row r="306" spans="9:9" x14ac:dyDescent="0.25">
      <c r="I306" s="16" t="e">
        <f>WEEKDAY(Amazon[OrderDate],17)</f>
        <v>#VALUE!</v>
      </c>
    </row>
    <row r="307" spans="9:9" x14ac:dyDescent="0.25">
      <c r="I307" s="16" t="e">
        <f>WEEKDAY(Amazon[OrderDate],17)</f>
        <v>#VALUE!</v>
      </c>
    </row>
    <row r="308" spans="9:9" x14ac:dyDescent="0.25">
      <c r="I308" s="16" t="e">
        <f>WEEKDAY(Amazon[OrderDate],17)</f>
        <v>#VALUE!</v>
      </c>
    </row>
    <row r="309" spans="9:9" x14ac:dyDescent="0.25">
      <c r="I309" s="16" t="e">
        <f>WEEKDAY(Amazon[OrderDate],17)</f>
        <v>#VALUE!</v>
      </c>
    </row>
    <row r="310" spans="9:9" x14ac:dyDescent="0.25">
      <c r="I310" s="16" t="e">
        <f>WEEKDAY(Amazon[OrderDate],17)</f>
        <v>#VALUE!</v>
      </c>
    </row>
    <row r="311" spans="9:9" x14ac:dyDescent="0.25">
      <c r="I311" s="16" t="e">
        <f>WEEKDAY(Amazon[OrderDate],17)</f>
        <v>#VALUE!</v>
      </c>
    </row>
    <row r="312" spans="9:9" x14ac:dyDescent="0.25">
      <c r="I312" s="16" t="e">
        <f>WEEKDAY(Amazon[OrderDate],17)</f>
        <v>#VALUE!</v>
      </c>
    </row>
    <row r="313" spans="9:9" x14ac:dyDescent="0.25">
      <c r="I313" s="16" t="e">
        <f>WEEKDAY(Amazon[OrderDate],17)</f>
        <v>#VALUE!</v>
      </c>
    </row>
    <row r="314" spans="9:9" x14ac:dyDescent="0.25">
      <c r="I314" s="16" t="e">
        <f>WEEKDAY(Amazon[OrderDate],17)</f>
        <v>#VALUE!</v>
      </c>
    </row>
    <row r="315" spans="9:9" x14ac:dyDescent="0.25">
      <c r="I315" s="16" t="e">
        <f>WEEKDAY(Amazon[OrderDate],17)</f>
        <v>#VALUE!</v>
      </c>
    </row>
    <row r="316" spans="9:9" x14ac:dyDescent="0.25">
      <c r="I316" s="16" t="e">
        <f>WEEKDAY(Amazon[OrderDate],17)</f>
        <v>#VALUE!</v>
      </c>
    </row>
    <row r="317" spans="9:9" x14ac:dyDescent="0.25">
      <c r="I317" s="16" t="e">
        <f>WEEKDAY(Amazon[OrderDate],17)</f>
        <v>#VALUE!</v>
      </c>
    </row>
    <row r="318" spans="9:9" x14ac:dyDescent="0.25">
      <c r="I318" s="16" t="e">
        <f>WEEKDAY(Amazon[OrderDate],17)</f>
        <v>#VALUE!</v>
      </c>
    </row>
    <row r="319" spans="9:9" x14ac:dyDescent="0.25">
      <c r="I319" s="16" t="e">
        <f>WEEKDAY(Amazon[OrderDate],17)</f>
        <v>#VALUE!</v>
      </c>
    </row>
    <row r="320" spans="9:9" x14ac:dyDescent="0.25">
      <c r="I320" s="16" t="e">
        <f>WEEKDAY(Amazon[OrderDate],17)</f>
        <v>#VALUE!</v>
      </c>
    </row>
    <row r="321" spans="9:9" x14ac:dyDescent="0.25">
      <c r="I321" s="16" t="e">
        <f>WEEKDAY(Amazon[OrderDate],17)</f>
        <v>#VALUE!</v>
      </c>
    </row>
    <row r="322" spans="9:9" x14ac:dyDescent="0.25">
      <c r="I322" s="16" t="e">
        <f>WEEKDAY(Amazon[OrderDate],17)</f>
        <v>#VALUE!</v>
      </c>
    </row>
    <row r="323" spans="9:9" x14ac:dyDescent="0.25">
      <c r="I323" s="16" t="e">
        <f>WEEKDAY(Amazon[OrderDate],17)</f>
        <v>#VALUE!</v>
      </c>
    </row>
    <row r="324" spans="9:9" x14ac:dyDescent="0.25">
      <c r="I324" s="16" t="e">
        <f>WEEKDAY(Amazon[OrderDate],17)</f>
        <v>#VALUE!</v>
      </c>
    </row>
    <row r="325" spans="9:9" x14ac:dyDescent="0.25">
      <c r="I325" s="16" t="e">
        <f>WEEKDAY(Amazon[OrderDate],17)</f>
        <v>#VALUE!</v>
      </c>
    </row>
    <row r="326" spans="9:9" x14ac:dyDescent="0.25">
      <c r="I326" s="16" t="e">
        <f>WEEKDAY(Amazon[OrderDate],17)</f>
        <v>#VALUE!</v>
      </c>
    </row>
    <row r="327" spans="9:9" x14ac:dyDescent="0.25">
      <c r="I327" s="16" t="e">
        <f>WEEKDAY(Amazon[OrderDate],17)</f>
        <v>#VALUE!</v>
      </c>
    </row>
    <row r="328" spans="9:9" x14ac:dyDescent="0.25">
      <c r="I328" s="16" t="e">
        <f>WEEKDAY(Amazon[OrderDate],17)</f>
        <v>#VALUE!</v>
      </c>
    </row>
    <row r="329" spans="9:9" x14ac:dyDescent="0.25">
      <c r="I329" s="16" t="e">
        <f>WEEKDAY(Amazon[OrderDate],17)</f>
        <v>#VALUE!</v>
      </c>
    </row>
    <row r="330" spans="9:9" x14ac:dyDescent="0.25">
      <c r="I330" s="16" t="e">
        <f>WEEKDAY(Amazon[OrderDate],17)</f>
        <v>#VALUE!</v>
      </c>
    </row>
    <row r="331" spans="9:9" x14ac:dyDescent="0.25">
      <c r="I331" s="16" t="e">
        <f>WEEKDAY(Amazon[OrderDate],17)</f>
        <v>#VALUE!</v>
      </c>
    </row>
    <row r="332" spans="9:9" x14ac:dyDescent="0.25">
      <c r="I332" s="16" t="e">
        <f>WEEKDAY(Amazon[OrderDate],17)</f>
        <v>#VALUE!</v>
      </c>
    </row>
    <row r="333" spans="9:9" x14ac:dyDescent="0.25">
      <c r="I333" s="16" t="e">
        <f>WEEKDAY(Amazon[OrderDate],17)</f>
        <v>#VALUE!</v>
      </c>
    </row>
    <row r="334" spans="9:9" x14ac:dyDescent="0.25">
      <c r="I334" s="16" t="e">
        <f>WEEKDAY(Amazon[OrderDate],17)</f>
        <v>#VALUE!</v>
      </c>
    </row>
    <row r="335" spans="9:9" x14ac:dyDescent="0.25">
      <c r="I335" s="16" t="e">
        <f>WEEKDAY(Amazon[OrderDate],17)</f>
        <v>#VALUE!</v>
      </c>
    </row>
    <row r="336" spans="9:9" x14ac:dyDescent="0.25">
      <c r="I336" s="16" t="e">
        <f>WEEKDAY(Amazon[OrderDate],17)</f>
        <v>#VALUE!</v>
      </c>
    </row>
    <row r="337" spans="9:9" x14ac:dyDescent="0.25">
      <c r="I337" s="16" t="e">
        <f>WEEKDAY(Amazon[OrderDate],17)</f>
        <v>#VALUE!</v>
      </c>
    </row>
    <row r="338" spans="9:9" x14ac:dyDescent="0.25">
      <c r="I338" s="16" t="e">
        <f>WEEKDAY(Amazon[OrderDate],17)</f>
        <v>#VALUE!</v>
      </c>
    </row>
    <row r="339" spans="9:9" x14ac:dyDescent="0.25">
      <c r="I339" s="16" t="e">
        <f>WEEKDAY(Amazon[OrderDate],17)</f>
        <v>#VALUE!</v>
      </c>
    </row>
    <row r="340" spans="9:9" x14ac:dyDescent="0.25">
      <c r="I340" s="16" t="e">
        <f>WEEKDAY(Amazon[OrderDate],17)</f>
        <v>#VALUE!</v>
      </c>
    </row>
    <row r="341" spans="9:9" x14ac:dyDescent="0.25">
      <c r="I341" s="16" t="e">
        <f>WEEKDAY(Amazon[OrderDate],17)</f>
        <v>#VALUE!</v>
      </c>
    </row>
    <row r="342" spans="9:9" x14ac:dyDescent="0.25">
      <c r="I342" s="16" t="e">
        <f>WEEKDAY(Amazon[OrderDate],17)</f>
        <v>#VALUE!</v>
      </c>
    </row>
    <row r="343" spans="9:9" x14ac:dyDescent="0.25">
      <c r="I343" s="16" t="e">
        <f>WEEKDAY(Amazon[OrderDate],17)</f>
        <v>#VALUE!</v>
      </c>
    </row>
    <row r="344" spans="9:9" x14ac:dyDescent="0.25">
      <c r="I344" s="16" t="e">
        <f>WEEKDAY(Amazon[OrderDate],17)</f>
        <v>#VALUE!</v>
      </c>
    </row>
    <row r="345" spans="9:9" x14ac:dyDescent="0.25">
      <c r="I345" s="16" t="e">
        <f>WEEKDAY(Amazon[OrderDate],17)</f>
        <v>#VALUE!</v>
      </c>
    </row>
    <row r="346" spans="9:9" x14ac:dyDescent="0.25">
      <c r="I346" s="16" t="e">
        <f>WEEKDAY(Amazon[OrderDate],17)</f>
        <v>#VALUE!</v>
      </c>
    </row>
    <row r="347" spans="9:9" x14ac:dyDescent="0.25">
      <c r="I347" s="16" t="e">
        <f>WEEKDAY(Amazon[OrderDate],17)</f>
        <v>#VALUE!</v>
      </c>
    </row>
    <row r="348" spans="9:9" x14ac:dyDescent="0.25">
      <c r="I348" s="16" t="e">
        <f>WEEKDAY(Amazon[OrderDate],17)</f>
        <v>#VALUE!</v>
      </c>
    </row>
    <row r="349" spans="9:9" x14ac:dyDescent="0.25">
      <c r="I349" s="16" t="e">
        <f>WEEKDAY(Amazon[OrderDate],17)</f>
        <v>#VALUE!</v>
      </c>
    </row>
    <row r="350" spans="9:9" x14ac:dyDescent="0.25">
      <c r="I350" s="16" t="e">
        <f>WEEKDAY(Amazon[OrderDate],17)</f>
        <v>#VALUE!</v>
      </c>
    </row>
    <row r="351" spans="9:9" x14ac:dyDescent="0.25">
      <c r="I351" s="16" t="e">
        <f>WEEKDAY(Amazon[OrderDate],17)</f>
        <v>#VALUE!</v>
      </c>
    </row>
    <row r="352" spans="9:9" x14ac:dyDescent="0.25">
      <c r="I352" s="16" t="e">
        <f>WEEKDAY(Amazon[OrderDate],17)</f>
        <v>#VALUE!</v>
      </c>
    </row>
    <row r="353" spans="9:9" x14ac:dyDescent="0.25">
      <c r="I353" s="16" t="e">
        <f>WEEKDAY(Amazon[OrderDate],17)</f>
        <v>#VALUE!</v>
      </c>
    </row>
    <row r="354" spans="9:9" x14ac:dyDescent="0.25">
      <c r="I354" s="16" t="e">
        <f>WEEKDAY(Amazon[OrderDate],17)</f>
        <v>#VALUE!</v>
      </c>
    </row>
    <row r="355" spans="9:9" x14ac:dyDescent="0.25">
      <c r="I355" s="16" t="e">
        <f>WEEKDAY(Amazon[OrderDate],17)</f>
        <v>#VALUE!</v>
      </c>
    </row>
    <row r="356" spans="9:9" x14ac:dyDescent="0.25">
      <c r="I356" s="16" t="e">
        <f>WEEKDAY(Amazon[OrderDate],17)</f>
        <v>#VALUE!</v>
      </c>
    </row>
    <row r="357" spans="9:9" x14ac:dyDescent="0.25">
      <c r="I357" s="16" t="e">
        <f>WEEKDAY(Amazon[OrderDate],17)</f>
        <v>#VALUE!</v>
      </c>
    </row>
    <row r="358" spans="9:9" x14ac:dyDescent="0.25">
      <c r="I358" s="16" t="e">
        <f>WEEKDAY(Amazon[OrderDate],17)</f>
        <v>#VALUE!</v>
      </c>
    </row>
    <row r="359" spans="9:9" x14ac:dyDescent="0.25">
      <c r="I359" s="16" t="e">
        <f>WEEKDAY(Amazon[OrderDate],17)</f>
        <v>#VALUE!</v>
      </c>
    </row>
    <row r="360" spans="9:9" x14ac:dyDescent="0.25">
      <c r="I360" s="16" t="e">
        <f>WEEKDAY(Amazon[OrderDate],17)</f>
        <v>#VALUE!</v>
      </c>
    </row>
    <row r="361" spans="9:9" x14ac:dyDescent="0.25">
      <c r="I361" s="16" t="e">
        <f>WEEKDAY(Amazon[OrderDate],17)</f>
        <v>#VALUE!</v>
      </c>
    </row>
    <row r="362" spans="9:9" x14ac:dyDescent="0.25">
      <c r="I362" s="16" t="e">
        <f>WEEKDAY(Amazon[OrderDate],17)</f>
        <v>#VALUE!</v>
      </c>
    </row>
    <row r="363" spans="9:9" x14ac:dyDescent="0.25">
      <c r="I363" s="16" t="e">
        <f>WEEKDAY(Amazon[OrderDate],17)</f>
        <v>#VALUE!</v>
      </c>
    </row>
    <row r="364" spans="9:9" x14ac:dyDescent="0.25">
      <c r="I364" s="16" t="e">
        <f>WEEKDAY(Amazon[OrderDate],17)</f>
        <v>#VALUE!</v>
      </c>
    </row>
    <row r="365" spans="9:9" x14ac:dyDescent="0.25">
      <c r="I365" s="16" t="e">
        <f>WEEKDAY(Amazon[OrderDate],17)</f>
        <v>#VALUE!</v>
      </c>
    </row>
    <row r="366" spans="9:9" x14ac:dyDescent="0.25">
      <c r="I366" s="16" t="e">
        <f>WEEKDAY(Amazon[OrderDate],17)</f>
        <v>#VALUE!</v>
      </c>
    </row>
    <row r="367" spans="9:9" x14ac:dyDescent="0.25">
      <c r="I367" s="16" t="e">
        <f>WEEKDAY(Amazon[OrderDate],17)</f>
        <v>#VALUE!</v>
      </c>
    </row>
    <row r="368" spans="9:9" x14ac:dyDescent="0.25">
      <c r="I368" s="16" t="e">
        <f>WEEKDAY(Amazon[OrderDate],17)</f>
        <v>#VALUE!</v>
      </c>
    </row>
    <row r="369" spans="9:9" x14ac:dyDescent="0.25">
      <c r="I369" s="16" t="e">
        <f>WEEKDAY(Amazon[OrderDate],17)</f>
        <v>#VALUE!</v>
      </c>
    </row>
    <row r="370" spans="9:9" x14ac:dyDescent="0.25">
      <c r="I370" s="16" t="e">
        <f>WEEKDAY(Amazon[OrderDate],17)</f>
        <v>#VALUE!</v>
      </c>
    </row>
    <row r="371" spans="9:9" x14ac:dyDescent="0.25">
      <c r="I371" s="16" t="e">
        <f>WEEKDAY(Amazon[OrderDate],17)</f>
        <v>#VALUE!</v>
      </c>
    </row>
    <row r="372" spans="9:9" x14ac:dyDescent="0.25">
      <c r="I372" s="16" t="e">
        <f>WEEKDAY(Amazon[OrderDate],17)</f>
        <v>#VALUE!</v>
      </c>
    </row>
    <row r="373" spans="9:9" x14ac:dyDescent="0.25">
      <c r="I373" s="16" t="e">
        <f>WEEKDAY(Amazon[OrderDate],17)</f>
        <v>#VALUE!</v>
      </c>
    </row>
    <row r="374" spans="9:9" x14ac:dyDescent="0.25">
      <c r="I374" s="16" t="e">
        <f>WEEKDAY(Amazon[OrderDate],17)</f>
        <v>#VALUE!</v>
      </c>
    </row>
    <row r="375" spans="9:9" x14ac:dyDescent="0.25">
      <c r="I375" s="16" t="e">
        <f>WEEKDAY(Amazon[OrderDate],17)</f>
        <v>#VALUE!</v>
      </c>
    </row>
    <row r="376" spans="9:9" x14ac:dyDescent="0.25">
      <c r="I376" s="16" t="e">
        <f>WEEKDAY(Amazon[OrderDate],17)</f>
        <v>#VALUE!</v>
      </c>
    </row>
    <row r="377" spans="9:9" x14ac:dyDescent="0.25">
      <c r="I377" s="16" t="e">
        <f>WEEKDAY(Amazon[OrderDate],17)</f>
        <v>#VALUE!</v>
      </c>
    </row>
    <row r="378" spans="9:9" x14ac:dyDescent="0.25">
      <c r="I378" s="16" t="e">
        <f>WEEKDAY(Amazon[OrderDate],17)</f>
        <v>#VALUE!</v>
      </c>
    </row>
    <row r="379" spans="9:9" x14ac:dyDescent="0.25">
      <c r="I379" s="16" t="e">
        <f>WEEKDAY(Amazon[OrderDate],17)</f>
        <v>#VALUE!</v>
      </c>
    </row>
    <row r="380" spans="9:9" x14ac:dyDescent="0.25">
      <c r="I380" s="16" t="e">
        <f>WEEKDAY(Amazon[OrderDate],17)</f>
        <v>#VALUE!</v>
      </c>
    </row>
    <row r="381" spans="9:9" x14ac:dyDescent="0.25">
      <c r="I381" s="16" t="e">
        <f>WEEKDAY(Amazon[OrderDate],17)</f>
        <v>#VALUE!</v>
      </c>
    </row>
    <row r="382" spans="9:9" x14ac:dyDescent="0.25">
      <c r="I382" s="16" t="e">
        <f>WEEKDAY(Amazon[OrderDate],17)</f>
        <v>#VALUE!</v>
      </c>
    </row>
    <row r="383" spans="9:9" x14ac:dyDescent="0.25">
      <c r="I383" s="16" t="e">
        <f>WEEKDAY(Amazon[OrderDate],17)</f>
        <v>#VALUE!</v>
      </c>
    </row>
    <row r="384" spans="9:9" x14ac:dyDescent="0.25">
      <c r="I384" s="16" t="e">
        <f>WEEKDAY(Amazon[OrderDate],17)</f>
        <v>#VALUE!</v>
      </c>
    </row>
    <row r="385" spans="9:9" x14ac:dyDescent="0.25">
      <c r="I385" s="16" t="e">
        <f>WEEKDAY(Amazon[OrderDate],17)</f>
        <v>#VALUE!</v>
      </c>
    </row>
    <row r="386" spans="9:9" x14ac:dyDescent="0.25">
      <c r="I386" s="16" t="e">
        <f>WEEKDAY(Amazon[OrderDate],17)</f>
        <v>#VALUE!</v>
      </c>
    </row>
    <row r="387" spans="9:9" x14ac:dyDescent="0.25">
      <c r="I387" s="16" t="e">
        <f>WEEKDAY(Amazon[OrderDate],17)</f>
        <v>#VALUE!</v>
      </c>
    </row>
    <row r="388" spans="9:9" x14ac:dyDescent="0.25">
      <c r="I388" s="16" t="e">
        <f>WEEKDAY(Amazon[OrderDate],17)</f>
        <v>#VALUE!</v>
      </c>
    </row>
    <row r="389" spans="9:9" x14ac:dyDescent="0.25">
      <c r="I389" s="16" t="e">
        <f>WEEKDAY(Amazon[OrderDate],17)</f>
        <v>#VALUE!</v>
      </c>
    </row>
    <row r="390" spans="9:9" x14ac:dyDescent="0.25">
      <c r="I390" s="16" t="e">
        <f>WEEKDAY(Amazon[OrderDate],17)</f>
        <v>#VALUE!</v>
      </c>
    </row>
    <row r="391" spans="9:9" x14ac:dyDescent="0.25">
      <c r="I391" s="16" t="e">
        <f>WEEKDAY(Amazon[OrderDate],17)</f>
        <v>#VALUE!</v>
      </c>
    </row>
    <row r="392" spans="9:9" x14ac:dyDescent="0.25">
      <c r="I392" s="16" t="e">
        <f>WEEKDAY(Amazon[OrderDate],17)</f>
        <v>#VALUE!</v>
      </c>
    </row>
    <row r="393" spans="9:9" x14ac:dyDescent="0.25">
      <c r="I393" s="16" t="e">
        <f>WEEKDAY(Amazon[OrderDate],17)</f>
        <v>#VALUE!</v>
      </c>
    </row>
    <row r="394" spans="9:9" x14ac:dyDescent="0.25">
      <c r="I394" s="16" t="e">
        <f>WEEKDAY(Amazon[OrderDate],17)</f>
        <v>#VALUE!</v>
      </c>
    </row>
    <row r="395" spans="9:9" x14ac:dyDescent="0.25">
      <c r="I395" s="16" t="e">
        <f>WEEKDAY(Amazon[OrderDate],17)</f>
        <v>#VALUE!</v>
      </c>
    </row>
    <row r="396" spans="9:9" x14ac:dyDescent="0.25">
      <c r="I396" s="16" t="e">
        <f>WEEKDAY(Amazon[OrderDate],17)</f>
        <v>#VALUE!</v>
      </c>
    </row>
    <row r="397" spans="9:9" x14ac:dyDescent="0.25">
      <c r="I397" s="16" t="e">
        <f>WEEKDAY(Amazon[OrderDate],17)</f>
        <v>#VALUE!</v>
      </c>
    </row>
    <row r="398" spans="9:9" x14ac:dyDescent="0.25">
      <c r="I398" s="16" t="e">
        <f>WEEKDAY(Amazon[OrderDate],17)</f>
        <v>#VALUE!</v>
      </c>
    </row>
    <row r="399" spans="9:9" x14ac:dyDescent="0.25">
      <c r="I399" s="16" t="e">
        <f>WEEKDAY(Amazon[OrderDate],17)</f>
        <v>#VALUE!</v>
      </c>
    </row>
    <row r="400" spans="9:9" x14ac:dyDescent="0.25">
      <c r="I400" s="16" t="e">
        <f>WEEKDAY(Amazon[OrderDate],17)</f>
        <v>#VALUE!</v>
      </c>
    </row>
    <row r="401" spans="9:9" x14ac:dyDescent="0.25">
      <c r="I401" s="16" t="e">
        <f>WEEKDAY(Amazon[OrderDate],17)</f>
        <v>#VALUE!</v>
      </c>
    </row>
    <row r="402" spans="9:9" x14ac:dyDescent="0.25">
      <c r="I402" s="16" t="e">
        <f>WEEKDAY(Amazon[OrderDate],17)</f>
        <v>#VALUE!</v>
      </c>
    </row>
    <row r="403" spans="9:9" x14ac:dyDescent="0.25">
      <c r="I403" s="16" t="e">
        <f>WEEKDAY(Amazon[OrderDate],17)</f>
        <v>#VALUE!</v>
      </c>
    </row>
    <row r="404" spans="9:9" x14ac:dyDescent="0.25">
      <c r="I404" s="16" t="e">
        <f>WEEKDAY(Amazon[OrderDate],17)</f>
        <v>#VALUE!</v>
      </c>
    </row>
    <row r="405" spans="9:9" x14ac:dyDescent="0.25">
      <c r="I405" s="16" t="e">
        <f>WEEKDAY(Amazon[OrderDate],17)</f>
        <v>#VALUE!</v>
      </c>
    </row>
    <row r="406" spans="9:9" x14ac:dyDescent="0.25">
      <c r="I406" s="16" t="e">
        <f>WEEKDAY(Amazon[OrderDate],17)</f>
        <v>#VALUE!</v>
      </c>
    </row>
    <row r="407" spans="9:9" x14ac:dyDescent="0.25">
      <c r="I407" s="16" t="e">
        <f>WEEKDAY(Amazon[OrderDate],17)</f>
        <v>#VALUE!</v>
      </c>
    </row>
    <row r="408" spans="9:9" x14ac:dyDescent="0.25">
      <c r="I408" s="16" t="e">
        <f>WEEKDAY(Amazon[OrderDate],17)</f>
        <v>#VALUE!</v>
      </c>
    </row>
    <row r="409" spans="9:9" x14ac:dyDescent="0.25">
      <c r="I409" s="16" t="e">
        <f>WEEKDAY(Amazon[OrderDate],17)</f>
        <v>#VALUE!</v>
      </c>
    </row>
    <row r="410" spans="9:9" x14ac:dyDescent="0.25">
      <c r="I410" s="16" t="e">
        <f>WEEKDAY(Amazon[OrderDate],17)</f>
        <v>#VALUE!</v>
      </c>
    </row>
    <row r="411" spans="9:9" x14ac:dyDescent="0.25">
      <c r="I411" s="16" t="e">
        <f>WEEKDAY(Amazon[OrderDate],17)</f>
        <v>#VALUE!</v>
      </c>
    </row>
    <row r="412" spans="9:9" x14ac:dyDescent="0.25">
      <c r="I412" s="16" t="e">
        <f>WEEKDAY(Amazon[OrderDate],17)</f>
        <v>#VALUE!</v>
      </c>
    </row>
    <row r="413" spans="9:9" x14ac:dyDescent="0.25">
      <c r="I413" s="16" t="e">
        <f>WEEKDAY(Amazon[OrderDate],17)</f>
        <v>#VALUE!</v>
      </c>
    </row>
    <row r="414" spans="9:9" x14ac:dyDescent="0.25">
      <c r="I414" s="16" t="e">
        <f>WEEKDAY(Amazon[OrderDate],17)</f>
        <v>#VALUE!</v>
      </c>
    </row>
    <row r="415" spans="9:9" x14ac:dyDescent="0.25">
      <c r="I415" s="16" t="e">
        <f>WEEKDAY(Amazon[OrderDate],17)</f>
        <v>#VALUE!</v>
      </c>
    </row>
    <row r="416" spans="9:9" x14ac:dyDescent="0.25">
      <c r="I416" s="16" t="e">
        <f>WEEKDAY(Amazon[OrderDate],17)</f>
        <v>#VALUE!</v>
      </c>
    </row>
    <row r="417" spans="9:9" x14ac:dyDescent="0.25">
      <c r="I417" s="16" t="e">
        <f>WEEKDAY(Amazon[OrderDate],17)</f>
        <v>#VALUE!</v>
      </c>
    </row>
    <row r="418" spans="9:9" x14ac:dyDescent="0.25">
      <c r="I418" s="16" t="e">
        <f>WEEKDAY(Amazon[OrderDate],17)</f>
        <v>#VALUE!</v>
      </c>
    </row>
    <row r="419" spans="9:9" x14ac:dyDescent="0.25">
      <c r="I419" s="16" t="e">
        <f>WEEKDAY(Amazon[OrderDate],17)</f>
        <v>#VALUE!</v>
      </c>
    </row>
    <row r="420" spans="9:9" x14ac:dyDescent="0.25">
      <c r="I420" s="16" t="e">
        <f>WEEKDAY(Amazon[OrderDate],17)</f>
        <v>#VALUE!</v>
      </c>
    </row>
    <row r="421" spans="9:9" x14ac:dyDescent="0.25">
      <c r="I421" s="16" t="e">
        <f>WEEKDAY(Amazon[OrderDate],17)</f>
        <v>#VALUE!</v>
      </c>
    </row>
    <row r="422" spans="9:9" x14ac:dyDescent="0.25">
      <c r="I422" s="16" t="e">
        <f>WEEKDAY(Amazon[OrderDate],17)</f>
        <v>#VALUE!</v>
      </c>
    </row>
    <row r="423" spans="9:9" x14ac:dyDescent="0.25">
      <c r="I423" s="16" t="e">
        <f>WEEKDAY(Amazon[OrderDate],17)</f>
        <v>#VALUE!</v>
      </c>
    </row>
    <row r="424" spans="9:9" x14ac:dyDescent="0.25">
      <c r="I424" s="16" t="e">
        <f>WEEKDAY(Amazon[OrderDate],17)</f>
        <v>#VALUE!</v>
      </c>
    </row>
    <row r="425" spans="9:9" x14ac:dyDescent="0.25">
      <c r="I425" s="16" t="e">
        <f>WEEKDAY(Amazon[OrderDate],17)</f>
        <v>#VALUE!</v>
      </c>
    </row>
    <row r="426" spans="9:9" x14ac:dyDescent="0.25">
      <c r="I426" s="16" t="e">
        <f>WEEKDAY(Amazon[OrderDate],17)</f>
        <v>#VALUE!</v>
      </c>
    </row>
    <row r="427" spans="9:9" x14ac:dyDescent="0.25">
      <c r="I427" s="16" t="e">
        <f>WEEKDAY(Amazon[OrderDate],17)</f>
        <v>#VALUE!</v>
      </c>
    </row>
    <row r="428" spans="9:9" x14ac:dyDescent="0.25">
      <c r="I428" s="16" t="e">
        <f>WEEKDAY(Amazon[OrderDate],17)</f>
        <v>#VALUE!</v>
      </c>
    </row>
    <row r="429" spans="9:9" x14ac:dyDescent="0.25">
      <c r="I429" s="16" t="e">
        <f>WEEKDAY(Amazon[OrderDate],17)</f>
        <v>#VALUE!</v>
      </c>
    </row>
    <row r="430" spans="9:9" x14ac:dyDescent="0.25">
      <c r="I430" s="16" t="e">
        <f>WEEKDAY(Amazon[OrderDate],17)</f>
        <v>#VALUE!</v>
      </c>
    </row>
    <row r="431" spans="9:9" x14ac:dyDescent="0.25">
      <c r="I431" s="16" t="e">
        <f>WEEKDAY(Amazon[OrderDate],17)</f>
        <v>#VALUE!</v>
      </c>
    </row>
    <row r="432" spans="9:9" x14ac:dyDescent="0.25">
      <c r="I432" s="16" t="e">
        <f>WEEKDAY(Amazon[OrderDate],17)</f>
        <v>#VALUE!</v>
      </c>
    </row>
    <row r="433" spans="9:9" x14ac:dyDescent="0.25">
      <c r="I433" s="16" t="e">
        <f>WEEKDAY(Amazon[OrderDate],17)</f>
        <v>#VALUE!</v>
      </c>
    </row>
    <row r="434" spans="9:9" x14ac:dyDescent="0.25">
      <c r="I434" s="16" t="e">
        <f>WEEKDAY(Amazon[OrderDate],17)</f>
        <v>#VALUE!</v>
      </c>
    </row>
    <row r="435" spans="9:9" x14ac:dyDescent="0.25">
      <c r="I435" s="16" t="e">
        <f>WEEKDAY(Amazon[OrderDate],17)</f>
        <v>#VALUE!</v>
      </c>
    </row>
    <row r="436" spans="9:9" x14ac:dyDescent="0.25">
      <c r="I436" s="16" t="e">
        <f>WEEKDAY(Amazon[OrderDate],17)</f>
        <v>#VALUE!</v>
      </c>
    </row>
    <row r="437" spans="9:9" x14ac:dyDescent="0.25">
      <c r="I437" s="16" t="e">
        <f>WEEKDAY(Amazon[OrderDate],17)</f>
        <v>#VALUE!</v>
      </c>
    </row>
    <row r="438" spans="9:9" x14ac:dyDescent="0.25">
      <c r="I438" s="16" t="e">
        <f>WEEKDAY(Amazon[OrderDate],17)</f>
        <v>#VALUE!</v>
      </c>
    </row>
    <row r="439" spans="9:9" x14ac:dyDescent="0.25">
      <c r="I439" s="16" t="e">
        <f>WEEKDAY(Amazon[OrderDate],17)</f>
        <v>#VALUE!</v>
      </c>
    </row>
    <row r="440" spans="9:9" x14ac:dyDescent="0.25">
      <c r="I440" s="16" t="e">
        <f>WEEKDAY(Amazon[OrderDate],17)</f>
        <v>#VALUE!</v>
      </c>
    </row>
    <row r="441" spans="9:9" x14ac:dyDescent="0.25">
      <c r="I441" s="16" t="e">
        <f>WEEKDAY(Amazon[OrderDate],17)</f>
        <v>#VALUE!</v>
      </c>
    </row>
    <row r="442" spans="9:9" x14ac:dyDescent="0.25">
      <c r="I442" s="16" t="e">
        <f>WEEKDAY(Amazon[OrderDate],17)</f>
        <v>#VALUE!</v>
      </c>
    </row>
    <row r="443" spans="9:9" x14ac:dyDescent="0.25">
      <c r="I443" s="16" t="e">
        <f>WEEKDAY(Amazon[OrderDate],17)</f>
        <v>#VALUE!</v>
      </c>
    </row>
    <row r="444" spans="9:9" x14ac:dyDescent="0.25">
      <c r="I444" s="16" t="e">
        <f>WEEKDAY(Amazon[OrderDate],17)</f>
        <v>#VALUE!</v>
      </c>
    </row>
    <row r="445" spans="9:9" x14ac:dyDescent="0.25">
      <c r="I445" s="16" t="e">
        <f>WEEKDAY(Amazon[OrderDate],17)</f>
        <v>#VALUE!</v>
      </c>
    </row>
    <row r="446" spans="9:9" x14ac:dyDescent="0.25">
      <c r="I446" s="16" t="e">
        <f>WEEKDAY(Amazon[OrderDate],17)</f>
        <v>#VALUE!</v>
      </c>
    </row>
    <row r="447" spans="9:9" x14ac:dyDescent="0.25">
      <c r="I447" s="16" t="e">
        <f>WEEKDAY(Amazon[OrderDate],17)</f>
        <v>#VALUE!</v>
      </c>
    </row>
    <row r="448" spans="9:9" x14ac:dyDescent="0.25">
      <c r="I448" s="16" t="e">
        <f>WEEKDAY(Amazon[OrderDate],17)</f>
        <v>#VALUE!</v>
      </c>
    </row>
    <row r="449" spans="9:9" x14ac:dyDescent="0.25">
      <c r="I449" s="16" t="e">
        <f>WEEKDAY(Amazon[OrderDate],17)</f>
        <v>#VALUE!</v>
      </c>
    </row>
    <row r="450" spans="9:9" x14ac:dyDescent="0.25">
      <c r="I450" s="16" t="e">
        <f>WEEKDAY(Amazon[OrderDate],17)</f>
        <v>#VALUE!</v>
      </c>
    </row>
    <row r="451" spans="9:9" x14ac:dyDescent="0.25">
      <c r="I451" s="16" t="e">
        <f>WEEKDAY(Amazon[OrderDate],17)</f>
        <v>#VALUE!</v>
      </c>
    </row>
  </sheetData>
  <autoFilter ref="O27:P29" xr:uid="{0E7CF842-6861-4648-9E35-A2C7D86485C2}"/>
  <mergeCells count="1">
    <mergeCell ref="L40:N40"/>
  </mergeCells>
  <hyperlinks>
    <hyperlink ref="L28" r:id="rId1" xr:uid="{02571911-4551-4874-97E2-D45C4EADF0A4}"/>
    <hyperlink ref="X19" r:id="rId2" xr:uid="{31D0F5CF-9CBE-406E-9743-731295C4CADF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Amazon_Data</vt:lpstr>
      <vt:lpstr>Questions</vt:lpstr>
      <vt:lpstr>nari</vt:lpstr>
      <vt:lpstr>Practice</vt:lpstr>
      <vt:lpstr>shiva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Sriman sree</cp:lastModifiedBy>
  <dcterms:created xsi:type="dcterms:W3CDTF">2025-11-18T03:54:45Z</dcterms:created>
  <dcterms:modified xsi:type="dcterms:W3CDTF">2025-11-20T15:03:31Z</dcterms:modified>
</cp:coreProperties>
</file>