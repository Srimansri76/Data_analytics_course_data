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C0E45A22-9C3D-4318-AA96-20B0055FB8D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WIGGY" sheetId="1" state="hidden" r:id="rId1"/>
    <sheet name="Swiggy_Sales_Data" sheetId="2" r:id="rId2"/>
  </sheets>
  <definedNames>
    <definedName name="_xlcn.WorksheetConnection_Merged_Swiggy_50rows.xlsxM_AGENT_NAME1" hidden="1">M_AGENT_NAME[]</definedName>
    <definedName name="_xlcn.WorksheetConnection_Merged_Swiggy_50rows.xlsxM_AGENT_VEH_TYPE1" hidden="1">M_AGENT_VEH_TYPE[]</definedName>
    <definedName name="_xlcn.WorksheetConnection_Merged_Swiggy_50rows.xlsxM_CUST_EMAIL1" hidden="1">M_CUST_EMAIL[]</definedName>
    <definedName name="_xlcn.WorksheetConnection_Merged_Swiggy_50rows.xlsxM_CUST_LOC1" hidden="1">M_CUST_LOC[]</definedName>
    <definedName name="_xlcn.WorksheetConnection_Merged_Swiggy_50rows.xlsxM_CUST_MOB1" hidden="1">M_CUST_MOB[]</definedName>
    <definedName name="_xlcn.WorksheetConnection_Merged_Swiggy_50rows.xlsxM_Customer_Name1" hidden="1">M_Customer_Name[]</definedName>
    <definedName name="_xlcn.WorksheetConnection_Merged_Swiggy_50rows.xlsxM_FOOD_NAME1" hidden="1">M_FOOD_NAME[]</definedName>
    <definedName name="_xlcn.WorksheetConnection_Merged_Swiggy_50rows.xlsxM_FOOD_TYPE1" hidden="1">M_FOOD_TYPE[]</definedName>
    <definedName name="_xlcn.WorksheetConnection_Merged_Swiggy_50rows.xlsxM_PAYMENT_TYPE1" hidden="1">M_PAYMENT_TYPE[]</definedName>
    <definedName name="_xlcn.WorksheetConnection_Merged_Swiggy_50rows.xlsxM_REST_CAT1" hidden="1">M_REST_CAT[]</definedName>
    <definedName name="_xlcn.WorksheetConnection_Merged_Swiggy_50rows.xlsxM_REST_NAME1" hidden="1">M_REST_NAME[]</definedName>
    <definedName name="_xlcn.WorksheetConnection_Merged_Swiggy_50rows.xlsxSwiggy_Trans1" hidden="1">Swiggy_Trans[]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wiggy_Trans" name="Swiggy_Trans" connection="WorksheetConnection_Merged_Swiggy_50rows.xlsx!Swiggy_Trans"/>
          <x15:modelTable id="M_AGENT_NAME" name="M_AGENT_NAME" connection="WorksheetConnection_Merged_Swiggy_50rows.xlsx!M_AGENT_NAME"/>
          <x15:modelTable id="M_CUST_MOB" name="M_CUST_MOB" connection="WorksheetConnection_Merged_Swiggy_50rows.xlsx!M_CUST_MOB"/>
          <x15:modelTable id="M_CUST_EMAIL" name="M_CUST_EMAIL" connection="WorksheetConnection_Merged_Swiggy_50rows.xlsx!M_CUST_EMAIL"/>
          <x15:modelTable id="M_CUST_LOC" name="M_CUST_LOC" connection="WorksheetConnection_Merged_Swiggy_50rows.xlsx!M_CUST_LOC"/>
          <x15:modelTable id="M_REST_NAME" name="M_REST_NAME" connection="WorksheetConnection_Merged_Swiggy_50rows.xlsx!M_REST_NAME"/>
          <x15:modelTable id="M_REST_CAT" name="M_REST_CAT" connection="WorksheetConnection_Merged_Swiggy_50rows.xlsx!M_REST_CAT"/>
          <x15:modelTable id="M_FOOD_NAME" name="M_FOOD_NAME" connection="WorksheetConnection_Merged_Swiggy_50rows.xlsx!M_FOOD_NAME"/>
          <x15:modelTable id="M_FOOD_TYPE" name="M_FOOD_TYPE" connection="WorksheetConnection_Merged_Swiggy_50rows.xlsx!M_FOOD_TYPE"/>
          <x15:modelTable id="M_PAYMENT_TYPE" name="M_PAYMENT_TYPE" connection="WorksheetConnection_Merged_Swiggy_50rows.xlsx!M_PAYMENT_TYPE"/>
          <x15:modelTable id="M_Customer_Name" name="M_Customer_Name" connection="WorksheetConnection_Merged_Swiggy_50rows.xlsx!M_Customer_Name"/>
          <x15:modelTable id="M_AGENT_VEH_TYPE" name="M_AGENT_VEH_TYPE" connection="WorksheetConnection_Merged_Swiggy_50rows.xlsx!M_AGENT_VEH_TYPE"/>
        </x15:modelTables>
        <x15:modelRelationships>
          <x15:modelRelationship fromTable="Swiggy_Trans" fromColumn="Customer_Mobile_Num" toTable="M_CUST_MOB" toColumn="Cust_mobile_Num_Id"/>
          <x15:modelRelationship fromTable="Swiggy_Trans" fromColumn="Customer_Email" toTable="M_CUST_EMAIL" toColumn="Cust_Email_Id"/>
          <x15:modelRelationship fromTable="Swiggy_Trans" fromColumn="Customer_Location" toTable="M_CUST_LOC" toColumn="Cust_Location_Id"/>
          <x15:modelRelationship fromTable="Swiggy_Trans" fromColumn="Restaurant_Name" toTable="M_REST_NAME" toColumn="Rest_Id"/>
          <x15:modelRelationship fromTable="Swiggy_Trans" fromColumn="Restaurant_Category" toTable="M_REST_CAT" toColumn="Rest_Category_Id"/>
          <x15:modelRelationship fromTable="Swiggy_Trans" fromColumn="Food_Name" toTable="M_FOOD_NAME" toColumn="Food_Name_Id"/>
          <x15:modelRelationship fromTable="Swiggy_Trans" fromColumn="Food_Type" toTable="M_FOOD_TYPE" toColumn="Food_Type_Id"/>
          <x15:modelRelationship fromTable="Swiggy_Trans" fromColumn="PAYMENT_TYPE" toTable="M_PAYMENT_TYPE" toColumn="Payment_Type_Id"/>
          <x15:modelRelationship fromTable="Swiggy_Trans" fromColumn="Customer_Name" toTable="M_Customer_Name" toColumn="Cust_Id"/>
          <x15:modelRelationship fromTable="Swiggy_Trans" fromColumn="Agent_Name" toTable="M_AGENT_NAME" toColumn="Agent_Id"/>
          <x15:modelRelationship fromTable="Swiggy_Trans" fromColumn="Agent_Vechical_Type" toTable="M_AGENT_VEH_TYPE" toColumn="Agent_vechical_Id"/>
        </x15:modelRelationships>
      </x15:dataModel>
    </ext>
  </extLst>
</workbook>
</file>

<file path=xl/calcChain.xml><?xml version="1.0" encoding="utf-8"?>
<calcChain xmlns="http://schemas.openxmlformats.org/spreadsheetml/2006/main">
  <c r="AJ92" i="2" l="1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91" i="2"/>
  <c r="W9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K6" i="1"/>
  <c r="AE9" i="1"/>
  <c r="AE4" i="1"/>
  <c r="AE2" i="1"/>
  <c r="K8" i="1"/>
  <c r="AE32" i="1"/>
  <c r="K2" i="1"/>
  <c r="K5" i="1"/>
  <c r="AE45" i="1"/>
  <c r="K31" i="1"/>
  <c r="K42" i="1"/>
  <c r="AE28" i="1"/>
  <c r="K22" i="1"/>
  <c r="K28" i="1"/>
  <c r="AE33" i="1"/>
  <c r="AE51" i="1"/>
  <c r="AE6" i="1"/>
  <c r="K39" i="1"/>
  <c r="K7" i="1"/>
  <c r="K14" i="1"/>
  <c r="K12" i="1"/>
  <c r="K27" i="1"/>
  <c r="K36" i="1"/>
  <c r="AE47" i="1"/>
  <c r="K43" i="1"/>
  <c r="K21" i="1"/>
  <c r="K34" i="1"/>
  <c r="AE40" i="1"/>
  <c r="K38" i="1"/>
  <c r="AE34" i="1"/>
  <c r="AE19" i="1"/>
  <c r="K16" i="1"/>
  <c r="AE26" i="1"/>
  <c r="K32" i="1"/>
  <c r="AE50" i="1"/>
  <c r="AE44" i="1"/>
  <c r="K35" i="1"/>
  <c r="K26" i="1"/>
  <c r="AE39" i="1"/>
  <c r="K20" i="1"/>
  <c r="AE14" i="1"/>
  <c r="AE35" i="1"/>
  <c r="K49" i="1"/>
  <c r="K24" i="1"/>
  <c r="K45" i="1"/>
  <c r="K37" i="1"/>
  <c r="K30" i="1"/>
  <c r="AE15" i="1"/>
  <c r="K40" i="1"/>
  <c r="AE37" i="1"/>
  <c r="AE7" i="1"/>
  <c r="AE48" i="1"/>
  <c r="K17" i="1"/>
  <c r="AE18" i="1"/>
  <c r="AE12" i="1"/>
  <c r="K15" i="1"/>
  <c r="AE23" i="1"/>
  <c r="K19" i="1"/>
  <c r="AE10" i="1"/>
  <c r="K44" i="1"/>
  <c r="K4" i="1"/>
  <c r="AE3" i="1"/>
  <c r="K41" i="1"/>
  <c r="AE46" i="1"/>
  <c r="AE31" i="1"/>
  <c r="K25" i="1"/>
  <c r="AE27" i="1"/>
  <c r="K13" i="1"/>
  <c r="K10" i="1"/>
  <c r="K48" i="1"/>
  <c r="AE36" i="1"/>
  <c r="AE42" i="1"/>
  <c r="AE25" i="1"/>
  <c r="K3" i="1"/>
  <c r="K11" i="1"/>
  <c r="AE17" i="1"/>
  <c r="K9" i="1"/>
  <c r="K50" i="1"/>
  <c r="AE16" i="1"/>
  <c r="K18" i="1"/>
  <c r="AE22" i="1"/>
  <c r="AE38" i="1"/>
  <c r="K46" i="1"/>
  <c r="AE13" i="1"/>
  <c r="AE49" i="1"/>
  <c r="AE21" i="1"/>
  <c r="K47" i="1"/>
  <c r="AE43" i="1"/>
  <c r="AE8" i="1"/>
  <c r="AE20" i="1"/>
  <c r="K29" i="1"/>
  <c r="AE5" i="1"/>
  <c r="AE11" i="1"/>
  <c r="AE30" i="1"/>
  <c r="K51" i="1"/>
  <c r="AE41" i="1"/>
  <c r="K23" i="1"/>
  <c r="AE29" i="1"/>
  <c r="K33" i="1"/>
  <c r="AE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8918C-B81F-4A8B-842D-9D71ADEE68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B82D9CF-70BE-435D-9A57-C392013DE8E3}" name="WorksheetConnection_Merged_Swiggy_50rows.xlsx!M_AGENT_NAME" type="102" refreshedVersion="8" minRefreshableVersion="5">
    <extLst>
      <ext xmlns:x15="http://schemas.microsoft.com/office/spreadsheetml/2010/11/main" uri="{DE250136-89BD-433C-8126-D09CA5730AF9}">
        <x15:connection id="M_AGENT_NAME">
          <x15:rangePr sourceName="_xlcn.WorksheetConnection_Merged_Swiggy_50rows.xlsxM_AGENT_NAME1"/>
        </x15:connection>
      </ext>
    </extLst>
  </connection>
  <connection id="3" xr16:uid="{5AD12741-05B9-4DC0-956E-2503D579EBD2}" name="WorksheetConnection_Merged_Swiggy_50rows.xlsx!M_AGENT_VEH_TYPE" type="102" refreshedVersion="8" minRefreshableVersion="5">
    <extLst>
      <ext xmlns:x15="http://schemas.microsoft.com/office/spreadsheetml/2010/11/main" uri="{DE250136-89BD-433C-8126-D09CA5730AF9}">
        <x15:connection id="M_AGENT_VEH_TYPE">
          <x15:rangePr sourceName="_xlcn.WorksheetConnection_Merged_Swiggy_50rows.xlsxM_AGENT_VEH_TYPE1"/>
        </x15:connection>
      </ext>
    </extLst>
  </connection>
  <connection id="4" xr16:uid="{324C1D95-1127-4DA9-AF8C-3DA6435B6B67}" name="WorksheetConnection_Merged_Swiggy_50rows.xlsx!M_CUST_EMAIL" type="102" refreshedVersion="8" minRefreshableVersion="5">
    <extLst>
      <ext xmlns:x15="http://schemas.microsoft.com/office/spreadsheetml/2010/11/main" uri="{DE250136-89BD-433C-8126-D09CA5730AF9}">
        <x15:connection id="M_CUST_EMAIL">
          <x15:rangePr sourceName="_xlcn.WorksheetConnection_Merged_Swiggy_50rows.xlsxM_CUST_EMAIL1"/>
        </x15:connection>
      </ext>
    </extLst>
  </connection>
  <connection id="5" xr16:uid="{E8C8A46B-E517-4C90-A87B-D1E545995F8F}" name="WorksheetConnection_Merged_Swiggy_50rows.xlsx!M_CUST_LOC" type="102" refreshedVersion="8" minRefreshableVersion="5">
    <extLst>
      <ext xmlns:x15="http://schemas.microsoft.com/office/spreadsheetml/2010/11/main" uri="{DE250136-89BD-433C-8126-D09CA5730AF9}">
        <x15:connection id="M_CUST_LOC">
          <x15:rangePr sourceName="_xlcn.WorksheetConnection_Merged_Swiggy_50rows.xlsxM_CUST_LOC1"/>
        </x15:connection>
      </ext>
    </extLst>
  </connection>
  <connection id="6" xr16:uid="{1FD96E22-AD74-4D51-9C04-358401BF2AAC}" name="WorksheetConnection_Merged_Swiggy_50rows.xlsx!M_CUST_MOB" type="102" refreshedVersion="8" minRefreshableVersion="5">
    <extLst>
      <ext xmlns:x15="http://schemas.microsoft.com/office/spreadsheetml/2010/11/main" uri="{DE250136-89BD-433C-8126-D09CA5730AF9}">
        <x15:connection id="M_CUST_MOB">
          <x15:rangePr sourceName="_xlcn.WorksheetConnection_Merged_Swiggy_50rows.xlsxM_CUST_MOB1"/>
        </x15:connection>
      </ext>
    </extLst>
  </connection>
  <connection id="7" xr16:uid="{5F919739-BA1E-4765-A10F-1A4CBC96C11C}" name="WorksheetConnection_Merged_Swiggy_50rows.xlsx!M_Customer_Name" type="102" refreshedVersion="8" minRefreshableVersion="5">
    <extLst>
      <ext xmlns:x15="http://schemas.microsoft.com/office/spreadsheetml/2010/11/main" uri="{DE250136-89BD-433C-8126-D09CA5730AF9}">
        <x15:connection id="M_Customer_Name">
          <x15:rangePr sourceName="_xlcn.WorksheetConnection_Merged_Swiggy_50rows.xlsxM_Customer_Name1"/>
        </x15:connection>
      </ext>
    </extLst>
  </connection>
  <connection id="8" xr16:uid="{0931D9E3-F85E-4EA0-8E9D-17E1FD169D74}" name="WorksheetConnection_Merged_Swiggy_50rows.xlsx!M_FOOD_NAME" type="102" refreshedVersion="8" minRefreshableVersion="5">
    <extLst>
      <ext xmlns:x15="http://schemas.microsoft.com/office/spreadsheetml/2010/11/main" uri="{DE250136-89BD-433C-8126-D09CA5730AF9}">
        <x15:connection id="M_FOOD_NAME">
          <x15:rangePr sourceName="_xlcn.WorksheetConnection_Merged_Swiggy_50rows.xlsxM_FOOD_NAME1"/>
        </x15:connection>
      </ext>
    </extLst>
  </connection>
  <connection id="9" xr16:uid="{B12ABD1F-B5D1-4894-92D9-865F1D169AD4}" name="WorksheetConnection_Merged_Swiggy_50rows.xlsx!M_FOOD_TYPE" type="102" refreshedVersion="8" minRefreshableVersion="5">
    <extLst>
      <ext xmlns:x15="http://schemas.microsoft.com/office/spreadsheetml/2010/11/main" uri="{DE250136-89BD-433C-8126-D09CA5730AF9}">
        <x15:connection id="M_FOOD_TYPE">
          <x15:rangePr sourceName="_xlcn.WorksheetConnection_Merged_Swiggy_50rows.xlsxM_FOOD_TYPE1"/>
        </x15:connection>
      </ext>
    </extLst>
  </connection>
  <connection id="10" xr16:uid="{0C8D2DF0-2F87-4CDC-9563-3EA262EE093D}" name="WorksheetConnection_Merged_Swiggy_50rows.xlsx!M_PAYMENT_TYPE" type="102" refreshedVersion="8" minRefreshableVersion="5">
    <extLst>
      <ext xmlns:x15="http://schemas.microsoft.com/office/spreadsheetml/2010/11/main" uri="{DE250136-89BD-433C-8126-D09CA5730AF9}">
        <x15:connection id="M_PAYMENT_TYPE">
          <x15:rangePr sourceName="_xlcn.WorksheetConnection_Merged_Swiggy_50rows.xlsxM_PAYMENT_TYPE1"/>
        </x15:connection>
      </ext>
    </extLst>
  </connection>
  <connection id="11" xr16:uid="{CA2EE8CF-4DFD-4D58-B2A8-8838D9465620}" name="WorksheetConnection_Merged_Swiggy_50rows.xlsx!M_REST_CAT" type="102" refreshedVersion="8" minRefreshableVersion="5">
    <extLst>
      <ext xmlns:x15="http://schemas.microsoft.com/office/spreadsheetml/2010/11/main" uri="{DE250136-89BD-433C-8126-D09CA5730AF9}">
        <x15:connection id="M_REST_CAT">
          <x15:rangePr sourceName="_xlcn.WorksheetConnection_Merged_Swiggy_50rows.xlsxM_REST_CAT1"/>
        </x15:connection>
      </ext>
    </extLst>
  </connection>
  <connection id="12" xr16:uid="{6F1B9F53-A842-45DE-BF50-2EF175BFA227}" name="WorksheetConnection_Merged_Swiggy_50rows.xlsx!M_REST_NAME" type="102" refreshedVersion="8" minRefreshableVersion="5">
    <extLst>
      <ext xmlns:x15="http://schemas.microsoft.com/office/spreadsheetml/2010/11/main" uri="{DE250136-89BD-433C-8126-D09CA5730AF9}">
        <x15:connection id="M_REST_NAME">
          <x15:rangePr sourceName="_xlcn.WorksheetConnection_Merged_Swiggy_50rows.xlsxM_REST_NAME1"/>
        </x15:connection>
      </ext>
    </extLst>
  </connection>
  <connection id="13" xr16:uid="{ABD03CDA-3303-42DC-9E9D-EEE1E911AA19}" name="WorksheetConnection_Merged_Swiggy_50rows.xlsx!Swiggy_Trans" type="102" refreshedVersion="8" minRefreshableVersion="5">
    <extLst>
      <ext xmlns:x15="http://schemas.microsoft.com/office/spreadsheetml/2010/11/main" uri="{DE250136-89BD-433C-8126-D09CA5730AF9}">
        <x15:connection id="Swiggy_Trans">
          <x15:rangePr sourceName="_xlcn.WorksheetConnection_Merged_Swiggy_50rows.xlsxSwiggy_Trans1"/>
        </x15:connection>
      </ext>
    </extLst>
  </connection>
</connections>
</file>

<file path=xl/sharedStrings.xml><?xml version="1.0" encoding="utf-8"?>
<sst xmlns="http://schemas.openxmlformats.org/spreadsheetml/2006/main" count="1220" uniqueCount="444">
  <si>
    <t>Serial_No</t>
  </si>
  <si>
    <t>Order_ID</t>
  </si>
  <si>
    <t>Order_Date</t>
  </si>
  <si>
    <t>Customer_Name</t>
  </si>
  <si>
    <t>Customer_Phone</t>
  </si>
  <si>
    <t>Customer_Email</t>
  </si>
  <si>
    <t>City</t>
  </si>
  <si>
    <t>Area</t>
  </si>
  <si>
    <t>Pincode</t>
  </si>
  <si>
    <t>Restaurant_ID</t>
  </si>
  <si>
    <t>Restaurant_Name</t>
  </si>
  <si>
    <t>Cuisine_Type</t>
  </si>
  <si>
    <t>Restaurant_Rating</t>
  </si>
  <si>
    <t>Food_Name</t>
  </si>
  <si>
    <t>Food_Category</t>
  </si>
  <si>
    <t>Quantity</t>
  </si>
  <si>
    <t>Unit_Price</t>
  </si>
  <si>
    <t>Final_Price</t>
  </si>
  <si>
    <t>Payment_Method</t>
  </si>
  <si>
    <t>Payment_Provider</t>
  </si>
  <si>
    <t>Subtotal_Amount</t>
  </si>
  <si>
    <t>Discount_Amount</t>
  </si>
  <si>
    <t>Total_Amount</t>
  </si>
  <si>
    <t>DeliveryPartner_Name</t>
  </si>
  <si>
    <t>DeliveryPartner_Phone</t>
  </si>
  <si>
    <t>Vehicle_Type</t>
  </si>
  <si>
    <t>Offer_Code</t>
  </si>
  <si>
    <t>Offer_Type</t>
  </si>
  <si>
    <t>Offer_Discount</t>
  </si>
  <si>
    <t>Order_Status</t>
  </si>
  <si>
    <t>Package_Type</t>
  </si>
  <si>
    <t>2025-11-10</t>
  </si>
  <si>
    <t>2025-10-11</t>
  </si>
  <si>
    <t>2025-10-13</t>
  </si>
  <si>
    <t>2025-10-05</t>
  </si>
  <si>
    <t>2025-10-08</t>
  </si>
  <si>
    <t>2025-10-03</t>
  </si>
  <si>
    <t>2025-10-30</t>
  </si>
  <si>
    <t>2025-11-11</t>
  </si>
  <si>
    <t>2025-09-25</t>
  </si>
  <si>
    <t>2025-10-16</t>
  </si>
  <si>
    <t>2025-10-12</t>
  </si>
  <si>
    <t>2025-09-30</t>
  </si>
  <si>
    <t>2025-11-13</t>
  </si>
  <si>
    <t>2025-10-25</t>
  </si>
  <si>
    <t>2025-10-17</t>
  </si>
  <si>
    <t>2025-10-22</t>
  </si>
  <si>
    <t>2025-10-20</t>
  </si>
  <si>
    <t>2025-10-06</t>
  </si>
  <si>
    <t>2025-11-03</t>
  </si>
  <si>
    <t>2025-10-14</t>
  </si>
  <si>
    <t>2025-09-28</t>
  </si>
  <si>
    <t>2025-10-27</t>
  </si>
  <si>
    <t>2025-10-23</t>
  </si>
  <si>
    <t>2025-11-18</t>
  </si>
  <si>
    <t>2025-11-05</t>
  </si>
  <si>
    <t>2025-11-01</t>
  </si>
  <si>
    <t>2025-09-23</t>
  </si>
  <si>
    <t>2025-10-31</t>
  </si>
  <si>
    <t>2025-11-16</t>
  </si>
  <si>
    <t>2025-10-07</t>
  </si>
  <si>
    <t>2025-11-02</t>
  </si>
  <si>
    <t>2025-10-18</t>
  </si>
  <si>
    <t>2025-10-26</t>
  </si>
  <si>
    <t>2025-10-04</t>
  </si>
  <si>
    <t>2025-10-28</t>
  </si>
  <si>
    <t>2025-09-26</t>
  </si>
  <si>
    <t>2025-11-08</t>
  </si>
  <si>
    <t>Pooja</t>
  </si>
  <si>
    <t>Rohit</t>
  </si>
  <si>
    <t>Manish</t>
  </si>
  <si>
    <t>Arjun</t>
  </si>
  <si>
    <t>Kiran</t>
  </si>
  <si>
    <t>Suman</t>
  </si>
  <si>
    <t>Lakshmi</t>
  </si>
  <si>
    <t>Divya</t>
  </si>
  <si>
    <t>Sneha</t>
  </si>
  <si>
    <t>Ravi</t>
  </si>
  <si>
    <t>9557769786</t>
  </si>
  <si>
    <t>9401620692</t>
  </si>
  <si>
    <t>9970885775</t>
  </si>
  <si>
    <t>9581937575</t>
  </si>
  <si>
    <t>9483142100</t>
  </si>
  <si>
    <t>9788187845</t>
  </si>
  <si>
    <t>9966791574</t>
  </si>
  <si>
    <t>9363600067</t>
  </si>
  <si>
    <t>9502699634</t>
  </si>
  <si>
    <t>9703973274</t>
  </si>
  <si>
    <t>9587026327</t>
  </si>
  <si>
    <t>9265680719</t>
  </si>
  <si>
    <t>9615706500</t>
  </si>
  <si>
    <t>9751925659</t>
  </si>
  <si>
    <t>9472616986</t>
  </si>
  <si>
    <t>9410473499</t>
  </si>
  <si>
    <t>9398713750</t>
  </si>
  <si>
    <t>9731479037</t>
  </si>
  <si>
    <t>9368285746</t>
  </si>
  <si>
    <t>9985336090</t>
  </si>
  <si>
    <t>9138160309</t>
  </si>
  <si>
    <t>9779913160</t>
  </si>
  <si>
    <t>9631501647</t>
  </si>
  <si>
    <t>9849977268</t>
  </si>
  <si>
    <t>9216606439</t>
  </si>
  <si>
    <t>9411305306</t>
  </si>
  <si>
    <t>9215770027</t>
  </si>
  <si>
    <t>9944159946</t>
  </si>
  <si>
    <t>9996871724</t>
  </si>
  <si>
    <t>9448194620</t>
  </si>
  <si>
    <t>9898503357</t>
  </si>
  <si>
    <t>9163745324</t>
  </si>
  <si>
    <t>9741492230</t>
  </si>
  <si>
    <t>9489304718</t>
  </si>
  <si>
    <t>9795136191</t>
  </si>
  <si>
    <t>9334757079</t>
  </si>
  <si>
    <t>9278089155</t>
  </si>
  <si>
    <t>9163700467</t>
  </si>
  <si>
    <t>9584187267</t>
  </si>
  <si>
    <t>9848427531</t>
  </si>
  <si>
    <t>9336774832</t>
  </si>
  <si>
    <t>9193177614</t>
  </si>
  <si>
    <t>9651107786</t>
  </si>
  <si>
    <t>9214895573</t>
  </si>
  <si>
    <t>9851693163</t>
  </si>
  <si>
    <t>9193957162</t>
  </si>
  <si>
    <t>9483071359</t>
  </si>
  <si>
    <t>9166387616</t>
  </si>
  <si>
    <t>9577089533</t>
  </si>
  <si>
    <t>9718454210</t>
  </si>
  <si>
    <t>user1@gmail.com</t>
  </si>
  <si>
    <t>user2@gmail.com</t>
  </si>
  <si>
    <t>user3@gmail.com</t>
  </si>
  <si>
    <t>user4@gmail.com</t>
  </si>
  <si>
    <t>user5@gmail.com</t>
  </si>
  <si>
    <t>user6@gmail.com</t>
  </si>
  <si>
    <t>user7@gmail.com</t>
  </si>
  <si>
    <t>user8@gmail.com</t>
  </si>
  <si>
    <t>user9@gmail.com</t>
  </si>
  <si>
    <t>user10@gmail.com</t>
  </si>
  <si>
    <t>user11@gmail.com</t>
  </si>
  <si>
    <t>user12@gmail.com</t>
  </si>
  <si>
    <t>user13@gmail.com</t>
  </si>
  <si>
    <t>user14@gmail.com</t>
  </si>
  <si>
    <t>user15@gmail.com</t>
  </si>
  <si>
    <t>user16@gmail.com</t>
  </si>
  <si>
    <t>user17@gmail.com</t>
  </si>
  <si>
    <t>user18@gmail.com</t>
  </si>
  <si>
    <t>user19@gmail.com</t>
  </si>
  <si>
    <t>user20@gmail.com</t>
  </si>
  <si>
    <t>user21@gmail.com</t>
  </si>
  <si>
    <t>user22@gmail.com</t>
  </si>
  <si>
    <t>user23@gmail.com</t>
  </si>
  <si>
    <t>user24@gmail.com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</si>
  <si>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</si>
  <si>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</si>
  <si>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</si>
  <si>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</si>
  <si>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</si>
  <si>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</si>
  <si>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</si>
  <si>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</si>
  <si>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</si>
  <si>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</si>
  <si>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</si>
  <si>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user36@gmail.com</t>
  </si>
  <si>
    <t>user37@gmail.com</t>
  </si>
  <si>
    <t>user38@gmail.com</t>
  </si>
  <si>
    <t>user39@gmail.com</t>
  </si>
  <si>
    <t>user40@gmail.com</t>
  </si>
  <si>
    <t>user41@gmail.com</t>
  </si>
  <si>
    <t>user42@gmail.com</t>
  </si>
  <si>
    <t>user43@gmail.com</t>
  </si>
  <si>
    <t>user44@gmail.com</t>
  </si>
  <si>
    <t>user45@gmail.com</t>
  </si>
  <si>
    <t>user46@gmail.com</t>
  </si>
  <si>
    <t>user47@gmail.com</t>
  </si>
  <si>
    <t>user48@gmail.com</t>
  </si>
  <si>
    <t>user49@gmail.com</t>
  </si>
  <si>
    <t>user50@gmail.com</t>
  </si>
  <si>
    <t>Bangalore</t>
  </si>
  <si>
    <t>Chennai</t>
  </si>
  <si>
    <t>Pune</t>
  </si>
  <si>
    <t>Mumbai</t>
  </si>
  <si>
    <t>Delhi</t>
  </si>
  <si>
    <t>Hyderabad</t>
  </si>
  <si>
    <t>Ameerpet</t>
  </si>
  <si>
    <t>Kukatpally</t>
  </si>
  <si>
    <t>Andheri</t>
  </si>
  <si>
    <t>Adyar</t>
  </si>
  <si>
    <t>Baner</t>
  </si>
  <si>
    <t>Whitefield</t>
  </si>
  <si>
    <t>Indian</t>
  </si>
  <si>
    <t>Italian</t>
  </si>
  <si>
    <t>Chinese</t>
  </si>
  <si>
    <t>Bakery</t>
  </si>
  <si>
    <t>Snacks</t>
  </si>
  <si>
    <t>Dessert</t>
  </si>
  <si>
    <t>Pizza</t>
  </si>
  <si>
    <t>Drinks</t>
  </si>
  <si>
    <t>Biryani</t>
  </si>
  <si>
    <t>Card</t>
  </si>
  <si>
    <t>Cash</t>
  </si>
  <si>
    <t>UPI</t>
  </si>
  <si>
    <t>GPay</t>
  </si>
  <si>
    <t>PhonePe</t>
  </si>
  <si>
    <t>Visa</t>
  </si>
  <si>
    <t>Paytm</t>
  </si>
  <si>
    <t>8513168906</t>
  </si>
  <si>
    <t>8740009303</t>
  </si>
  <si>
    <t>8573036715</t>
  </si>
  <si>
    <t>8473159851</t>
  </si>
  <si>
    <t>8746308246</t>
  </si>
  <si>
    <t>8211184707</t>
  </si>
  <si>
    <t>8339572336</t>
  </si>
  <si>
    <t>8985927991</t>
  </si>
  <si>
    <t>8739450329</t>
  </si>
  <si>
    <t>8254047277</t>
  </si>
  <si>
    <t>8667462758</t>
  </si>
  <si>
    <t>8500336078</t>
  </si>
  <si>
    <t>8768227641</t>
  </si>
  <si>
    <t>8644190584</t>
  </si>
  <si>
    <t>8978905996</t>
  </si>
  <si>
    <t>8751858868</t>
  </si>
  <si>
    <t>8387298679</t>
  </si>
  <si>
    <t>8373475650</t>
  </si>
  <si>
    <t>8725275270</t>
  </si>
  <si>
    <t>8718490157</t>
  </si>
  <si>
    <t>8802113315</t>
  </si>
  <si>
    <t>8558432691</t>
  </si>
  <si>
    <t>8663417915</t>
  </si>
  <si>
    <t>8217502382</t>
  </si>
  <si>
    <t>8354076291</t>
  </si>
  <si>
    <t>8850914581</t>
  </si>
  <si>
    <t>8767442068</t>
  </si>
  <si>
    <t>8961241151</t>
  </si>
  <si>
    <t>8125397209</t>
  </si>
  <si>
    <t>8108059105</t>
  </si>
  <si>
    <t>8365086578</t>
  </si>
  <si>
    <t>8722416577</t>
  </si>
  <si>
    <t>8274293222</t>
  </si>
  <si>
    <t>8827355133</t>
  </si>
  <si>
    <t>8905607866</t>
  </si>
  <si>
    <t>8106024859</t>
  </si>
  <si>
    <t>8776259787</t>
  </si>
  <si>
    <t>8822728368</t>
  </si>
  <si>
    <t>8717041984</t>
  </si>
  <si>
    <t>8602388110</t>
  </si>
  <si>
    <t>8489286820</t>
  </si>
  <si>
    <t>8625396173</t>
  </si>
  <si>
    <t>8909154804</t>
  </si>
  <si>
    <t>8775313441</t>
  </si>
  <si>
    <t>8795484994</t>
  </si>
  <si>
    <t>8327004935</t>
  </si>
  <si>
    <t>8550278721</t>
  </si>
  <si>
    <t>8381935586</t>
  </si>
  <si>
    <t>8361976719</t>
  </si>
  <si>
    <t>8692341951</t>
  </si>
  <si>
    <t>Scooter</t>
  </si>
  <si>
    <t>Bike</t>
  </si>
  <si>
    <t>OFF10</t>
  </si>
  <si>
    <t>OFF5</t>
  </si>
  <si>
    <t>OFF3</t>
  </si>
  <si>
    <t>OFF9</t>
  </si>
  <si>
    <t>OFF7</t>
  </si>
  <si>
    <t>OFF6</t>
  </si>
  <si>
    <t>OFF4</t>
  </si>
  <si>
    <t>OFF1</t>
  </si>
  <si>
    <t>OFF2</t>
  </si>
  <si>
    <t>OFF8</t>
  </si>
  <si>
    <t>Flat</t>
  </si>
  <si>
    <t>Percent</t>
  </si>
  <si>
    <t>Delivered</t>
  </si>
  <si>
    <t>Packed</t>
  </si>
  <si>
    <t>Cancelled</t>
  </si>
  <si>
    <t>In-Transit</t>
  </si>
  <si>
    <t>Haldiram Bhujia</t>
  </si>
  <si>
    <t>Cold Coffee</t>
  </si>
  <si>
    <t>Gulab Jamun</t>
  </si>
  <si>
    <t>Hyderabadi Chicken Biryani</t>
  </si>
  <si>
    <t>Cup Cake</t>
  </si>
  <si>
    <t>Corn Cheese Balls</t>
  </si>
  <si>
    <t>Chicken Pepperoni Pizza</t>
  </si>
  <si>
    <t>Orange Juice</t>
  </si>
  <si>
    <t>Mutton Dum Biryani</t>
  </si>
  <si>
    <t>Butterscotch Ice Cream</t>
  </si>
  <si>
    <t>Cheese Burst Pizza</t>
  </si>
  <si>
    <t>Fresh Lime Soda</t>
  </si>
  <si>
    <t>Masala Fries</t>
  </si>
  <si>
    <t>Margherita Pizza</t>
  </si>
  <si>
    <t>Veg Spring Roll</t>
  </si>
  <si>
    <t>Red Velvet Pastry</t>
  </si>
  <si>
    <t>Iced Tea</t>
  </si>
  <si>
    <t>Veggie Supreme Pizza</t>
  </si>
  <si>
    <t>Sweet Lassi</t>
  </si>
  <si>
    <t>Egg Biryani</t>
  </si>
  <si>
    <t>Nachos with Salsa</t>
  </si>
  <si>
    <t>Domino’s Farmhouse Pizza</t>
  </si>
  <si>
    <t>Chocolate Mousse</t>
  </si>
  <si>
    <t>Special Chicken Biryani</t>
  </si>
  <si>
    <t>Pepsi</t>
  </si>
  <si>
    <t>Paneer Pakoda</t>
  </si>
  <si>
    <t>Paneer Tikka Pizza</t>
  </si>
  <si>
    <t>Fruit Custard</t>
  </si>
  <si>
    <t>Aloo Samosa</t>
  </si>
  <si>
    <t>Veg Momos</t>
  </si>
  <si>
    <t>Classic Italian Pizza</t>
  </si>
  <si>
    <t>Falooda</t>
  </si>
  <si>
    <t>Badam Milk</t>
  </si>
  <si>
    <t>Blueberry Cheesecake</t>
  </si>
  <si>
    <t>Chicken Momos</t>
  </si>
  <si>
    <t>Hyderabadi Veg Biryani</t>
  </si>
  <si>
    <t>Garlic Bread</t>
  </si>
  <si>
    <t>Tender Coconut Water</t>
  </si>
  <si>
    <t>Peri Peri Fries</t>
  </si>
  <si>
    <t>BBQ Chicken Pizza</t>
  </si>
  <si>
    <t>Veg Sandwich</t>
  </si>
  <si>
    <t>Rasmalai</t>
  </si>
  <si>
    <t>Chicken Tandoori Pizza</t>
  </si>
  <si>
    <t>Kaju Katli</t>
  </si>
  <si>
    <t>Chicken Nuggets</t>
  </si>
  <si>
    <t>Mojito</t>
  </si>
  <si>
    <t>Spicy Dum Biryani</t>
  </si>
  <si>
    <t>Coca Cola</t>
  </si>
  <si>
    <t>Choco Brownie</t>
  </si>
  <si>
    <t>Paneer Biryani</t>
  </si>
  <si>
    <t>DEL442_ANDHERI</t>
  </si>
  <si>
    <t>DEL010_AMEERPET</t>
  </si>
  <si>
    <t>CHE501_BANER</t>
  </si>
  <si>
    <t>BLR794_AMEERPET</t>
  </si>
  <si>
    <t>Truffles</t>
  </si>
  <si>
    <t>DEL700_WHITEFIELD</t>
  </si>
  <si>
    <t>BLR761_ADYAR</t>
  </si>
  <si>
    <t>DEL383_BANER</t>
  </si>
  <si>
    <t>CHE843_WHITEFIELD</t>
  </si>
  <si>
    <t>HYD581_BANER</t>
  </si>
  <si>
    <t>Paradise</t>
  </si>
  <si>
    <t>DEL842_ANDHERI</t>
  </si>
  <si>
    <t>DEL553_AMEERPET</t>
  </si>
  <si>
    <t>PUN198_ADYAR</t>
  </si>
  <si>
    <t>DEL509_ADYAR</t>
  </si>
  <si>
    <t>HYD241_KUKATPALLY</t>
  </si>
  <si>
    <t>Pista House</t>
  </si>
  <si>
    <t>HYD712_ANDHERI</t>
  </si>
  <si>
    <t>HYD294_AMEERPET</t>
  </si>
  <si>
    <t>Chutneys</t>
  </si>
  <si>
    <t>PUN098_AMEERPET</t>
  </si>
  <si>
    <t>MUM214_KUKATPALLY</t>
  </si>
  <si>
    <t>Barbeque Nation</t>
  </si>
  <si>
    <t>BLR153_WHITEFIELD</t>
  </si>
  <si>
    <t>DEL670_BANER</t>
  </si>
  <si>
    <t>PUN649_KUKATPALLY</t>
  </si>
  <si>
    <t>Cream Stone</t>
  </si>
  <si>
    <t>PUN110_AMEERPET</t>
  </si>
  <si>
    <t>PUN133_AMEERPET</t>
  </si>
  <si>
    <t>MUM527_AMEERPET</t>
  </si>
  <si>
    <t>PUN255_AMEERPET</t>
  </si>
  <si>
    <t>PUN722_KUKATPALLY</t>
  </si>
  <si>
    <t>PUN833_AMEERPET</t>
  </si>
  <si>
    <t>DEL037_KUKATPALLY</t>
  </si>
  <si>
    <t>PUN029_WHITEFIELD</t>
  </si>
  <si>
    <t>PUN667_BANER</t>
  </si>
  <si>
    <t>CHE049_AMEERPET</t>
  </si>
  <si>
    <t>CHE278_BANER</t>
  </si>
  <si>
    <t>MUM745_AMEERPET</t>
  </si>
  <si>
    <t>Kailash Parbat</t>
  </si>
  <si>
    <t>HYD288_ADYAR</t>
  </si>
  <si>
    <t>PUN386_ANDHERI</t>
  </si>
  <si>
    <t>HYD381_BANER</t>
  </si>
  <si>
    <t>HYD334_WHITEFIELD</t>
  </si>
  <si>
    <t>Arjun Reddy</t>
  </si>
  <si>
    <t>arjun@gmail.com</t>
  </si>
  <si>
    <t>Chicken Biryani</t>
  </si>
  <si>
    <t>Sneha Kapoor</t>
  </si>
  <si>
    <t>sneha@gmail.com</t>
  </si>
  <si>
    <t>Farmhouse Pizza</t>
  </si>
  <si>
    <t>Manish Verma</t>
  </si>
  <si>
    <t>manish@gmail.com</t>
  </si>
  <si>
    <t>Mutton Biryani</t>
  </si>
  <si>
    <t>Divya Rao</t>
  </si>
  <si>
    <t>divya@gmail.com</t>
  </si>
  <si>
    <t>Chocolate Brownie</t>
  </si>
  <si>
    <t>Rohit Sharma</t>
  </si>
  <si>
    <t>rohit@gmail.com</t>
  </si>
  <si>
    <t>Grilled Chicken</t>
  </si>
  <si>
    <t>Haleem</t>
  </si>
  <si>
    <t>Pav Bhaji</t>
  </si>
  <si>
    <t>Death By Chocolate</t>
  </si>
  <si>
    <t>Idli Sambar</t>
  </si>
  <si>
    <t>Veg Burger</t>
  </si>
  <si>
    <t>Cafe Coffee Day</t>
  </si>
  <si>
    <t>S.No</t>
  </si>
  <si>
    <t>Customer_Mobile_Num</t>
  </si>
  <si>
    <t>Restaurant_Category</t>
  </si>
  <si>
    <t>Food_Type</t>
  </si>
  <si>
    <t>PAYMENT_TYPE</t>
  </si>
  <si>
    <t>Ordered_Date</t>
  </si>
  <si>
    <t>Raju</t>
  </si>
  <si>
    <t>Sanju</t>
  </si>
  <si>
    <t>madan</t>
  </si>
  <si>
    <t>pushpa</t>
  </si>
  <si>
    <t>sirish</t>
  </si>
  <si>
    <t>gireesh</t>
  </si>
  <si>
    <t>bheem</t>
  </si>
  <si>
    <t>ganeshan</t>
  </si>
  <si>
    <t>Agent_Vechical_Type</t>
  </si>
  <si>
    <t>e-scooter</t>
  </si>
  <si>
    <t>cycle</t>
  </si>
  <si>
    <t>car</t>
  </si>
  <si>
    <t>auto</t>
  </si>
  <si>
    <t>bus</t>
  </si>
  <si>
    <t>Customer_Location</t>
  </si>
  <si>
    <t>chennai</t>
  </si>
  <si>
    <t>Dominos</t>
  </si>
  <si>
    <t>bengaluru</t>
  </si>
  <si>
    <t>delhi</t>
  </si>
  <si>
    <t>kolakata</t>
  </si>
  <si>
    <t>noida</t>
  </si>
  <si>
    <t>Cust_Mobile_Num</t>
  </si>
  <si>
    <t>Cust_Name</t>
  </si>
  <si>
    <t>Cust_Id</t>
  </si>
  <si>
    <t>Cust_mobile_Num_Id</t>
  </si>
  <si>
    <t>Cust_Email</t>
  </si>
  <si>
    <t>Cust_Email_Id</t>
  </si>
  <si>
    <t>Cust_Location</t>
  </si>
  <si>
    <t>Cust_Location_Id</t>
  </si>
  <si>
    <t>Noida</t>
  </si>
  <si>
    <t>Rest_Name</t>
  </si>
  <si>
    <t>Rest_Category</t>
  </si>
  <si>
    <t>Rest_Category_Id</t>
  </si>
  <si>
    <t>Food_Name_Id</t>
  </si>
  <si>
    <t>Food_Type_Id</t>
  </si>
  <si>
    <t>Payment_Type</t>
  </si>
  <si>
    <t>Payment_Type_Id</t>
  </si>
  <si>
    <t>Agent_Name</t>
  </si>
  <si>
    <t>Agent_Id</t>
  </si>
  <si>
    <t>Agent_vechical_Id</t>
  </si>
  <si>
    <t>Order_Id</t>
  </si>
  <si>
    <t>Arj210</t>
  </si>
  <si>
    <t>Sne780</t>
  </si>
  <si>
    <t>Man655</t>
  </si>
  <si>
    <t>Div090</t>
  </si>
  <si>
    <t>Roh109</t>
  </si>
  <si>
    <t>SWIGGY_DATA_TABLE</t>
  </si>
  <si>
    <t>Master_Data_Tables</t>
  </si>
  <si>
    <t>Rest_Id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</si>
</sst>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59999389629810485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5" borderId="6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4" fillId="7" borderId="11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0" fillId="3" borderId="3" xfId="0" applyFill="1" applyBorder="1"/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</cellXfs>
  <cellStyles count="1">
    <cellStyle name="Normal" xfId="0" builtinId="0"/>
  </cellStyles>
  <dxfs count="13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59999389629810485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theme="4" tint="0.59999389629810485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auto="1"/>
        </lef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739BA-90F7-4F01-839A-1A5564DA96E7}" name="Table1" displayName="Table1" ref="A1:AE51" totalsRowShown="0" headerRowDxfId="135" dataDxfId="133" headerRowBorderDxfId="134" tableBorderDxfId="132" totalsRowBorderDxfId="131">
  <autoFilter ref="A1:AE51" xr:uid="{D80739BA-90F7-4F01-839A-1A5564DA96E7}"/>
  <sortState xmlns:xlrd2="http://schemas.microsoft.com/office/spreadsheetml/2017/richdata2" ref="A2:AE51">
    <sortCondition ref="C1:C51"/>
  </sortState>
  <tableColumns count="31">
    <tableColumn id="1" xr3:uid="{722C6B16-A6D2-4276-B63F-8CCE327D988E}" name="Serial_No" dataDxfId="130"/>
    <tableColumn id="2" xr3:uid="{D706EE5C-44D6-4935-A4D1-79C618BD896B}" name="Order_ID" dataDxfId="129"/>
    <tableColumn id="3" xr3:uid="{679435F6-2E96-4580-A581-27E459B2A31B}" name="Order_Date" dataDxfId="128"/>
    <tableColumn id="4" xr3:uid="{AC8F65B9-2C85-4BD0-9625-98FDD8F633FC}" name="Customer_Name" dataDxfId="127"/>
    <tableColumn id="5" xr3:uid="{CA081BC9-A96F-42D8-8E90-D0B23D1E8A84}" name="Customer_Phone" dataDxfId="126"/>
    <tableColumn id="6" xr3:uid="{F9733351-B606-4C19-80FC-706900060826}" name="Customer_Email" dataDxfId="125"/>
    <tableColumn id="7" xr3:uid="{161F6B53-CD1D-4E73-9D58-3941E2B946AC}" name="City" dataDxfId="124"/>
    <tableColumn id="8" xr3:uid="{FE77030F-532E-4812-9C5E-67BDB6FB7A99}" name="Area" dataDxfId="123"/>
    <tableColumn id="9" xr3:uid="{266A26E0-60FE-4F72-B4E5-715BE5DAD3FB}" name="Pincode" dataDxfId="122"/>
    <tableColumn id="10" xr3:uid="{EC62A07E-7C23-4F09-B645-99E4C7D8C685}" name="Restaurant_ID" dataDxfId="121"/>
    <tableColumn id="11" xr3:uid="{336EACF3-AA68-4656-9692-5F7BC00FCC19}" name="Restaurant_Name" dataDxfId="120">
      <calculatedColumnFormula>SUBSTITUTE(Table1[Restaurant_Name],"’","")</calculatedColumnFormula>
    </tableColumn>
    <tableColumn id="12" xr3:uid="{9EA2C270-559E-4A1E-A082-F159366C252B}" name="Cuisine_Type" dataDxfId="119"/>
    <tableColumn id="13" xr3:uid="{C20AE8F5-773B-4E47-BD82-28344030DDA6}" name="Restaurant_Rating" dataDxfId="118"/>
    <tableColumn id="15" xr3:uid="{06284F98-C849-4A5F-B68F-4A7FB74D3E85}" name="Food_Name" dataDxfId="117"/>
    <tableColumn id="16" xr3:uid="{BFBE6255-C750-4691-A03A-3C9A7B4CCD25}" name="Food_Category" dataDxfId="116"/>
    <tableColumn id="17" xr3:uid="{2F598BA3-4EB6-498C-AE5C-C2E440F1F7F5}" name="Quantity" dataDxfId="115"/>
    <tableColumn id="18" xr3:uid="{10A28BDE-A8E7-4332-AD9F-DFB819E04EF7}" name="Unit_Price" dataDxfId="114"/>
    <tableColumn id="19" xr3:uid="{0CE8937D-F8DB-46A3-92CC-4AA3391D28B2}" name="Final_Price" dataDxfId="113"/>
    <tableColumn id="20" xr3:uid="{9E7D8F98-3B7C-49ED-B9A3-0E4159A8400D}" name="Payment_Method" dataDxfId="112"/>
    <tableColumn id="21" xr3:uid="{5069F554-E494-45B4-A739-7540397A93A1}" name="Payment_Provider" dataDxfId="111"/>
    <tableColumn id="22" xr3:uid="{DEA6BEAE-2DB0-4827-BB7C-11F0BCA3B0E0}" name="Subtotal_Amount" dataDxfId="110"/>
    <tableColumn id="23" xr3:uid="{965D2874-0F2A-4CDF-BCD4-F1BB1AE38F9F}" name="Discount_Amount" dataDxfId="109"/>
    <tableColumn id="24" xr3:uid="{DBA9E50C-520A-426A-B154-F1B22E53E4C3}" name="Total_Amount" dataDxfId="108"/>
    <tableColumn id="25" xr3:uid="{6F905104-F874-416E-9A17-236419A0827C}" name="DeliveryPartner_Name" dataDxfId="107"/>
    <tableColumn id="26" xr3:uid="{8DE8AB65-0C4A-4E95-B6A7-A0A4EE00CAD8}" name="DeliveryPartner_Phone" dataDxfId="106"/>
    <tableColumn id="27" xr3:uid="{3FDF1246-1F46-430F-95DE-27EA5D42368C}" name="Vehicle_Type" dataDxfId="105"/>
    <tableColumn id="28" xr3:uid="{1D2ACBDE-089B-4670-9019-78991A3415B8}" name="Offer_Code" dataDxfId="104"/>
    <tableColumn id="29" xr3:uid="{2ADE3F00-D866-4FCA-9BDD-E34401780810}" name="Offer_Type" dataDxfId="103"/>
    <tableColumn id="30" xr3:uid="{7CBC4346-EACB-420C-901A-5882BCBF2E2C}" name="Offer_Discount" dataDxfId="102"/>
    <tableColumn id="31" xr3:uid="{32809D06-5735-487F-BF33-95635D5414E1}" name="Order_Status" dataDxfId="101"/>
    <tableColumn id="33" xr3:uid="{47FC7ABC-D4F9-4DCB-82C2-644A0CF82881}" name="Package_Type" dataDxfId="100">
      <calculatedColumnFormula>SUBSTITUTE(Table1[Package_Type],"Bottle","Parcel")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34074-2ED7-4D9C-9048-DFFDFF27C7BE}" name="Swiggy_Sales" displayName="Swiggy_Sales" ref="A1:P16" totalsRowShown="0" headerRowDxfId="99" dataDxfId="98">
  <autoFilter ref="A1:P16" xr:uid="{CC834074-2ED7-4D9C-9048-DFFDFF27C7BE}"/>
  <tableColumns count="16">
    <tableColumn id="1" xr3:uid="{B9057C17-D644-4665-BE91-22DEA15304DD}" name="S.No" dataDxfId="97"/>
    <tableColumn id="16" xr3:uid="{CC38F8F6-5D85-458E-99E7-B68FF6727DB7}" name="Order_Id" dataDxfId="96">
      <calculatedColumnFormula>TEXT(LEFT(Swiggy_Sales[[#This Row],[Customer_Name]],3)&amp;RIGHT(D2,3),"")</calculatedColumnFormula>
    </tableColumn>
    <tableColumn id="2" xr3:uid="{736902EE-1BBE-443B-862B-D88B3220D5FC}" name="Customer_Name" dataDxfId="95"/>
    <tableColumn id="3" xr3:uid="{46FFBF1B-A238-43B7-8DBA-228BF2A48825}" name="Customer_Mobile_Num" dataDxfId="94"/>
    <tableColumn id="4" xr3:uid="{933C0C7C-D898-41C1-BF81-7C05D01046F6}" name="Customer_Email" dataDxfId="93"/>
    <tableColumn id="15" xr3:uid="{FE4BE3CB-6650-45D4-B505-E837765C36BF}" name="Customer_Location" dataDxfId="92"/>
    <tableColumn id="5" xr3:uid="{443BB924-27C7-4B56-A026-7A54BA23CAA0}" name="Restaurant_Name" dataDxfId="91"/>
    <tableColumn id="6" xr3:uid="{552D92F7-2074-420C-BB2D-0249FE8D5E72}" name="Restaurant_Category" dataDxfId="90"/>
    <tableColumn id="7" xr3:uid="{C24CE727-B4CD-47F3-8A62-9D91986C2241}" name="Food_Name" dataDxfId="89"/>
    <tableColumn id="8" xr3:uid="{96E23D9F-82CC-40BF-A8FF-24EC3C4A0984}" name="Food_Type" dataDxfId="88"/>
    <tableColumn id="9" xr3:uid="{7C69653F-C4F5-482B-ABE4-A393F06CFFED}" name="PAYMENT_TYPE" dataDxfId="87"/>
    <tableColumn id="10" xr3:uid="{C907876F-6C1B-4E97-A535-406A2AF6A4FF}" name="Quantity" dataDxfId="86"/>
    <tableColumn id="11" xr3:uid="{B7889C6B-35B3-4F01-8ABB-D013DE74A251}" name="Final_Price" dataDxfId="85"/>
    <tableColumn id="12" xr3:uid="{502A029F-E3B9-412D-BA72-242CF0B603C5}" name="Ordered_Date" dataDxfId="84"/>
    <tableColumn id="13" xr3:uid="{15544EDB-C5D9-460B-B508-E161745AA6E2}" name="Agent_Name" dataDxfId="83"/>
    <tableColumn id="14" xr3:uid="{79B94052-32EA-4711-91B8-5BCC4AA930BA}" name="Agent_Vechical_Type" dataDxfId="8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F751EE-F01D-4C88-9F43-3F14B80E48C3}" name="M_Customer_Name" displayName="M_Customer_Name" ref="D24:E29" totalsRowShown="0" headerRowDxfId="81" dataDxfId="79" headerRowBorderDxfId="80" tableBorderDxfId="78" totalsRowBorderDxfId="77">
  <autoFilter ref="D24:E29" xr:uid="{F3F751EE-F01D-4C88-9F43-3F14B80E48C3}"/>
  <tableColumns count="2">
    <tableColumn id="1" xr3:uid="{16A71099-F6EE-4ACA-9065-2590CE961764}" name="Cust_Name" dataDxfId="76"/>
    <tableColumn id="2" xr3:uid="{84EBE004-9366-468A-96FE-6809A1D796AA}" name="Cust_Id" dataDxfId="7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D32467-AED7-4FC4-8B18-187B0EFF36EA}" name="M_CUST_MOB" displayName="M_CUST_MOB" ref="G24:H29" totalsRowShown="0" headerRowDxfId="74" headerRowBorderDxfId="73" tableBorderDxfId="72" totalsRowBorderDxfId="71">
  <autoFilter ref="G24:H29" xr:uid="{CED32467-AED7-4FC4-8B18-187B0EFF36EA}"/>
  <tableColumns count="2">
    <tableColumn id="1" xr3:uid="{EDF78742-7518-4326-82E2-7EEDFD86E3E4}" name="Cust_Mobile_Num" dataDxfId="70"/>
    <tableColumn id="2" xr3:uid="{8904EBC0-14EA-4F6A-9A73-C9C9465818A3}" name="Cust_mobile_Num_Id" dataDxfId="6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8FAEC5-88CA-45FD-8FB9-5FCBA3E04A90}" name="M_CUST_EMAIL" displayName="M_CUST_EMAIL" ref="J24:K29" totalsRowShown="0" headerRowDxfId="68" headerRowBorderDxfId="67" tableBorderDxfId="66" totalsRowBorderDxfId="65">
  <autoFilter ref="J24:K29" xr:uid="{978FAEC5-88CA-45FD-8FB9-5FCBA3E04A90}"/>
  <tableColumns count="2">
    <tableColumn id="1" xr3:uid="{C717FDC4-A476-4CE9-90FB-606232B1834F}" name="Cust_Email" dataDxfId="64"/>
    <tableColumn id="2" xr3:uid="{6F37305D-02DF-4D90-8B19-57D0A4C3A1E4}" name="Cust_Email_Id" dataDxfId="6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2903B1-D9B9-406B-9F9D-EA96996C51AC}" name="M_CUST_LOC" displayName="M_CUST_LOC" ref="D33:E39" totalsRowShown="0" headerRowDxfId="62" headerRowBorderDxfId="61" tableBorderDxfId="60" totalsRowBorderDxfId="59">
  <autoFilter ref="D33:E39" xr:uid="{A42903B1-D9B9-406B-9F9D-EA96996C51AC}"/>
  <tableColumns count="2">
    <tableColumn id="1" xr3:uid="{29B6E556-885E-407F-80E4-E158208888CA}" name="Cust_Location" dataDxfId="58"/>
    <tableColumn id="2" xr3:uid="{7E4C5B6A-4CBC-4862-9FB3-DB1C20C011CB}" name="Cust_Location_Id" dataDxfId="5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861D1F-10C3-4245-969D-1BB918F3F75C}" name="M_REST_NAME" displayName="M_REST_NAME" ref="G33:H42" totalsRowShown="0" headerRowDxfId="56" headerRowBorderDxfId="55" tableBorderDxfId="54" totalsRowBorderDxfId="53">
  <autoFilter ref="G33:H42" xr:uid="{F0861D1F-10C3-4245-969D-1BB918F3F75C}"/>
  <tableColumns count="2">
    <tableColumn id="1" xr3:uid="{ED80C6AC-F8B7-47F1-9EF2-B97813EA8E9F}" name="Rest_Name" dataDxfId="52"/>
    <tableColumn id="2" xr3:uid="{7E9B894B-F8CF-4BB1-9F98-A58DFCA08D22}" name="Rest_Id" dataDxfId="5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FE1E13-1241-4344-AB32-CB198B673F90}" name="M_REST_CAT" displayName="M_REST_CAT" ref="J33:K38" totalsRowShown="0" headerRowDxfId="50" headerRowBorderDxfId="49" tableBorderDxfId="48" totalsRowBorderDxfId="47">
  <autoFilter ref="J33:K38" xr:uid="{DCFE1E13-1241-4344-AB32-CB198B673F90}"/>
  <tableColumns count="2">
    <tableColumn id="1" xr3:uid="{44BDF6C1-8316-4F30-9EBE-1DA2A0B4B732}" name="Rest_Category" dataDxfId="46"/>
    <tableColumn id="2" xr3:uid="{A09C5FC8-1226-4D52-B2C0-30CC759D3F38}" name="Rest_Category_Id" dataDxfId="4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86C086-16AF-4510-AED9-559FCEE8BEC3}" name="M_FOOD_NAME" displayName="M_FOOD_NAME" ref="D46:E61" totalsRowShown="0" headerRowDxfId="44" headerRowBorderDxfId="43" tableBorderDxfId="42" totalsRowBorderDxfId="41">
  <autoFilter ref="D46:E61" xr:uid="{7A86C086-16AF-4510-AED9-559FCEE8BEC3}"/>
  <tableColumns count="2">
    <tableColumn id="1" xr3:uid="{B125138B-C813-411F-8D6D-F3B92DE59794}" name="Food_Name" dataDxfId="40"/>
    <tableColumn id="2" xr3:uid="{235C6A11-1F8B-4F21-9EDC-BC5F44285283}" name="Food_Name_Id" dataDxfId="3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222194-7FA4-4400-A600-0523ACAA3514}" name="M_FOOD_TYPE" displayName="M_FOOD_TYPE" ref="G46:H51" totalsRowShown="0" headerRowDxfId="38" headerRowBorderDxfId="37" tableBorderDxfId="36" totalsRowBorderDxfId="35">
  <autoFilter ref="G46:H51" xr:uid="{4C222194-7FA4-4400-A600-0523ACAA3514}"/>
  <tableColumns count="2">
    <tableColumn id="1" xr3:uid="{67DA8938-FAEA-4FB4-985B-5CDB8BFB7410}" name="Food_Type" dataDxfId="34"/>
    <tableColumn id="2" xr3:uid="{8B2C305E-8E8B-4DE4-B2A9-0B60C999C00B}" name="Food_Type_Id" dataDxfId="3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A9A838-8656-421C-9820-DFA6703A3DE3}" name="M_PAYMENT_TYPE" displayName="M_PAYMENT_TYPE" ref="J46:K49" totalsRowShown="0" headerRowDxfId="32" tableBorderDxfId="31">
  <autoFilter ref="J46:K49" xr:uid="{90A9A838-8656-421C-9820-DFA6703A3DE3}"/>
  <tableColumns count="2">
    <tableColumn id="1" xr3:uid="{A237A8AA-02F2-4578-B683-36797FAB7E07}" name="Payment_Type" dataDxfId="30"/>
    <tableColumn id="2" xr3:uid="{32769C62-FEE8-4FDC-986C-791973903E05}" name="Payment_Type_Id" dataDxfId="2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EE52663-15C9-4EFD-B7B7-6165B8FEE914}" name="M_AGENT_NAME" displayName="M_AGENT_NAME" ref="G55:H63" totalsRowShown="0" headerRowBorderDxfId="28" tableBorderDxfId="27" totalsRowBorderDxfId="26">
  <autoFilter ref="G55:H63" xr:uid="{8EE52663-15C9-4EFD-B7B7-6165B8FEE914}"/>
  <tableColumns count="2">
    <tableColumn id="1" xr3:uid="{4BC71CEB-4750-4418-81A9-A359A0779EAF}" name="Agent_Name" dataDxfId="25"/>
    <tableColumn id="2" xr3:uid="{FAB3DA91-3D60-491B-A057-86CF102B65BC}" name="Agent_Id" dataDxfId="2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56C55D-3CF4-4230-968D-A4F6EC2354FE}" name="M_AGENT_VEH_TYPE" displayName="M_AGENT_VEH_TYPE" ref="J55:K62" totalsRowShown="0" headerRowBorderDxfId="23" tableBorderDxfId="22" totalsRowBorderDxfId="21">
  <autoFilter ref="J55:K62" xr:uid="{5956C55D-3CF4-4230-968D-A4F6EC2354FE}"/>
  <tableColumns count="2">
    <tableColumn id="1" xr3:uid="{F78CA63A-9778-4609-B4B2-6CE935AA4AD5}" name="Agent_Vechical_Type" dataDxfId="20"/>
    <tableColumn id="2" xr3:uid="{4645A7E7-99A6-4810-9E3C-A6CB065A33E5}" name="Agent_vechical_Id" dataDxfId="1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0F2198-A055-40FA-9272-3BE428277BAB}" name="Swiggy_Trans" displayName="Swiggy_Trans" ref="U90:AJ105" totalsRowShown="0" headerRowDxfId="18" dataDxfId="16" headerRowBorderDxfId="17">
  <autoFilter ref="U90:AJ105" xr:uid="{760F2198-A055-40FA-9272-3BE428277BAB}"/>
  <tableColumns count="16">
    <tableColumn id="1" xr3:uid="{6A3801C1-1CB2-4D6A-AA1E-77E13FBD89AC}" name="S.No" dataDxfId="15"/>
    <tableColumn id="2" xr3:uid="{BA264A04-2202-4029-BD81-83223F8D495C}" name="Order_Id" dataDxfId="14"/>
    <tableColumn id="3" xr3:uid="{C6A83214-7BD5-4DC0-9325-5FAA467D0512}" name="Customer_Name" dataDxfId="13">
      <calculatedColumnFormula>VLOOKUP(C2,M_Customer_Name[],2,FALSE)</calculatedColumnFormula>
    </tableColumn>
    <tableColumn id="4" xr3:uid="{9160D19D-8839-4D32-A51F-32DD2D8E1B6C}" name="Customer_Mobile_Num" dataDxfId="12">
      <calculatedColumnFormula>VLOOKUP(D2,M_CUST_MOB[],2,FALSE)</calculatedColumnFormula>
    </tableColumn>
    <tableColumn id="5" xr3:uid="{319F40FB-58EA-42B6-BD8E-4917F2ED8FEA}" name="Customer_Email" dataDxfId="11">
      <calculatedColumnFormula>VLOOKUP(E2,M_CUST_EMAIL[],2,FALSE)</calculatedColumnFormula>
    </tableColumn>
    <tableColumn id="6" xr3:uid="{6AA8EFE2-F756-49C6-99C2-672AD2115DEB}" name="Customer_Location" dataDxfId="10">
      <calculatedColumnFormula>VLOOKUP(F2,M_CUST_LOC[],2,FALSE)</calculatedColumnFormula>
    </tableColumn>
    <tableColumn id="7" xr3:uid="{3A9844A3-1022-47EA-AE8E-1A21C47173E0}" name="Restaurant_Name" dataDxfId="9">
      <calculatedColumnFormula>VLOOKUP(G2,M_REST_NAME[],2,FALSE)</calculatedColumnFormula>
    </tableColumn>
    <tableColumn id="8" xr3:uid="{C98C4BED-B345-490E-B616-FD179EF730EA}" name="Restaurant_Category" dataDxfId="8">
      <calculatedColumnFormula>VLOOKUP(H2,M_REST_CAT[],2,FALSE)</calculatedColumnFormula>
    </tableColumn>
    <tableColumn id="9" xr3:uid="{7F91F51A-81CD-43DF-AB43-23FB0A23FF77}" name="Food_Name" dataDxfId="7">
      <calculatedColumnFormula>VLOOKUP(I2,M_FOOD_NAME[],2,FALSE)</calculatedColumnFormula>
    </tableColumn>
    <tableColumn id="10" xr3:uid="{4E456A9B-5372-42BC-90F5-E34DED70C76B}" name="Food_Type" dataDxfId="6">
      <calculatedColumnFormula>VLOOKUP(J2,M_FOOD_TYPE[],2,FALSE)</calculatedColumnFormula>
    </tableColumn>
    <tableColumn id="11" xr3:uid="{4AA69FC1-E1CC-4028-97A6-DC040DF53F9F}" name="PAYMENT_TYPE" dataDxfId="5">
      <calculatedColumnFormula>VLOOKUP(K2,M_PAYMENT_TYPE[],2,FALSE)</calculatedColumnFormula>
    </tableColumn>
    <tableColumn id="12" xr3:uid="{DEF76B01-BACB-4F06-BA85-349E188361F2}" name="Quantity" dataDxfId="4"/>
    <tableColumn id="13" xr3:uid="{90B1B5C2-8BA2-4076-96AB-5FFDF78C726B}" name="Final_Price" dataDxfId="3"/>
    <tableColumn id="14" xr3:uid="{FC70BCD5-DF5B-4897-B0ED-CD9677280C06}" name="Ordered_Date" dataDxfId="2"/>
    <tableColumn id="15" xr3:uid="{3184CCBD-BDC0-4A96-824E-AFC05E23D8D4}" name="Agent_Name" dataDxfId="1">
      <calculatedColumnFormula>VLOOKUP(O2,M_AGENT_NAME[],2,FALSE)</calculatedColumnFormula>
    </tableColumn>
    <tableColumn id="16" xr3:uid="{B5B3E65F-713A-42F1-BB08-717BEDFEB336}" name="Agent_Vechical_Type" dataDxfId="0">
      <calculatedColumnFormula>VLOOKUP(P2,M_AGENT_VEH_TYPE[],2,FALSE)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J60"/>
  <sheetViews>
    <sheetView topLeftCell="D1" workbookViewId="0">
      <selection activeCell="H21" sqref="H21"/>
    </sheetView>
  </sheetViews>
  <sheetFormatPr defaultRowHeight="15" x14ac:dyDescent="0.25"/>
  <cols>
    <col min="1" max="1" width="11.7109375" style="1" customWidth="1"/>
    <col min="2" max="2" width="11.140625" style="1" customWidth="1"/>
    <col min="3" max="3" width="13.42578125" style="1" customWidth="1"/>
    <col min="4" max="4" width="18" style="1" customWidth="1"/>
    <col min="5" max="5" width="18.42578125" style="1" customWidth="1"/>
    <col min="6" max="6" width="18.140625" style="1" bestFit="1" customWidth="1"/>
    <col min="7" max="8" width="10.5703125" style="1" bestFit="1" customWidth="1"/>
    <col min="9" max="9" width="10.42578125" style="1" bestFit="1" customWidth="1"/>
    <col min="10" max="10" width="21" style="1" bestFit="1" customWidth="1"/>
    <col min="11" max="11" width="19" style="1" customWidth="1"/>
    <col min="12" max="12" width="15" style="1" customWidth="1"/>
    <col min="13" max="13" width="19.28515625" style="1" customWidth="1"/>
    <col min="14" max="14" width="25.7109375" style="1" bestFit="1" customWidth="1"/>
    <col min="15" max="15" width="16.42578125" style="1" customWidth="1"/>
    <col min="16" max="16" width="10.85546875" style="1" customWidth="1"/>
    <col min="17" max="17" width="12.42578125" style="1" customWidth="1"/>
    <col min="18" max="18" width="12.85546875" style="1" customWidth="1"/>
    <col min="19" max="19" width="19.140625" style="1" customWidth="1"/>
    <col min="20" max="20" width="19.5703125" style="1" customWidth="1"/>
    <col min="21" max="21" width="18.7109375" style="1" customWidth="1"/>
    <col min="22" max="22" width="19" style="1" customWidth="1"/>
    <col min="23" max="23" width="15.7109375" style="1" customWidth="1"/>
    <col min="24" max="24" width="23.42578125" style="1" customWidth="1"/>
    <col min="25" max="25" width="23.85546875" style="1" customWidth="1"/>
    <col min="26" max="26" width="15.140625" style="1" customWidth="1"/>
    <col min="27" max="27" width="13.42578125" style="1" customWidth="1"/>
    <col min="28" max="28" width="13.140625" style="1" customWidth="1"/>
    <col min="29" max="29" width="16.5703125" style="1" customWidth="1"/>
    <col min="30" max="30" width="14.7109375" style="1" customWidth="1"/>
    <col min="31" max="31" width="15.5703125" style="1" customWidth="1"/>
    <col min="32" max="35" width="9.140625" style="1"/>
    <col min="36" max="36" width="32.42578125" style="1" bestFit="1" customWidth="1"/>
    <col min="37" max="16384" width="9.140625" style="1"/>
  </cols>
  <sheetData>
    <row r="1" spans="1:3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</row>
    <row r="2" spans="1:31" x14ac:dyDescent="0.25">
      <c r="A2" s="5">
        <v>1</v>
      </c>
      <c r="B2" s="6">
        <v>1</v>
      </c>
      <c r="C2" s="6" t="s">
        <v>57</v>
      </c>
      <c r="D2" s="6" t="s">
        <v>74</v>
      </c>
      <c r="E2" s="6" t="s">
        <v>110</v>
      </c>
      <c r="F2" s="6" t="s">
        <v>160</v>
      </c>
      <c r="G2" s="6" t="s">
        <v>181</v>
      </c>
      <c r="H2" s="6" t="s">
        <v>184</v>
      </c>
      <c r="I2" s="6">
        <v>169745</v>
      </c>
      <c r="J2" s="6" t="s">
        <v>362</v>
      </c>
      <c r="K2" s="6" t="str">
        <f ca="1">SUBSTITUTE(Table1[Restaurant_Name],"’","")</f>
        <v>Kailash Parbat</v>
      </c>
      <c r="L2" s="6" t="s">
        <v>191</v>
      </c>
      <c r="M2" s="6">
        <v>4.0999999999999996</v>
      </c>
      <c r="N2" s="8" t="s">
        <v>306</v>
      </c>
      <c r="O2" s="6" t="s">
        <v>197</v>
      </c>
      <c r="P2" s="6">
        <v>1</v>
      </c>
      <c r="Q2" s="6">
        <v>140</v>
      </c>
      <c r="R2" s="6">
        <v>140</v>
      </c>
      <c r="S2" s="6" t="s">
        <v>201</v>
      </c>
      <c r="T2" s="6" t="s">
        <v>205</v>
      </c>
      <c r="U2" s="6">
        <v>214</v>
      </c>
      <c r="V2" s="6">
        <v>31</v>
      </c>
      <c r="W2" s="6">
        <v>183</v>
      </c>
      <c r="X2" s="6" t="s">
        <v>68</v>
      </c>
      <c r="Y2" s="6" t="s">
        <v>238</v>
      </c>
      <c r="Z2" s="6" t="s">
        <v>257</v>
      </c>
      <c r="AA2" s="6" t="s">
        <v>266</v>
      </c>
      <c r="AB2" s="6" t="s">
        <v>269</v>
      </c>
      <c r="AC2" s="6">
        <v>13</v>
      </c>
      <c r="AD2" s="6" t="s">
        <v>272</v>
      </c>
      <c r="AE2" s="9" t="str">
        <f ca="1">SUBSTITUTE(Table1[Package_Type],"Bottle","Parcel")</f>
        <v>Wrapper</v>
      </c>
    </row>
    <row r="3" spans="1:31" x14ac:dyDescent="0.25">
      <c r="A3" s="5">
        <v>2</v>
      </c>
      <c r="B3" s="6">
        <v>2</v>
      </c>
      <c r="C3" s="6" t="s">
        <v>39</v>
      </c>
      <c r="D3" s="6" t="s">
        <v>73</v>
      </c>
      <c r="E3" s="6" t="s">
        <v>86</v>
      </c>
      <c r="F3" s="6" t="s">
        <v>136</v>
      </c>
      <c r="G3" s="6" t="s">
        <v>183</v>
      </c>
      <c r="H3" s="6" t="s">
        <v>188</v>
      </c>
      <c r="I3" s="6">
        <v>113581</v>
      </c>
      <c r="J3" s="6" t="s">
        <v>333</v>
      </c>
      <c r="K3" s="6" t="str">
        <f ca="1">SUBSTITUTE(Table1[Restaurant_Name],"’","")</f>
        <v>Paradise</v>
      </c>
      <c r="L3" s="6" t="s">
        <v>190</v>
      </c>
      <c r="M3" s="6">
        <v>3.3</v>
      </c>
      <c r="N3" s="6" t="s">
        <v>282</v>
      </c>
      <c r="O3" s="6" t="s">
        <v>198</v>
      </c>
      <c r="P3" s="6">
        <v>2</v>
      </c>
      <c r="Q3" s="6">
        <v>206</v>
      </c>
      <c r="R3" s="6">
        <v>412</v>
      </c>
      <c r="S3" s="6" t="s">
        <v>201</v>
      </c>
      <c r="T3" s="6" t="s">
        <v>205</v>
      </c>
      <c r="U3" s="6">
        <v>448</v>
      </c>
      <c r="V3" s="6">
        <v>38</v>
      </c>
      <c r="W3" s="6">
        <v>410</v>
      </c>
      <c r="X3" s="6" t="s">
        <v>74</v>
      </c>
      <c r="Y3" s="6" t="s">
        <v>214</v>
      </c>
      <c r="Z3" s="6" t="s">
        <v>257</v>
      </c>
      <c r="AA3" s="6" t="s">
        <v>259</v>
      </c>
      <c r="AB3" s="6" t="s">
        <v>268</v>
      </c>
      <c r="AC3" s="6">
        <v>10</v>
      </c>
      <c r="AD3" s="6" t="s">
        <v>273</v>
      </c>
      <c r="AE3" s="6" t="str">
        <f ca="1">SUBSTITUTE(Table1[Package_Type],"Bottle","Parcel")</f>
        <v>Wrapper</v>
      </c>
    </row>
    <row r="4" spans="1:31" x14ac:dyDescent="0.25">
      <c r="A4" s="5">
        <v>3</v>
      </c>
      <c r="B4" s="6">
        <v>3</v>
      </c>
      <c r="C4" s="6" t="s">
        <v>66</v>
      </c>
      <c r="D4" s="6" t="s">
        <v>69</v>
      </c>
      <c r="E4" s="6" t="s">
        <v>125</v>
      </c>
      <c r="F4" s="6" t="s">
        <v>175</v>
      </c>
      <c r="G4" s="6" t="s">
        <v>183</v>
      </c>
      <c r="H4" s="6" t="s">
        <v>186</v>
      </c>
      <c r="I4" s="6">
        <v>840712</v>
      </c>
      <c r="J4" s="6" t="s">
        <v>341</v>
      </c>
      <c r="K4" s="6" t="str">
        <f ca="1">SUBSTITUTE(Table1[Restaurant_Name],"’","")</f>
        <v>Café Niloufer</v>
      </c>
      <c r="L4" s="6" t="s">
        <v>193</v>
      </c>
      <c r="M4" s="6">
        <v>3.9</v>
      </c>
      <c r="N4" s="8" t="s">
        <v>321</v>
      </c>
      <c r="O4" s="6" t="s">
        <v>197</v>
      </c>
      <c r="P4" s="6">
        <v>2</v>
      </c>
      <c r="Q4" s="6">
        <v>194</v>
      </c>
      <c r="R4" s="6">
        <v>388</v>
      </c>
      <c r="S4" s="6" t="s">
        <v>200</v>
      </c>
      <c r="T4" s="6" t="s">
        <v>205</v>
      </c>
      <c r="U4" s="6">
        <v>389</v>
      </c>
      <c r="V4" s="6">
        <v>1</v>
      </c>
      <c r="W4" s="6">
        <v>388</v>
      </c>
      <c r="X4" s="6" t="s">
        <v>74</v>
      </c>
      <c r="Y4" s="6" t="s">
        <v>253</v>
      </c>
      <c r="Z4" s="6" t="s">
        <v>257</v>
      </c>
      <c r="AA4" s="6" t="s">
        <v>265</v>
      </c>
      <c r="AB4" s="6" t="s">
        <v>268</v>
      </c>
      <c r="AC4" s="6">
        <v>13</v>
      </c>
      <c r="AD4" s="6" t="s">
        <v>271</v>
      </c>
      <c r="AE4" s="6" t="str">
        <f ca="1">SUBSTITUTE(Table1[Package_Type],"Bottle","Parcel")</f>
        <v>Box</v>
      </c>
    </row>
    <row r="5" spans="1:31" x14ac:dyDescent="0.25">
      <c r="A5" s="5">
        <v>4</v>
      </c>
      <c r="B5" s="6">
        <v>4</v>
      </c>
      <c r="C5" s="6" t="s">
        <v>51</v>
      </c>
      <c r="D5" s="6" t="s">
        <v>70</v>
      </c>
      <c r="E5" s="6" t="s">
        <v>100</v>
      </c>
      <c r="F5" s="6" t="s">
        <v>150</v>
      </c>
      <c r="G5" s="6" t="s">
        <v>180</v>
      </c>
      <c r="H5" s="6" t="s">
        <v>184</v>
      </c>
      <c r="I5" s="6">
        <v>153133</v>
      </c>
      <c r="J5" s="6" t="s">
        <v>352</v>
      </c>
      <c r="K5" s="6" t="str">
        <f ca="1">SUBSTITUTE(Table1[Restaurant_Name],"’","")</f>
        <v>Garden Vada Pav</v>
      </c>
      <c r="L5" s="6" t="s">
        <v>193</v>
      </c>
      <c r="M5" s="6">
        <v>4.9000000000000004</v>
      </c>
      <c r="N5" s="8" t="s">
        <v>296</v>
      </c>
      <c r="O5" s="6" t="s">
        <v>195</v>
      </c>
      <c r="P5" s="6">
        <v>2</v>
      </c>
      <c r="Q5" s="6">
        <v>287</v>
      </c>
      <c r="R5" s="6">
        <v>574</v>
      </c>
      <c r="S5" s="6" t="s">
        <v>200</v>
      </c>
      <c r="T5" s="6" t="s">
        <v>204</v>
      </c>
      <c r="U5" s="6">
        <v>588</v>
      </c>
      <c r="V5" s="6">
        <v>24</v>
      </c>
      <c r="W5" s="6">
        <v>564</v>
      </c>
      <c r="X5" s="6" t="s">
        <v>75</v>
      </c>
      <c r="Y5" s="6" t="s">
        <v>228</v>
      </c>
      <c r="Z5" s="6" t="s">
        <v>256</v>
      </c>
      <c r="AA5" s="6" t="s">
        <v>259</v>
      </c>
      <c r="AB5" s="6" t="s">
        <v>268</v>
      </c>
      <c r="AC5" s="6">
        <v>23</v>
      </c>
      <c r="AD5" s="6" t="s">
        <v>272</v>
      </c>
      <c r="AE5" s="6" t="str">
        <f ca="1">SUBSTITUTE(Table1[Package_Type],"Bottle","Parcel")</f>
        <v>Box</v>
      </c>
    </row>
    <row r="6" spans="1:31" x14ac:dyDescent="0.25">
      <c r="A6" s="5">
        <v>5</v>
      </c>
      <c r="B6" s="6">
        <v>5</v>
      </c>
      <c r="C6" s="6" t="s">
        <v>51</v>
      </c>
      <c r="D6" s="6" t="s">
        <v>73</v>
      </c>
      <c r="E6" s="6" t="s">
        <v>120</v>
      </c>
      <c r="F6" s="6" t="s">
        <v>170</v>
      </c>
      <c r="G6" s="6" t="s">
        <v>182</v>
      </c>
      <c r="H6" s="6" t="s">
        <v>186</v>
      </c>
      <c r="I6" s="6">
        <v>830842</v>
      </c>
      <c r="J6" s="6" t="s">
        <v>335</v>
      </c>
      <c r="K6" s="6" t="str">
        <f ca="1">SUBSTITUTE(Table1[Restaurant_Name],"’","")</f>
        <v>BreadTalk</v>
      </c>
      <c r="L6" s="6" t="s">
        <v>193</v>
      </c>
      <c r="M6" s="6">
        <v>4.5999999999999996</v>
      </c>
      <c r="N6" s="8" t="s">
        <v>316</v>
      </c>
      <c r="O6" s="6" t="s">
        <v>196</v>
      </c>
      <c r="P6" s="6">
        <v>1</v>
      </c>
      <c r="Q6" s="6">
        <v>181</v>
      </c>
      <c r="R6" s="6">
        <v>181</v>
      </c>
      <c r="S6" s="6" t="s">
        <v>201</v>
      </c>
      <c r="T6" s="6" t="s">
        <v>202</v>
      </c>
      <c r="U6" s="6">
        <v>242</v>
      </c>
      <c r="V6" s="6">
        <v>23</v>
      </c>
      <c r="W6" s="6">
        <v>219</v>
      </c>
      <c r="X6" s="6" t="s">
        <v>75</v>
      </c>
      <c r="Y6" s="6" t="s">
        <v>248</v>
      </c>
      <c r="Z6" s="6" t="s">
        <v>257</v>
      </c>
      <c r="AA6" s="6" t="s">
        <v>263</v>
      </c>
      <c r="AB6" s="6" t="s">
        <v>268</v>
      </c>
      <c r="AC6" s="6">
        <v>28</v>
      </c>
      <c r="AD6" s="6" t="s">
        <v>271</v>
      </c>
      <c r="AE6" s="6" t="str">
        <f ca="1">SUBSTITUTE(Table1[Package_Type],"Bottle","Parcel")</f>
        <v>Wrapper</v>
      </c>
    </row>
    <row r="7" spans="1:31" x14ac:dyDescent="0.25">
      <c r="A7" s="5">
        <v>6</v>
      </c>
      <c r="B7" s="6">
        <v>6</v>
      </c>
      <c r="C7" s="6" t="s">
        <v>42</v>
      </c>
      <c r="D7" s="6" t="s">
        <v>70</v>
      </c>
      <c r="E7" s="6" t="s">
        <v>89</v>
      </c>
      <c r="F7" s="6" t="s">
        <v>139</v>
      </c>
      <c r="G7" s="6" t="s">
        <v>180</v>
      </c>
      <c r="H7" s="6" t="s">
        <v>187</v>
      </c>
      <c r="I7" s="6">
        <v>429198</v>
      </c>
      <c r="J7" s="6" t="s">
        <v>337</v>
      </c>
      <c r="K7" s="6" t="str">
        <f ca="1">SUBSTITUTE(Table1[Restaurant_Name],"’","")</f>
        <v>Mapro Café</v>
      </c>
      <c r="L7" s="6" t="s">
        <v>191</v>
      </c>
      <c r="M7" s="6">
        <v>4.5999999999999996</v>
      </c>
      <c r="N7" s="6" t="s">
        <v>285</v>
      </c>
      <c r="O7" s="6" t="s">
        <v>197</v>
      </c>
      <c r="P7" s="6">
        <v>1</v>
      </c>
      <c r="Q7" s="6">
        <v>238</v>
      </c>
      <c r="R7" s="6">
        <v>238</v>
      </c>
      <c r="S7" s="6" t="s">
        <v>201</v>
      </c>
      <c r="T7" s="6" t="s">
        <v>204</v>
      </c>
      <c r="U7" s="6">
        <v>305</v>
      </c>
      <c r="V7" s="6">
        <v>14</v>
      </c>
      <c r="W7" s="6">
        <v>291</v>
      </c>
      <c r="X7" s="6" t="s">
        <v>71</v>
      </c>
      <c r="Y7" s="6" t="s">
        <v>217</v>
      </c>
      <c r="Z7" s="6" t="s">
        <v>257</v>
      </c>
      <c r="AA7" s="6" t="s">
        <v>260</v>
      </c>
      <c r="AB7" s="6" t="s">
        <v>268</v>
      </c>
      <c r="AC7" s="6">
        <v>23</v>
      </c>
      <c r="AD7" s="6" t="s">
        <v>270</v>
      </c>
      <c r="AE7" s="6" t="str">
        <f ca="1">SUBSTITUTE(Table1[Package_Type],"Bottle","Parcel")</f>
        <v>Parcel</v>
      </c>
    </row>
    <row r="8" spans="1:31" x14ac:dyDescent="0.25">
      <c r="A8" s="5">
        <v>7</v>
      </c>
      <c r="B8" s="6">
        <v>7</v>
      </c>
      <c r="C8" s="6" t="s">
        <v>36</v>
      </c>
      <c r="D8" s="6" t="s">
        <v>71</v>
      </c>
      <c r="E8" s="6" t="s">
        <v>83</v>
      </c>
      <c r="F8" s="6" t="s">
        <v>133</v>
      </c>
      <c r="G8" s="6" t="s">
        <v>178</v>
      </c>
      <c r="H8" s="6" t="s">
        <v>187</v>
      </c>
      <c r="I8" s="6">
        <v>868761</v>
      </c>
      <c r="J8" s="6" t="s">
        <v>330</v>
      </c>
      <c r="K8" s="6" t="str">
        <f ca="1">SUBSTITUTE(Table1[Restaurant_Name],"’","")</f>
        <v>Empire</v>
      </c>
      <c r="L8" s="6" t="s">
        <v>191</v>
      </c>
      <c r="M8" s="6">
        <v>4.8</v>
      </c>
      <c r="N8" s="6" t="s">
        <v>279</v>
      </c>
      <c r="O8" s="6" t="s">
        <v>194</v>
      </c>
      <c r="P8" s="6">
        <v>3</v>
      </c>
      <c r="Q8" s="6">
        <v>241</v>
      </c>
      <c r="R8" s="6">
        <v>723</v>
      </c>
      <c r="S8" s="6" t="s">
        <v>201</v>
      </c>
      <c r="T8" s="6" t="s">
        <v>204</v>
      </c>
      <c r="U8" s="6">
        <v>784</v>
      </c>
      <c r="V8" s="6">
        <v>12</v>
      </c>
      <c r="W8" s="6">
        <v>772</v>
      </c>
      <c r="X8" s="6" t="s">
        <v>73</v>
      </c>
      <c r="Y8" s="6" t="s">
        <v>211</v>
      </c>
      <c r="Z8" s="6" t="s">
        <v>257</v>
      </c>
      <c r="AA8" s="6" t="s">
        <v>262</v>
      </c>
      <c r="AB8" s="6" t="s">
        <v>269</v>
      </c>
      <c r="AC8" s="6">
        <v>39</v>
      </c>
      <c r="AD8" s="6" t="s">
        <v>270</v>
      </c>
      <c r="AE8" s="6" t="str">
        <f ca="1">SUBSTITUTE(Table1[Package_Type],"Bottle","Parcel")</f>
        <v>Wrapper</v>
      </c>
    </row>
    <row r="9" spans="1:31" x14ac:dyDescent="0.25">
      <c r="A9" s="5">
        <v>8</v>
      </c>
      <c r="B9" s="6">
        <v>8</v>
      </c>
      <c r="C9" s="6" t="s">
        <v>36</v>
      </c>
      <c r="D9" s="6" t="s">
        <v>76</v>
      </c>
      <c r="E9" s="6" t="s">
        <v>123</v>
      </c>
      <c r="F9" s="6" t="s">
        <v>173</v>
      </c>
      <c r="G9" s="6" t="s">
        <v>182</v>
      </c>
      <c r="H9" s="6" t="s">
        <v>187</v>
      </c>
      <c r="I9" s="6">
        <v>460509</v>
      </c>
      <c r="J9" s="6" t="s">
        <v>338</v>
      </c>
      <c r="K9" s="6" t="str">
        <f ca="1">SUBSTITUTE(Table1[Restaurant_Name],"’","")</f>
        <v>Naivedyam</v>
      </c>
      <c r="L9" s="6" t="s">
        <v>192</v>
      </c>
      <c r="M9" s="6">
        <v>3.8</v>
      </c>
      <c r="N9" s="8" t="s">
        <v>319</v>
      </c>
      <c r="O9" s="6" t="s">
        <v>197</v>
      </c>
      <c r="P9" s="6">
        <v>3</v>
      </c>
      <c r="Q9" s="6">
        <v>294</v>
      </c>
      <c r="R9" s="6">
        <v>882</v>
      </c>
      <c r="S9" s="6" t="s">
        <v>201</v>
      </c>
      <c r="T9" s="6" t="s">
        <v>204</v>
      </c>
      <c r="U9" s="6">
        <v>921</v>
      </c>
      <c r="V9" s="6">
        <v>28</v>
      </c>
      <c r="W9" s="6">
        <v>893</v>
      </c>
      <c r="X9" s="6" t="s">
        <v>68</v>
      </c>
      <c r="Y9" s="6" t="s">
        <v>251</v>
      </c>
      <c r="Z9" s="6" t="s">
        <v>257</v>
      </c>
      <c r="AA9" s="6" t="s">
        <v>258</v>
      </c>
      <c r="AB9" s="6" t="s">
        <v>268</v>
      </c>
      <c r="AC9" s="6">
        <v>12</v>
      </c>
      <c r="AD9" s="6" t="s">
        <v>270</v>
      </c>
      <c r="AE9" s="6" t="str">
        <f ca="1">SUBSTITUTE(Table1[Package_Type],"Bottle","Parcel")</f>
        <v>Wrapper</v>
      </c>
    </row>
    <row r="10" spans="1:31" x14ac:dyDescent="0.25">
      <c r="A10" s="5">
        <v>9</v>
      </c>
      <c r="B10" s="6">
        <v>9</v>
      </c>
      <c r="C10" s="6" t="s">
        <v>64</v>
      </c>
      <c r="D10" s="6" t="s">
        <v>72</v>
      </c>
      <c r="E10" s="6" t="s">
        <v>121</v>
      </c>
      <c r="F10" s="6" t="s">
        <v>171</v>
      </c>
      <c r="G10" s="6" t="s">
        <v>182</v>
      </c>
      <c r="H10" s="6" t="s">
        <v>184</v>
      </c>
      <c r="I10" s="6">
        <v>218553</v>
      </c>
      <c r="J10" s="6" t="s">
        <v>336</v>
      </c>
      <c r="K10" s="6" t="str">
        <f ca="1">SUBSTITUTE(Table1[Restaurant_Name],"’","")</f>
        <v>Wengers</v>
      </c>
      <c r="L10" s="6" t="s">
        <v>192</v>
      </c>
      <c r="M10" s="6">
        <v>4.3</v>
      </c>
      <c r="N10" s="8" t="s">
        <v>317</v>
      </c>
      <c r="O10" s="6" t="s">
        <v>195</v>
      </c>
      <c r="P10" s="6">
        <v>4</v>
      </c>
      <c r="Q10" s="6">
        <v>290</v>
      </c>
      <c r="R10" s="6">
        <v>1160</v>
      </c>
      <c r="S10" s="6" t="s">
        <v>200</v>
      </c>
      <c r="T10" s="6" t="s">
        <v>205</v>
      </c>
      <c r="U10" s="6">
        <v>1220</v>
      </c>
      <c r="V10" s="6">
        <v>35</v>
      </c>
      <c r="W10" s="6">
        <v>1185</v>
      </c>
      <c r="X10" s="6" t="s">
        <v>69</v>
      </c>
      <c r="Y10" s="6" t="s">
        <v>249</v>
      </c>
      <c r="Z10" s="6" t="s">
        <v>256</v>
      </c>
      <c r="AA10" s="6" t="s">
        <v>260</v>
      </c>
      <c r="AB10" s="6" t="s">
        <v>268</v>
      </c>
      <c r="AC10" s="6">
        <v>28</v>
      </c>
      <c r="AD10" s="6" t="s">
        <v>272</v>
      </c>
      <c r="AE10" s="6" t="str">
        <f ca="1">SUBSTITUTE(Table1[Package_Type],"Bottle","Parcel")</f>
        <v>Box</v>
      </c>
    </row>
    <row r="11" spans="1:31" x14ac:dyDescent="0.25">
      <c r="A11" s="5">
        <v>10</v>
      </c>
      <c r="B11" s="6">
        <v>10</v>
      </c>
      <c r="C11" s="6" t="s">
        <v>34</v>
      </c>
      <c r="D11" s="6" t="s">
        <v>69</v>
      </c>
      <c r="E11" s="6" t="s">
        <v>81</v>
      </c>
      <c r="F11" s="6" t="s">
        <v>131</v>
      </c>
      <c r="G11" s="6" t="s">
        <v>178</v>
      </c>
      <c r="H11" s="6" t="s">
        <v>184</v>
      </c>
      <c r="I11" s="6">
        <v>691794</v>
      </c>
      <c r="J11" s="6" t="s">
        <v>327</v>
      </c>
      <c r="K11" s="6" t="str">
        <f ca="1">SUBSTITUTE(Table1[Restaurant_Name],"’","")</f>
        <v>Truffles</v>
      </c>
      <c r="L11" s="6" t="s">
        <v>193</v>
      </c>
      <c r="M11" s="6">
        <v>3.6</v>
      </c>
      <c r="N11" s="6" t="s">
        <v>277</v>
      </c>
      <c r="O11" s="6" t="s">
        <v>198</v>
      </c>
      <c r="P11" s="6">
        <v>1</v>
      </c>
      <c r="Q11" s="6">
        <v>198</v>
      </c>
      <c r="R11" s="6">
        <v>198</v>
      </c>
      <c r="S11" s="6" t="s">
        <v>199</v>
      </c>
      <c r="T11" s="6" t="s">
        <v>202</v>
      </c>
      <c r="U11" s="6">
        <v>224</v>
      </c>
      <c r="V11" s="6">
        <v>32</v>
      </c>
      <c r="W11" s="6">
        <v>192</v>
      </c>
      <c r="X11" s="6" t="s">
        <v>69</v>
      </c>
      <c r="Y11" s="6" t="s">
        <v>209</v>
      </c>
      <c r="Z11" s="6" t="s">
        <v>256</v>
      </c>
      <c r="AA11" s="6" t="s">
        <v>261</v>
      </c>
      <c r="AB11" s="6" t="s">
        <v>269</v>
      </c>
      <c r="AC11" s="6">
        <v>22</v>
      </c>
      <c r="AD11" s="6" t="s">
        <v>271</v>
      </c>
      <c r="AE11" s="6" t="str">
        <f ca="1">SUBSTITUTE(Table1[Package_Type],"Bottle","Parcel")</f>
        <v>Box</v>
      </c>
    </row>
    <row r="12" spans="1:31" x14ac:dyDescent="0.25">
      <c r="A12" s="5">
        <v>11</v>
      </c>
      <c r="B12" s="6">
        <v>11</v>
      </c>
      <c r="C12" s="6" t="s">
        <v>34</v>
      </c>
      <c r="D12" s="6" t="s">
        <v>68</v>
      </c>
      <c r="E12" s="6" t="s">
        <v>122</v>
      </c>
      <c r="F12" s="6" t="s">
        <v>172</v>
      </c>
      <c r="G12" s="6" t="s">
        <v>180</v>
      </c>
      <c r="H12" s="6" t="s">
        <v>187</v>
      </c>
      <c r="I12" s="6">
        <v>429198</v>
      </c>
      <c r="J12" s="6" t="s">
        <v>337</v>
      </c>
      <c r="K12" s="6" t="str">
        <f ca="1">SUBSTITUTE(Table1[Restaurant_Name],"’","")</f>
        <v>Mapro Café</v>
      </c>
      <c r="L12" s="6" t="s">
        <v>191</v>
      </c>
      <c r="M12" s="6">
        <v>4.7</v>
      </c>
      <c r="N12" s="8" t="s">
        <v>318</v>
      </c>
      <c r="O12" s="6" t="s">
        <v>194</v>
      </c>
      <c r="P12" s="6">
        <v>3</v>
      </c>
      <c r="Q12" s="6">
        <v>182</v>
      </c>
      <c r="R12" s="6">
        <v>546</v>
      </c>
      <c r="S12" s="6" t="s">
        <v>199</v>
      </c>
      <c r="T12" s="6" t="s">
        <v>202</v>
      </c>
      <c r="U12" s="6">
        <v>586</v>
      </c>
      <c r="V12" s="6">
        <v>37</v>
      </c>
      <c r="W12" s="6">
        <v>549</v>
      </c>
      <c r="X12" s="6" t="s">
        <v>68</v>
      </c>
      <c r="Y12" s="6" t="s">
        <v>250</v>
      </c>
      <c r="Z12" s="6" t="s">
        <v>256</v>
      </c>
      <c r="AA12" s="6" t="s">
        <v>261</v>
      </c>
      <c r="AB12" s="6" t="s">
        <v>268</v>
      </c>
      <c r="AC12" s="6">
        <v>8</v>
      </c>
      <c r="AD12" s="6" t="s">
        <v>273</v>
      </c>
      <c r="AE12" s="6" t="str">
        <f ca="1">SUBSTITUTE(Table1[Package_Type],"Bottle","Parcel")</f>
        <v>Parcel</v>
      </c>
    </row>
    <row r="13" spans="1:31" x14ac:dyDescent="0.25">
      <c r="A13" s="5">
        <v>12</v>
      </c>
      <c r="B13" s="6">
        <v>12</v>
      </c>
      <c r="C13" s="6" t="s">
        <v>48</v>
      </c>
      <c r="D13" s="6" t="s">
        <v>68</v>
      </c>
      <c r="E13" s="6" t="s">
        <v>96</v>
      </c>
      <c r="F13" s="6" t="s">
        <v>146</v>
      </c>
      <c r="G13" s="6" t="s">
        <v>178</v>
      </c>
      <c r="H13" s="6" t="s">
        <v>189</v>
      </c>
      <c r="I13" s="6">
        <v>221153</v>
      </c>
      <c r="J13" s="6" t="s">
        <v>347</v>
      </c>
      <c r="K13" s="6" t="str">
        <f ca="1">SUBSTITUTE(Table1[Restaurant_Name],"’","")</f>
        <v>Truffles</v>
      </c>
      <c r="L13" s="6" t="s">
        <v>192</v>
      </c>
      <c r="M13" s="6">
        <v>4.7</v>
      </c>
      <c r="N13" s="8" t="s">
        <v>292</v>
      </c>
      <c r="O13" s="6" t="s">
        <v>197</v>
      </c>
      <c r="P13" s="6">
        <v>2</v>
      </c>
      <c r="Q13" s="6">
        <v>100</v>
      </c>
      <c r="R13" s="6">
        <v>200</v>
      </c>
      <c r="S13" s="6" t="s">
        <v>200</v>
      </c>
      <c r="T13" s="6" t="s">
        <v>205</v>
      </c>
      <c r="U13" s="6">
        <v>246</v>
      </c>
      <c r="V13" s="6">
        <v>17</v>
      </c>
      <c r="W13" s="6">
        <v>229</v>
      </c>
      <c r="X13" s="6" t="s">
        <v>76</v>
      </c>
      <c r="Y13" s="6" t="s">
        <v>224</v>
      </c>
      <c r="Z13" s="6" t="s">
        <v>257</v>
      </c>
      <c r="AA13" s="6" t="s">
        <v>265</v>
      </c>
      <c r="AB13" s="6" t="s">
        <v>269</v>
      </c>
      <c r="AC13" s="6">
        <v>12</v>
      </c>
      <c r="AD13" s="6" t="s">
        <v>271</v>
      </c>
      <c r="AE13" s="6" t="str">
        <f ca="1">SUBSTITUTE(Table1[Package_Type],"Bottle","Parcel")</f>
        <v>Parcel</v>
      </c>
    </row>
    <row r="14" spans="1:31" x14ac:dyDescent="0.25">
      <c r="A14" s="5">
        <v>13</v>
      </c>
      <c r="B14" s="6">
        <v>13</v>
      </c>
      <c r="C14" s="6" t="s">
        <v>48</v>
      </c>
      <c r="D14" s="6" t="s">
        <v>76</v>
      </c>
      <c r="E14" s="6" t="s">
        <v>106</v>
      </c>
      <c r="F14" s="6" t="s">
        <v>156</v>
      </c>
      <c r="G14" s="6" t="s">
        <v>180</v>
      </c>
      <c r="H14" s="6" t="s">
        <v>189</v>
      </c>
      <c r="I14" s="6">
        <v>872029</v>
      </c>
      <c r="J14" s="6" t="s">
        <v>358</v>
      </c>
      <c r="K14" s="6" t="str">
        <f ca="1">SUBSTITUTE(Table1[Restaurant_Name],"’","")</f>
        <v>Good Flippin Burger</v>
      </c>
      <c r="L14" s="6" t="s">
        <v>191</v>
      </c>
      <c r="M14" s="6">
        <v>4.4000000000000004</v>
      </c>
      <c r="N14" s="8" t="s">
        <v>302</v>
      </c>
      <c r="O14" s="6" t="s">
        <v>194</v>
      </c>
      <c r="P14" s="6">
        <v>1</v>
      </c>
      <c r="Q14" s="6">
        <v>213</v>
      </c>
      <c r="R14" s="6">
        <v>213</v>
      </c>
      <c r="S14" s="6" t="s">
        <v>199</v>
      </c>
      <c r="T14" s="6" t="s">
        <v>205</v>
      </c>
      <c r="U14" s="6">
        <v>270</v>
      </c>
      <c r="V14" s="6">
        <v>35</v>
      </c>
      <c r="W14" s="6">
        <v>235</v>
      </c>
      <c r="X14" s="6" t="s">
        <v>77</v>
      </c>
      <c r="Y14" s="6" t="s">
        <v>234</v>
      </c>
      <c r="Z14" s="6" t="s">
        <v>257</v>
      </c>
      <c r="AA14" s="6" t="s">
        <v>260</v>
      </c>
      <c r="AB14" s="6" t="s">
        <v>268</v>
      </c>
      <c r="AC14" s="6">
        <v>12</v>
      </c>
      <c r="AD14" s="6" t="s">
        <v>273</v>
      </c>
      <c r="AE14" s="6" t="str">
        <f ca="1">SUBSTITUTE(Table1[Package_Type],"Bottle","Parcel")</f>
        <v>Wrapper</v>
      </c>
    </row>
    <row r="15" spans="1:31" x14ac:dyDescent="0.25">
      <c r="A15" s="5">
        <v>14</v>
      </c>
      <c r="B15" s="6">
        <v>14</v>
      </c>
      <c r="C15" s="6" t="s">
        <v>48</v>
      </c>
      <c r="D15" s="6" t="s">
        <v>76</v>
      </c>
      <c r="E15" s="6" t="s">
        <v>107</v>
      </c>
      <c r="F15" s="6" t="s">
        <v>157</v>
      </c>
      <c r="G15" s="6" t="s">
        <v>180</v>
      </c>
      <c r="H15" s="6" t="s">
        <v>188</v>
      </c>
      <c r="I15" s="6">
        <v>377667</v>
      </c>
      <c r="J15" s="6" t="s">
        <v>359</v>
      </c>
      <c r="K15" s="6" t="str">
        <f ca="1">SUBSTITUTE(Table1[Restaurant_Name],"’","")</f>
        <v>Mainland China</v>
      </c>
      <c r="L15" s="6" t="s">
        <v>192</v>
      </c>
      <c r="M15" s="6">
        <v>4.5</v>
      </c>
      <c r="N15" s="8" t="s">
        <v>303</v>
      </c>
      <c r="O15" s="6" t="s">
        <v>194</v>
      </c>
      <c r="P15" s="6">
        <v>3</v>
      </c>
      <c r="Q15" s="6">
        <v>242</v>
      </c>
      <c r="R15" s="6">
        <v>726</v>
      </c>
      <c r="S15" s="6" t="s">
        <v>199</v>
      </c>
      <c r="T15" s="6" t="s">
        <v>205</v>
      </c>
      <c r="U15" s="6">
        <v>761</v>
      </c>
      <c r="V15" s="6">
        <v>34</v>
      </c>
      <c r="W15" s="6">
        <v>727</v>
      </c>
      <c r="X15" s="6" t="s">
        <v>68</v>
      </c>
      <c r="Y15" s="6" t="s">
        <v>235</v>
      </c>
      <c r="Z15" s="6" t="s">
        <v>257</v>
      </c>
      <c r="AA15" s="6" t="s">
        <v>263</v>
      </c>
      <c r="AB15" s="6" t="s">
        <v>268</v>
      </c>
      <c r="AC15" s="6">
        <v>40</v>
      </c>
      <c r="AD15" s="6" t="s">
        <v>271</v>
      </c>
      <c r="AE15" s="6" t="str">
        <f ca="1">SUBSTITUTE(Table1[Package_Type],"Bottle","Parcel")</f>
        <v>Wrapper</v>
      </c>
    </row>
    <row r="16" spans="1:31" x14ac:dyDescent="0.25">
      <c r="A16" s="5">
        <v>15</v>
      </c>
      <c r="B16" s="6">
        <v>15</v>
      </c>
      <c r="C16" s="6" t="s">
        <v>60</v>
      </c>
      <c r="D16" s="6" t="s">
        <v>76</v>
      </c>
      <c r="E16" s="6" t="s">
        <v>113</v>
      </c>
      <c r="F16" s="6" t="s">
        <v>163</v>
      </c>
      <c r="G16" s="6" t="s">
        <v>183</v>
      </c>
      <c r="H16" s="6" t="s">
        <v>188</v>
      </c>
      <c r="I16" s="6">
        <v>710381</v>
      </c>
      <c r="J16" s="6" t="s">
        <v>366</v>
      </c>
      <c r="K16" s="6" t="str">
        <f ca="1">SUBSTITUTE(Table1[Restaurant_Name],"’","")</f>
        <v>Mehfil</v>
      </c>
      <c r="L16" s="6" t="s">
        <v>191</v>
      </c>
      <c r="M16" s="6">
        <v>4.3</v>
      </c>
      <c r="N16" s="8" t="s">
        <v>309</v>
      </c>
      <c r="O16" s="6" t="s">
        <v>198</v>
      </c>
      <c r="P16" s="6">
        <v>4</v>
      </c>
      <c r="Q16" s="6">
        <v>177</v>
      </c>
      <c r="R16" s="6">
        <v>708</v>
      </c>
      <c r="S16" s="6" t="s">
        <v>199</v>
      </c>
      <c r="T16" s="6" t="s">
        <v>202</v>
      </c>
      <c r="U16" s="6">
        <v>747</v>
      </c>
      <c r="V16" s="6">
        <v>14</v>
      </c>
      <c r="W16" s="6">
        <v>733</v>
      </c>
      <c r="X16" s="6" t="s">
        <v>77</v>
      </c>
      <c r="Y16" s="6" t="s">
        <v>241</v>
      </c>
      <c r="Z16" s="6" t="s">
        <v>257</v>
      </c>
      <c r="AA16" s="6" t="s">
        <v>260</v>
      </c>
      <c r="AB16" s="6" t="s">
        <v>268</v>
      </c>
      <c r="AC16" s="6">
        <v>6</v>
      </c>
      <c r="AD16" s="6" t="s">
        <v>272</v>
      </c>
      <c r="AE16" s="6" t="str">
        <f ca="1">SUBSTITUTE(Table1[Package_Type],"Bottle","Parcel")</f>
        <v>Parcel</v>
      </c>
    </row>
    <row r="17" spans="1:31" x14ac:dyDescent="0.25">
      <c r="A17" s="5">
        <v>16</v>
      </c>
      <c r="B17" s="6">
        <v>16</v>
      </c>
      <c r="C17" s="6" t="s">
        <v>35</v>
      </c>
      <c r="D17" s="6" t="s">
        <v>70</v>
      </c>
      <c r="E17" s="6" t="s">
        <v>82</v>
      </c>
      <c r="F17" s="6" t="s">
        <v>132</v>
      </c>
      <c r="G17" s="6" t="s">
        <v>182</v>
      </c>
      <c r="H17" s="6" t="s">
        <v>189</v>
      </c>
      <c r="I17" s="6">
        <v>265700</v>
      </c>
      <c r="J17" s="6" t="s">
        <v>329</v>
      </c>
      <c r="K17" s="6" t="str">
        <f ca="1">SUBSTITUTE(Table1[Restaurant_Name],"’","")</f>
        <v>Bikanervala</v>
      </c>
      <c r="L17" s="6" t="s">
        <v>190</v>
      </c>
      <c r="M17" s="6">
        <v>3.7</v>
      </c>
      <c r="N17" s="6" t="s">
        <v>278</v>
      </c>
      <c r="O17" s="6" t="s">
        <v>195</v>
      </c>
      <c r="P17" s="6">
        <v>1</v>
      </c>
      <c r="Q17" s="6">
        <v>297</v>
      </c>
      <c r="R17" s="6">
        <v>297</v>
      </c>
      <c r="S17" s="6" t="s">
        <v>200</v>
      </c>
      <c r="T17" s="6" t="s">
        <v>203</v>
      </c>
      <c r="U17" s="6">
        <v>338</v>
      </c>
      <c r="V17" s="6">
        <v>5</v>
      </c>
      <c r="W17" s="6">
        <v>333</v>
      </c>
      <c r="X17" s="6" t="s">
        <v>70</v>
      </c>
      <c r="Y17" s="6" t="s">
        <v>210</v>
      </c>
      <c r="Z17" s="6" t="s">
        <v>256</v>
      </c>
      <c r="AA17" s="6" t="s">
        <v>261</v>
      </c>
      <c r="AB17" s="6" t="s">
        <v>269</v>
      </c>
      <c r="AC17" s="6">
        <v>27</v>
      </c>
      <c r="AD17" s="6" t="s">
        <v>270</v>
      </c>
      <c r="AE17" s="6" t="str">
        <f ca="1">SUBSTITUTE(Table1[Package_Type],"Bottle","Parcel")</f>
        <v>Parcel</v>
      </c>
    </row>
    <row r="18" spans="1:31" x14ac:dyDescent="0.25">
      <c r="A18" s="5">
        <v>17</v>
      </c>
      <c r="B18" s="6">
        <v>17</v>
      </c>
      <c r="C18" s="6" t="s">
        <v>35</v>
      </c>
      <c r="D18" s="6" t="s">
        <v>75</v>
      </c>
      <c r="E18" s="6" t="s">
        <v>99</v>
      </c>
      <c r="F18" s="6" t="s">
        <v>149</v>
      </c>
      <c r="G18" s="6" t="s">
        <v>180</v>
      </c>
      <c r="H18" s="6" t="s">
        <v>184</v>
      </c>
      <c r="I18" s="6">
        <v>635110</v>
      </c>
      <c r="J18" s="6" t="s">
        <v>351</v>
      </c>
      <c r="K18" s="6" t="str">
        <f ca="1">SUBSTITUTE(Table1[Restaurant_Name],"’","")</f>
        <v>Burger Lounge</v>
      </c>
      <c r="L18" s="6" t="s">
        <v>192</v>
      </c>
      <c r="M18" s="6">
        <v>3.2</v>
      </c>
      <c r="N18" s="8" t="s">
        <v>295</v>
      </c>
      <c r="O18" s="6" t="s">
        <v>196</v>
      </c>
      <c r="P18" s="6">
        <v>3</v>
      </c>
      <c r="Q18" s="6">
        <v>294</v>
      </c>
      <c r="R18" s="6">
        <v>882</v>
      </c>
      <c r="S18" s="6" t="s">
        <v>199</v>
      </c>
      <c r="T18" s="6" t="s">
        <v>202</v>
      </c>
      <c r="U18" s="6">
        <v>949</v>
      </c>
      <c r="V18" s="6">
        <v>19</v>
      </c>
      <c r="W18" s="6">
        <v>930</v>
      </c>
      <c r="X18" s="6" t="s">
        <v>70</v>
      </c>
      <c r="Y18" s="6" t="s">
        <v>227</v>
      </c>
      <c r="Z18" s="6" t="s">
        <v>256</v>
      </c>
      <c r="AA18" s="6" t="s">
        <v>260</v>
      </c>
      <c r="AB18" s="6" t="s">
        <v>269</v>
      </c>
      <c r="AC18" s="6">
        <v>12</v>
      </c>
      <c r="AD18" s="6" t="s">
        <v>272</v>
      </c>
      <c r="AE18" s="6" t="str">
        <f ca="1">SUBSTITUTE(Table1[Package_Type],"Bottle","Parcel")</f>
        <v>Wrapper</v>
      </c>
    </row>
    <row r="19" spans="1:31" x14ac:dyDescent="0.25">
      <c r="A19" s="5">
        <v>18</v>
      </c>
      <c r="B19" s="6">
        <v>18</v>
      </c>
      <c r="C19" s="6" t="s">
        <v>32</v>
      </c>
      <c r="D19" s="6" t="s">
        <v>68</v>
      </c>
      <c r="E19" s="6" t="s">
        <v>79</v>
      </c>
      <c r="F19" s="6" t="s">
        <v>129</v>
      </c>
      <c r="G19" s="6" t="s">
        <v>182</v>
      </c>
      <c r="H19" s="6" t="s">
        <v>184</v>
      </c>
      <c r="I19" s="6">
        <v>895010</v>
      </c>
      <c r="J19" s="6" t="s">
        <v>325</v>
      </c>
      <c r="K19" s="6" t="str">
        <f ca="1">SUBSTITUTE(Table1[Restaurant_Name],"’","")</f>
        <v>Haldirams</v>
      </c>
      <c r="L19" s="6" t="s">
        <v>193</v>
      </c>
      <c r="M19" s="6">
        <v>4.5999999999999996</v>
      </c>
      <c r="N19" s="6" t="s">
        <v>275</v>
      </c>
      <c r="O19" s="6" t="s">
        <v>197</v>
      </c>
      <c r="P19" s="6">
        <v>2</v>
      </c>
      <c r="Q19" s="6">
        <v>272</v>
      </c>
      <c r="R19" s="6">
        <v>544</v>
      </c>
      <c r="S19" s="6" t="s">
        <v>199</v>
      </c>
      <c r="T19" s="6" t="s">
        <v>202</v>
      </c>
      <c r="U19" s="6">
        <v>612</v>
      </c>
      <c r="V19" s="6">
        <v>27</v>
      </c>
      <c r="W19" s="6">
        <v>585</v>
      </c>
      <c r="X19" s="6" t="s">
        <v>75</v>
      </c>
      <c r="Y19" s="6" t="s">
        <v>207</v>
      </c>
      <c r="Z19" s="6" t="s">
        <v>257</v>
      </c>
      <c r="AA19" s="6" t="s">
        <v>259</v>
      </c>
      <c r="AB19" s="6" t="s">
        <v>269</v>
      </c>
      <c r="AC19" s="6">
        <v>26</v>
      </c>
      <c r="AD19" s="6" t="s">
        <v>271</v>
      </c>
      <c r="AE19" s="6" t="str">
        <f ca="1">SUBSTITUTE(Table1[Package_Type],"Bottle","Parcel")</f>
        <v>Parcel</v>
      </c>
    </row>
    <row r="20" spans="1:31" x14ac:dyDescent="0.25">
      <c r="A20" s="5">
        <v>19</v>
      </c>
      <c r="B20" s="6">
        <v>19</v>
      </c>
      <c r="C20" s="6" t="s">
        <v>32</v>
      </c>
      <c r="D20" s="6" t="s">
        <v>76</v>
      </c>
      <c r="E20" s="6" t="s">
        <v>114</v>
      </c>
      <c r="F20" s="6" t="s">
        <v>164</v>
      </c>
      <c r="G20" s="6" t="s">
        <v>183</v>
      </c>
      <c r="H20" s="6" t="s">
        <v>189</v>
      </c>
      <c r="I20" s="6">
        <v>126334</v>
      </c>
      <c r="J20" s="6" t="s">
        <v>367</v>
      </c>
      <c r="K20" s="6" t="str">
        <f ca="1">SUBSTITUTE(Table1[Restaurant_Name],"’","")</f>
        <v>Pista House</v>
      </c>
      <c r="L20" s="6" t="s">
        <v>191</v>
      </c>
      <c r="M20" s="6">
        <v>4.9000000000000004</v>
      </c>
      <c r="N20" s="8" t="s">
        <v>310</v>
      </c>
      <c r="O20" s="6" t="s">
        <v>194</v>
      </c>
      <c r="P20" s="6">
        <v>1</v>
      </c>
      <c r="Q20" s="6">
        <v>137</v>
      </c>
      <c r="R20" s="6">
        <v>137</v>
      </c>
      <c r="S20" s="6" t="s">
        <v>201</v>
      </c>
      <c r="T20" s="6" t="s">
        <v>204</v>
      </c>
      <c r="U20" s="6">
        <v>183</v>
      </c>
      <c r="V20" s="6">
        <v>14</v>
      </c>
      <c r="W20" s="6">
        <v>169</v>
      </c>
      <c r="X20" s="6" t="s">
        <v>73</v>
      </c>
      <c r="Y20" s="6" t="s">
        <v>242</v>
      </c>
      <c r="Z20" s="6" t="s">
        <v>256</v>
      </c>
      <c r="AA20" s="6" t="s">
        <v>258</v>
      </c>
      <c r="AB20" s="6" t="s">
        <v>269</v>
      </c>
      <c r="AC20" s="6">
        <v>13</v>
      </c>
      <c r="AD20" s="6" t="s">
        <v>272</v>
      </c>
      <c r="AE20" s="6" t="str">
        <f ca="1">SUBSTITUTE(Table1[Package_Type],"Bottle","Parcel")</f>
        <v>Wrapper</v>
      </c>
    </row>
    <row r="21" spans="1:31" x14ac:dyDescent="0.25">
      <c r="A21" s="5">
        <v>20</v>
      </c>
      <c r="B21" s="6">
        <v>20</v>
      </c>
      <c r="C21" s="6" t="s">
        <v>41</v>
      </c>
      <c r="D21" s="6" t="s">
        <v>70</v>
      </c>
      <c r="E21" s="6" t="s">
        <v>88</v>
      </c>
      <c r="F21" s="6" t="s">
        <v>138</v>
      </c>
      <c r="G21" s="6" t="s">
        <v>182</v>
      </c>
      <c r="H21" s="6" t="s">
        <v>184</v>
      </c>
      <c r="I21" s="6">
        <v>218553</v>
      </c>
      <c r="J21" s="6" t="s">
        <v>336</v>
      </c>
      <c r="K21" s="6" t="str">
        <f ca="1">SUBSTITUTE(Table1[Restaurant_Name],"’","")</f>
        <v>Wengers</v>
      </c>
      <c r="L21" s="6" t="s">
        <v>192</v>
      </c>
      <c r="M21" s="6">
        <v>3.1</v>
      </c>
      <c r="N21" s="6" t="s">
        <v>284</v>
      </c>
      <c r="O21" s="6" t="s">
        <v>196</v>
      </c>
      <c r="P21" s="6">
        <v>3</v>
      </c>
      <c r="Q21" s="6">
        <v>152</v>
      </c>
      <c r="R21" s="6">
        <v>456</v>
      </c>
      <c r="S21" s="6" t="s">
        <v>200</v>
      </c>
      <c r="T21" s="6" t="s">
        <v>204</v>
      </c>
      <c r="U21" s="6">
        <v>507</v>
      </c>
      <c r="V21" s="6">
        <v>11</v>
      </c>
      <c r="W21" s="6">
        <v>496</v>
      </c>
      <c r="X21" s="6" t="s">
        <v>68</v>
      </c>
      <c r="Y21" s="6" t="s">
        <v>216</v>
      </c>
      <c r="Z21" s="6" t="s">
        <v>256</v>
      </c>
      <c r="AA21" s="6" t="s">
        <v>263</v>
      </c>
      <c r="AB21" s="6" t="s">
        <v>269</v>
      </c>
      <c r="AC21" s="6">
        <v>7</v>
      </c>
      <c r="AD21" s="6" t="s">
        <v>273</v>
      </c>
      <c r="AE21" s="6" t="str">
        <f ca="1">SUBSTITUTE(Table1[Package_Type],"Bottle","Parcel")</f>
        <v>Wrapper</v>
      </c>
    </row>
    <row r="22" spans="1:31" x14ac:dyDescent="0.25">
      <c r="A22" s="5">
        <v>21</v>
      </c>
      <c r="B22" s="6">
        <v>21</v>
      </c>
      <c r="C22" s="6" t="s">
        <v>41</v>
      </c>
      <c r="D22" s="6" t="s">
        <v>76</v>
      </c>
      <c r="E22" s="6" t="s">
        <v>116</v>
      </c>
      <c r="F22" s="6" t="s">
        <v>166</v>
      </c>
      <c r="G22" s="6" t="s">
        <v>178</v>
      </c>
      <c r="H22" s="6" t="s">
        <v>187</v>
      </c>
      <c r="I22" s="6">
        <v>868761</v>
      </c>
      <c r="J22" s="6" t="s">
        <v>330</v>
      </c>
      <c r="K22" s="6" t="str">
        <f ca="1">SUBSTITUTE(Table1[Restaurant_Name],"’","")</f>
        <v>Empire</v>
      </c>
      <c r="L22" s="6" t="s">
        <v>191</v>
      </c>
      <c r="M22" s="6">
        <v>4</v>
      </c>
      <c r="N22" s="8" t="s">
        <v>312</v>
      </c>
      <c r="O22" s="6" t="s">
        <v>194</v>
      </c>
      <c r="P22" s="6">
        <v>2</v>
      </c>
      <c r="Q22" s="6">
        <v>293</v>
      </c>
      <c r="R22" s="6">
        <v>586</v>
      </c>
      <c r="S22" s="6" t="s">
        <v>199</v>
      </c>
      <c r="T22" s="6" t="s">
        <v>204</v>
      </c>
      <c r="U22" s="6">
        <v>637</v>
      </c>
      <c r="V22" s="6">
        <v>1</v>
      </c>
      <c r="W22" s="6">
        <v>636</v>
      </c>
      <c r="X22" s="6" t="s">
        <v>71</v>
      </c>
      <c r="Y22" s="6" t="s">
        <v>244</v>
      </c>
      <c r="Z22" s="6" t="s">
        <v>257</v>
      </c>
      <c r="AA22" s="6" t="s">
        <v>262</v>
      </c>
      <c r="AB22" s="6" t="s">
        <v>269</v>
      </c>
      <c r="AC22" s="6">
        <v>7</v>
      </c>
      <c r="AD22" s="6" t="s">
        <v>271</v>
      </c>
      <c r="AE22" s="6" t="str">
        <f ca="1">SUBSTITUTE(Table1[Package_Type],"Bottle","Parcel")</f>
        <v>Wrapper</v>
      </c>
    </row>
    <row r="23" spans="1:31" x14ac:dyDescent="0.25">
      <c r="A23" s="5">
        <v>22</v>
      </c>
      <c r="B23" s="6">
        <v>22</v>
      </c>
      <c r="C23" s="6" t="s">
        <v>33</v>
      </c>
      <c r="D23" s="6" t="s">
        <v>68</v>
      </c>
      <c r="E23" s="6" t="s">
        <v>80</v>
      </c>
      <c r="F23" s="6" t="s">
        <v>130</v>
      </c>
      <c r="G23" s="6" t="s">
        <v>179</v>
      </c>
      <c r="H23" s="6" t="s">
        <v>188</v>
      </c>
      <c r="I23" s="6">
        <v>415501</v>
      </c>
      <c r="J23" s="6" t="s">
        <v>326</v>
      </c>
      <c r="K23" s="6" t="str">
        <f ca="1">SUBSTITUTE(Table1[Restaurant_Name],"’","")</f>
        <v>Anjappar</v>
      </c>
      <c r="L23" s="6" t="s">
        <v>192</v>
      </c>
      <c r="M23" s="6">
        <v>4.3</v>
      </c>
      <c r="N23" s="6" t="s">
        <v>276</v>
      </c>
      <c r="O23" s="6" t="s">
        <v>195</v>
      </c>
      <c r="P23" s="6">
        <v>2</v>
      </c>
      <c r="Q23" s="6">
        <v>112</v>
      </c>
      <c r="R23" s="6">
        <v>224</v>
      </c>
      <c r="S23" s="6" t="s">
        <v>200</v>
      </c>
      <c r="T23" s="6" t="s">
        <v>202</v>
      </c>
      <c r="U23" s="6">
        <v>243</v>
      </c>
      <c r="V23" s="6">
        <v>32</v>
      </c>
      <c r="W23" s="6">
        <v>211</v>
      </c>
      <c r="X23" s="6" t="s">
        <v>69</v>
      </c>
      <c r="Y23" s="6" t="s">
        <v>208</v>
      </c>
      <c r="Z23" s="6" t="s">
        <v>257</v>
      </c>
      <c r="AA23" s="6" t="s">
        <v>260</v>
      </c>
      <c r="AB23" s="6" t="s">
        <v>269</v>
      </c>
      <c r="AC23" s="6">
        <v>34</v>
      </c>
      <c r="AD23" s="6" t="s">
        <v>272</v>
      </c>
      <c r="AE23" s="6" t="str">
        <f ca="1">SUBSTITUTE(Table1[Package_Type],"Bottle","Parcel")</f>
        <v>Box</v>
      </c>
    </row>
    <row r="24" spans="1:31" x14ac:dyDescent="0.25">
      <c r="A24" s="5">
        <v>23</v>
      </c>
      <c r="B24" s="6">
        <v>23</v>
      </c>
      <c r="C24" s="6" t="s">
        <v>33</v>
      </c>
      <c r="D24" s="6" t="s">
        <v>73</v>
      </c>
      <c r="E24" s="6" t="s">
        <v>115</v>
      </c>
      <c r="F24" s="6" t="s">
        <v>165</v>
      </c>
      <c r="G24" s="6" t="s">
        <v>182</v>
      </c>
      <c r="H24" s="6" t="s">
        <v>189</v>
      </c>
      <c r="I24" s="6">
        <v>265700</v>
      </c>
      <c r="J24" s="6" t="s">
        <v>329</v>
      </c>
      <c r="K24" s="6" t="str">
        <f ca="1">SUBSTITUTE(Table1[Restaurant_Name],"’","")</f>
        <v>Bikanervala</v>
      </c>
      <c r="L24" s="6" t="s">
        <v>190</v>
      </c>
      <c r="M24" s="6">
        <v>3.9</v>
      </c>
      <c r="N24" s="8" t="s">
        <v>311</v>
      </c>
      <c r="O24" s="6" t="s">
        <v>197</v>
      </c>
      <c r="P24" s="6">
        <v>2</v>
      </c>
      <c r="Q24" s="6">
        <v>256</v>
      </c>
      <c r="R24" s="6">
        <v>512</v>
      </c>
      <c r="S24" s="6" t="s">
        <v>201</v>
      </c>
      <c r="T24" s="6" t="s">
        <v>203</v>
      </c>
      <c r="U24" s="6">
        <v>581</v>
      </c>
      <c r="V24" s="6">
        <v>8</v>
      </c>
      <c r="W24" s="6">
        <v>573</v>
      </c>
      <c r="X24" s="6" t="s">
        <v>72</v>
      </c>
      <c r="Y24" s="6" t="s">
        <v>243</v>
      </c>
      <c r="Z24" s="6" t="s">
        <v>256</v>
      </c>
      <c r="AA24" s="6" t="s">
        <v>261</v>
      </c>
      <c r="AB24" s="6" t="s">
        <v>268</v>
      </c>
      <c r="AC24" s="6">
        <v>10</v>
      </c>
      <c r="AD24" s="6" t="s">
        <v>272</v>
      </c>
      <c r="AE24" s="6" t="str">
        <f ca="1">SUBSTITUTE(Table1[Package_Type],"Bottle","Parcel")</f>
        <v>Box</v>
      </c>
    </row>
    <row r="25" spans="1:31" x14ac:dyDescent="0.25">
      <c r="A25" s="5">
        <v>24</v>
      </c>
      <c r="B25" s="6">
        <v>24</v>
      </c>
      <c r="C25" s="6" t="s">
        <v>50</v>
      </c>
      <c r="D25" s="6" t="s">
        <v>70</v>
      </c>
      <c r="E25" s="6" t="s">
        <v>98</v>
      </c>
      <c r="F25" s="6" t="s">
        <v>148</v>
      </c>
      <c r="G25" s="6" t="s">
        <v>180</v>
      </c>
      <c r="H25" s="6" t="s">
        <v>185</v>
      </c>
      <c r="I25" s="6">
        <v>402649</v>
      </c>
      <c r="J25" s="6" t="s">
        <v>349</v>
      </c>
      <c r="K25" s="6" t="str">
        <f ca="1">SUBSTITUTE(Table1[Restaurant_Name],"’","")</f>
        <v>Cream Stone</v>
      </c>
      <c r="L25" s="6" t="s">
        <v>190</v>
      </c>
      <c r="M25" s="6">
        <v>3.2</v>
      </c>
      <c r="N25" s="8" t="s">
        <v>294</v>
      </c>
      <c r="O25" s="6" t="s">
        <v>194</v>
      </c>
      <c r="P25" s="6">
        <v>3</v>
      </c>
      <c r="Q25" s="6">
        <v>211</v>
      </c>
      <c r="R25" s="6">
        <v>633</v>
      </c>
      <c r="S25" s="6" t="s">
        <v>199</v>
      </c>
      <c r="T25" s="6" t="s">
        <v>204</v>
      </c>
      <c r="U25" s="6">
        <v>636</v>
      </c>
      <c r="V25" s="6">
        <v>3</v>
      </c>
      <c r="W25" s="6">
        <v>633</v>
      </c>
      <c r="X25" s="6" t="s">
        <v>77</v>
      </c>
      <c r="Y25" s="6" t="s">
        <v>226</v>
      </c>
      <c r="Z25" s="6" t="s">
        <v>256</v>
      </c>
      <c r="AA25" s="6" t="s">
        <v>266</v>
      </c>
      <c r="AB25" s="6" t="s">
        <v>268</v>
      </c>
      <c r="AC25" s="6">
        <v>38</v>
      </c>
      <c r="AD25" s="6" t="s">
        <v>272</v>
      </c>
      <c r="AE25" s="6" t="str">
        <f ca="1">SUBSTITUTE(Table1[Package_Type],"Bottle","Parcel")</f>
        <v>Box</v>
      </c>
    </row>
    <row r="26" spans="1:31" x14ac:dyDescent="0.25">
      <c r="A26" s="5">
        <v>25</v>
      </c>
      <c r="B26" s="6">
        <v>25</v>
      </c>
      <c r="C26" s="6" t="s">
        <v>40</v>
      </c>
      <c r="D26" s="6" t="s">
        <v>74</v>
      </c>
      <c r="E26" s="6" t="s">
        <v>87</v>
      </c>
      <c r="F26" s="6" t="s">
        <v>137</v>
      </c>
      <c r="G26" s="6" t="s">
        <v>182</v>
      </c>
      <c r="H26" s="6" t="s">
        <v>186</v>
      </c>
      <c r="I26" s="6">
        <v>830842</v>
      </c>
      <c r="J26" s="6" t="s">
        <v>335</v>
      </c>
      <c r="K26" s="6" t="str">
        <f ca="1">SUBSTITUTE(Table1[Restaurant_Name],"’","")</f>
        <v>BreadTalk</v>
      </c>
      <c r="L26" s="6" t="s">
        <v>193</v>
      </c>
      <c r="M26" s="6">
        <v>4.5</v>
      </c>
      <c r="N26" s="6" t="s">
        <v>283</v>
      </c>
      <c r="O26" s="6" t="s">
        <v>195</v>
      </c>
      <c r="P26" s="6">
        <v>2</v>
      </c>
      <c r="Q26" s="6">
        <v>156</v>
      </c>
      <c r="R26" s="6">
        <v>312</v>
      </c>
      <c r="S26" s="6" t="s">
        <v>199</v>
      </c>
      <c r="T26" s="6" t="s">
        <v>202</v>
      </c>
      <c r="U26" s="6">
        <v>365</v>
      </c>
      <c r="V26" s="6">
        <v>9</v>
      </c>
      <c r="W26" s="6">
        <v>356</v>
      </c>
      <c r="X26" s="6" t="s">
        <v>70</v>
      </c>
      <c r="Y26" s="6" t="s">
        <v>215</v>
      </c>
      <c r="Z26" s="6" t="s">
        <v>257</v>
      </c>
      <c r="AA26" s="6" t="s">
        <v>264</v>
      </c>
      <c r="AB26" s="6" t="s">
        <v>269</v>
      </c>
      <c r="AC26" s="6">
        <v>5</v>
      </c>
      <c r="AD26" s="6" t="s">
        <v>273</v>
      </c>
      <c r="AE26" s="6" t="str">
        <f ca="1">SUBSTITUTE(Table1[Package_Type],"Bottle","Parcel")</f>
        <v>Box</v>
      </c>
    </row>
    <row r="27" spans="1:31" x14ac:dyDescent="0.25">
      <c r="A27" s="5">
        <v>26</v>
      </c>
      <c r="B27" s="6">
        <v>26</v>
      </c>
      <c r="C27" s="6" t="s">
        <v>40</v>
      </c>
      <c r="D27" s="6" t="s">
        <v>77</v>
      </c>
      <c r="E27" s="6" t="s">
        <v>101</v>
      </c>
      <c r="F27" s="6" t="s">
        <v>151</v>
      </c>
      <c r="G27" s="6" t="s">
        <v>181</v>
      </c>
      <c r="H27" s="6" t="s">
        <v>184</v>
      </c>
      <c r="I27" s="6">
        <v>219527</v>
      </c>
      <c r="J27" s="6" t="s">
        <v>353</v>
      </c>
      <c r="K27" s="6" t="str">
        <f ca="1">SUBSTITUTE(Table1[Restaurant_Name],"’","")</f>
        <v>Copper Chimney</v>
      </c>
      <c r="L27" s="6" t="s">
        <v>190</v>
      </c>
      <c r="M27" s="6">
        <v>4.5999999999999996</v>
      </c>
      <c r="N27" s="8" t="s">
        <v>297</v>
      </c>
      <c r="O27" s="6" t="s">
        <v>198</v>
      </c>
      <c r="P27" s="6">
        <v>4</v>
      </c>
      <c r="Q27" s="6">
        <v>222</v>
      </c>
      <c r="R27" s="6">
        <v>888</v>
      </c>
      <c r="S27" s="6" t="s">
        <v>199</v>
      </c>
      <c r="T27" s="6" t="s">
        <v>203</v>
      </c>
      <c r="U27" s="6">
        <v>968</v>
      </c>
      <c r="V27" s="6">
        <v>25</v>
      </c>
      <c r="W27" s="6">
        <v>943</v>
      </c>
      <c r="X27" s="6" t="s">
        <v>73</v>
      </c>
      <c r="Y27" s="6" t="s">
        <v>229</v>
      </c>
      <c r="Z27" s="6" t="s">
        <v>257</v>
      </c>
      <c r="AA27" s="6" t="s">
        <v>262</v>
      </c>
      <c r="AB27" s="6" t="s">
        <v>269</v>
      </c>
      <c r="AC27" s="6">
        <v>24</v>
      </c>
      <c r="AD27" s="6" t="s">
        <v>273</v>
      </c>
      <c r="AE27" s="6" t="str">
        <f ca="1">SUBSTITUTE(Table1[Package_Type],"Bottle","Parcel")</f>
        <v>Parcel</v>
      </c>
    </row>
    <row r="28" spans="1:31" x14ac:dyDescent="0.25">
      <c r="A28" s="5">
        <v>27</v>
      </c>
      <c r="B28" s="6">
        <v>27</v>
      </c>
      <c r="C28" s="6" t="s">
        <v>45</v>
      </c>
      <c r="D28" s="6" t="s">
        <v>76</v>
      </c>
      <c r="E28" s="6" t="s">
        <v>92</v>
      </c>
      <c r="F28" s="6" t="s">
        <v>142</v>
      </c>
      <c r="G28" s="6" t="s">
        <v>183</v>
      </c>
      <c r="H28" s="6" t="s">
        <v>186</v>
      </c>
      <c r="I28" s="6">
        <v>840712</v>
      </c>
      <c r="J28" s="6" t="s">
        <v>341</v>
      </c>
      <c r="K28" s="6" t="str">
        <f ca="1">SUBSTITUTE(Table1[Restaurant_Name],"’","")</f>
        <v>Café Niloufer</v>
      </c>
      <c r="L28" s="6" t="s">
        <v>193</v>
      </c>
      <c r="M28" s="6">
        <v>3.1</v>
      </c>
      <c r="N28" s="6" t="s">
        <v>288</v>
      </c>
      <c r="O28" s="6" t="s">
        <v>194</v>
      </c>
      <c r="P28" s="6">
        <v>3</v>
      </c>
      <c r="Q28" s="6">
        <v>140</v>
      </c>
      <c r="R28" s="6">
        <v>420</v>
      </c>
      <c r="S28" s="6" t="s">
        <v>199</v>
      </c>
      <c r="T28" s="6" t="s">
        <v>205</v>
      </c>
      <c r="U28" s="6">
        <v>423</v>
      </c>
      <c r="V28" s="6">
        <v>39</v>
      </c>
      <c r="W28" s="6">
        <v>384</v>
      </c>
      <c r="X28" s="6" t="s">
        <v>68</v>
      </c>
      <c r="Y28" s="6" t="s">
        <v>220</v>
      </c>
      <c r="Z28" s="6" t="s">
        <v>256</v>
      </c>
      <c r="AA28" s="6" t="s">
        <v>260</v>
      </c>
      <c r="AB28" s="6" t="s">
        <v>268</v>
      </c>
      <c r="AC28" s="6">
        <v>10</v>
      </c>
      <c r="AD28" s="6" t="s">
        <v>273</v>
      </c>
      <c r="AE28" s="6" t="str">
        <f ca="1">SUBSTITUTE(Table1[Package_Type],"Bottle","Parcel")</f>
        <v>Parcel</v>
      </c>
    </row>
    <row r="29" spans="1:31" x14ac:dyDescent="0.25">
      <c r="A29" s="5">
        <v>28</v>
      </c>
      <c r="B29" s="6">
        <v>28</v>
      </c>
      <c r="C29" s="6" t="s">
        <v>62</v>
      </c>
      <c r="D29" s="6" t="s">
        <v>73</v>
      </c>
      <c r="E29" s="6" t="s">
        <v>118</v>
      </c>
      <c r="F29" s="6" t="s">
        <v>168</v>
      </c>
      <c r="G29" s="6" t="s">
        <v>179</v>
      </c>
      <c r="H29" s="6" t="s">
        <v>189</v>
      </c>
      <c r="I29" s="6">
        <v>933843</v>
      </c>
      <c r="J29" s="6" t="s">
        <v>332</v>
      </c>
      <c r="K29" s="6" t="str">
        <f ca="1">SUBSTITUTE(Table1[Restaurant_Name],"’","")</f>
        <v>A2B</v>
      </c>
      <c r="L29" s="6" t="s">
        <v>190</v>
      </c>
      <c r="M29" s="6">
        <v>4.2</v>
      </c>
      <c r="N29" s="8" t="s">
        <v>314</v>
      </c>
      <c r="O29" s="6" t="s">
        <v>194</v>
      </c>
      <c r="P29" s="6">
        <v>3</v>
      </c>
      <c r="Q29" s="6">
        <v>284</v>
      </c>
      <c r="R29" s="6">
        <v>852</v>
      </c>
      <c r="S29" s="6" t="s">
        <v>200</v>
      </c>
      <c r="T29" s="6" t="s">
        <v>204</v>
      </c>
      <c r="U29" s="6">
        <v>921</v>
      </c>
      <c r="V29" s="6">
        <v>27</v>
      </c>
      <c r="W29" s="6">
        <v>894</v>
      </c>
      <c r="X29" s="6" t="s">
        <v>76</v>
      </c>
      <c r="Y29" s="6" t="s">
        <v>246</v>
      </c>
      <c r="Z29" s="6" t="s">
        <v>257</v>
      </c>
      <c r="AA29" s="6" t="s">
        <v>263</v>
      </c>
      <c r="AB29" s="6" t="s">
        <v>269</v>
      </c>
      <c r="AC29" s="6">
        <v>39</v>
      </c>
      <c r="AD29" s="6" t="s">
        <v>273</v>
      </c>
      <c r="AE29" s="6" t="str">
        <f ca="1">SUBSTITUTE(Table1[Package_Type],"Bottle","Parcel")</f>
        <v>Box</v>
      </c>
    </row>
    <row r="30" spans="1:31" x14ac:dyDescent="0.25">
      <c r="A30" s="5">
        <v>29</v>
      </c>
      <c r="B30" s="6">
        <v>29</v>
      </c>
      <c r="C30" s="6" t="s">
        <v>47</v>
      </c>
      <c r="D30" s="6" t="s">
        <v>74</v>
      </c>
      <c r="E30" s="6" t="s">
        <v>95</v>
      </c>
      <c r="F30" s="6" t="s">
        <v>145</v>
      </c>
      <c r="G30" s="6" t="s">
        <v>181</v>
      </c>
      <c r="H30" s="6" t="s">
        <v>185</v>
      </c>
      <c r="I30" s="6">
        <v>697214</v>
      </c>
      <c r="J30" s="6" t="s">
        <v>345</v>
      </c>
      <c r="K30" s="6" t="str">
        <f ca="1">SUBSTITUTE(Table1[Restaurant_Name],"’","")</f>
        <v>Barbeque Nation</v>
      </c>
      <c r="L30" s="6" t="s">
        <v>190</v>
      </c>
      <c r="M30" s="6">
        <v>3.1</v>
      </c>
      <c r="N30" s="8" t="s">
        <v>291</v>
      </c>
      <c r="O30" s="6" t="s">
        <v>196</v>
      </c>
      <c r="P30" s="6">
        <v>2</v>
      </c>
      <c r="Q30" s="6">
        <v>264</v>
      </c>
      <c r="R30" s="6">
        <v>528</v>
      </c>
      <c r="S30" s="6" t="s">
        <v>201</v>
      </c>
      <c r="T30" s="6" t="s">
        <v>205</v>
      </c>
      <c r="U30" s="6">
        <v>587</v>
      </c>
      <c r="V30" s="6">
        <v>22</v>
      </c>
      <c r="W30" s="6">
        <v>565</v>
      </c>
      <c r="X30" s="6" t="s">
        <v>73</v>
      </c>
      <c r="Y30" s="6" t="s">
        <v>223</v>
      </c>
      <c r="Z30" s="6" t="s">
        <v>257</v>
      </c>
      <c r="AA30" s="6" t="s">
        <v>266</v>
      </c>
      <c r="AB30" s="6" t="s">
        <v>268</v>
      </c>
      <c r="AC30" s="6">
        <v>13</v>
      </c>
      <c r="AD30" s="6" t="s">
        <v>270</v>
      </c>
      <c r="AE30" s="6" t="str">
        <f ca="1">SUBSTITUTE(Table1[Package_Type],"Bottle","Parcel")</f>
        <v>Wrapper</v>
      </c>
    </row>
    <row r="31" spans="1:31" x14ac:dyDescent="0.25">
      <c r="A31" s="5">
        <v>30</v>
      </c>
      <c r="B31" s="6">
        <v>30</v>
      </c>
      <c r="C31" s="6" t="s">
        <v>47</v>
      </c>
      <c r="D31" s="6" t="s">
        <v>68</v>
      </c>
      <c r="E31" s="6" t="s">
        <v>126</v>
      </c>
      <c r="F31" s="6" t="s">
        <v>176</v>
      </c>
      <c r="G31" s="6" t="s">
        <v>183</v>
      </c>
      <c r="H31" s="6" t="s">
        <v>184</v>
      </c>
      <c r="I31" s="6">
        <v>418294</v>
      </c>
      <c r="J31" s="6" t="s">
        <v>342</v>
      </c>
      <c r="K31" s="6" t="str">
        <f ca="1">SUBSTITUTE(Table1[Restaurant_Name],"’","")</f>
        <v>Chutneys</v>
      </c>
      <c r="L31" s="6" t="s">
        <v>190</v>
      </c>
      <c r="M31" s="6">
        <v>3.7</v>
      </c>
      <c r="N31" s="8" t="s">
        <v>322</v>
      </c>
      <c r="O31" s="6" t="s">
        <v>195</v>
      </c>
      <c r="P31" s="6">
        <v>3</v>
      </c>
      <c r="Q31" s="6">
        <v>270</v>
      </c>
      <c r="R31" s="6">
        <v>810</v>
      </c>
      <c r="S31" s="6" t="s">
        <v>201</v>
      </c>
      <c r="T31" s="6" t="s">
        <v>204</v>
      </c>
      <c r="U31" s="6">
        <v>829</v>
      </c>
      <c r="V31" s="6">
        <v>4</v>
      </c>
      <c r="W31" s="6">
        <v>825</v>
      </c>
      <c r="X31" s="6" t="s">
        <v>76</v>
      </c>
      <c r="Y31" s="6" t="s">
        <v>254</v>
      </c>
      <c r="Z31" s="6" t="s">
        <v>256</v>
      </c>
      <c r="AA31" s="6" t="s">
        <v>262</v>
      </c>
      <c r="AB31" s="6" t="s">
        <v>268</v>
      </c>
      <c r="AC31" s="6">
        <v>17</v>
      </c>
      <c r="AD31" s="6" t="s">
        <v>272</v>
      </c>
      <c r="AE31" s="6" t="str">
        <f ca="1">SUBSTITUTE(Table1[Package_Type],"Bottle","Parcel")</f>
        <v>Wrapper</v>
      </c>
    </row>
    <row r="32" spans="1:31" x14ac:dyDescent="0.25">
      <c r="A32" s="5">
        <v>31</v>
      </c>
      <c r="B32" s="6">
        <v>31</v>
      </c>
      <c r="C32" s="6" t="s">
        <v>46</v>
      </c>
      <c r="D32" s="6" t="s">
        <v>71</v>
      </c>
      <c r="E32" s="6" t="s">
        <v>93</v>
      </c>
      <c r="F32" s="6" t="s">
        <v>143</v>
      </c>
      <c r="G32" s="6" t="s">
        <v>183</v>
      </c>
      <c r="H32" s="6" t="s">
        <v>184</v>
      </c>
      <c r="I32" s="6">
        <v>418294</v>
      </c>
      <c r="J32" s="6" t="s">
        <v>342</v>
      </c>
      <c r="K32" s="6" t="str">
        <f ca="1">SUBSTITUTE(Table1[Restaurant_Name],"’","")</f>
        <v>Chutneys</v>
      </c>
      <c r="L32" s="6" t="s">
        <v>190</v>
      </c>
      <c r="M32" s="6">
        <v>3.8</v>
      </c>
      <c r="N32" s="8" t="s">
        <v>289</v>
      </c>
      <c r="O32" s="6" t="s">
        <v>195</v>
      </c>
      <c r="P32" s="6">
        <v>3</v>
      </c>
      <c r="Q32" s="6">
        <v>218</v>
      </c>
      <c r="R32" s="6">
        <v>654</v>
      </c>
      <c r="S32" s="6" t="s">
        <v>201</v>
      </c>
      <c r="T32" s="6" t="s">
        <v>203</v>
      </c>
      <c r="U32" s="6">
        <v>717</v>
      </c>
      <c r="V32" s="6">
        <v>20</v>
      </c>
      <c r="W32" s="6">
        <v>697</v>
      </c>
      <c r="X32" s="6" t="s">
        <v>70</v>
      </c>
      <c r="Y32" s="6" t="s">
        <v>221</v>
      </c>
      <c r="Z32" s="6" t="s">
        <v>257</v>
      </c>
      <c r="AA32" s="6" t="s">
        <v>264</v>
      </c>
      <c r="AB32" s="6" t="s">
        <v>268</v>
      </c>
      <c r="AC32" s="6">
        <v>27</v>
      </c>
      <c r="AD32" s="6" t="s">
        <v>271</v>
      </c>
      <c r="AE32" s="6" t="str">
        <f ca="1">SUBSTITUTE(Table1[Package_Type],"Bottle","Parcel")</f>
        <v>Parcel</v>
      </c>
    </row>
    <row r="33" spans="1:31" x14ac:dyDescent="0.25">
      <c r="A33" s="5">
        <v>32</v>
      </c>
      <c r="B33" s="6">
        <v>32</v>
      </c>
      <c r="C33" s="6" t="s">
        <v>46</v>
      </c>
      <c r="D33" s="6" t="s">
        <v>70</v>
      </c>
      <c r="E33" s="6" t="s">
        <v>109</v>
      </c>
      <c r="F33" s="6" t="s">
        <v>159</v>
      </c>
      <c r="G33" s="6" t="s">
        <v>179</v>
      </c>
      <c r="H33" s="6" t="s">
        <v>188</v>
      </c>
      <c r="I33" s="6">
        <v>517278</v>
      </c>
      <c r="J33" s="6" t="s">
        <v>361</v>
      </c>
      <c r="K33" s="6" t="str">
        <f ca="1">SUBSTITUTE(Table1[Restaurant_Name],"’","")</f>
        <v>HOTEL Saravana</v>
      </c>
      <c r="L33" s="6" t="s">
        <v>192</v>
      </c>
      <c r="M33" s="6">
        <v>3.8</v>
      </c>
      <c r="N33" s="8" t="s">
        <v>305</v>
      </c>
      <c r="O33" s="6" t="s">
        <v>195</v>
      </c>
      <c r="P33" s="6">
        <v>3</v>
      </c>
      <c r="Q33" s="6">
        <v>187</v>
      </c>
      <c r="R33" s="6">
        <v>561</v>
      </c>
      <c r="S33" s="6" t="s">
        <v>200</v>
      </c>
      <c r="T33" s="6" t="s">
        <v>204</v>
      </c>
      <c r="U33" s="6">
        <v>562</v>
      </c>
      <c r="V33" s="6">
        <v>27</v>
      </c>
      <c r="W33" s="6">
        <v>535</v>
      </c>
      <c r="X33" s="6" t="s">
        <v>77</v>
      </c>
      <c r="Y33" s="6" t="s">
        <v>237</v>
      </c>
      <c r="Z33" s="6" t="s">
        <v>257</v>
      </c>
      <c r="AA33" s="6" t="s">
        <v>263</v>
      </c>
      <c r="AB33" s="6" t="s">
        <v>268</v>
      </c>
      <c r="AC33" s="6">
        <v>22</v>
      </c>
      <c r="AD33" s="6" t="s">
        <v>271</v>
      </c>
      <c r="AE33" s="6" t="str">
        <f ca="1">SUBSTITUTE(Table1[Package_Type],"Bottle","Parcel")</f>
        <v>Wrapper</v>
      </c>
    </row>
    <row r="34" spans="1:31" x14ac:dyDescent="0.25">
      <c r="A34" s="5">
        <v>33</v>
      </c>
      <c r="B34" s="6">
        <v>33</v>
      </c>
      <c r="C34" s="6" t="s">
        <v>53</v>
      </c>
      <c r="D34" s="6" t="s">
        <v>70</v>
      </c>
      <c r="E34" s="6" t="s">
        <v>103</v>
      </c>
      <c r="F34" s="6" t="s">
        <v>153</v>
      </c>
      <c r="G34" s="6" t="s">
        <v>180</v>
      </c>
      <c r="H34" s="6" t="s">
        <v>185</v>
      </c>
      <c r="I34" s="6">
        <v>948722</v>
      </c>
      <c r="J34" s="6" t="s">
        <v>355</v>
      </c>
      <c r="K34" s="6" t="str">
        <f ca="1">SUBSTITUTE(Table1[Restaurant_Name],"’","")</f>
        <v>The Chinese Box</v>
      </c>
      <c r="L34" s="6" t="s">
        <v>191</v>
      </c>
      <c r="M34" s="6">
        <v>4.0999999999999996</v>
      </c>
      <c r="N34" s="8" t="s">
        <v>299</v>
      </c>
      <c r="O34" s="6" t="s">
        <v>194</v>
      </c>
      <c r="P34" s="6">
        <v>4</v>
      </c>
      <c r="Q34" s="6">
        <v>280</v>
      </c>
      <c r="R34" s="6">
        <v>1120</v>
      </c>
      <c r="S34" s="6" t="s">
        <v>199</v>
      </c>
      <c r="T34" s="6" t="s">
        <v>205</v>
      </c>
      <c r="U34" s="6">
        <v>1172</v>
      </c>
      <c r="V34" s="6">
        <v>22</v>
      </c>
      <c r="W34" s="6">
        <v>1150</v>
      </c>
      <c r="X34" s="6" t="s">
        <v>74</v>
      </c>
      <c r="Y34" s="6" t="s">
        <v>231</v>
      </c>
      <c r="Z34" s="6" t="s">
        <v>257</v>
      </c>
      <c r="AA34" s="6" t="s">
        <v>260</v>
      </c>
      <c r="AB34" s="6" t="s">
        <v>269</v>
      </c>
      <c r="AC34" s="6">
        <v>10</v>
      </c>
      <c r="AD34" s="6" t="s">
        <v>272</v>
      </c>
      <c r="AE34" s="6" t="str">
        <f ca="1">SUBSTITUTE(Table1[Package_Type],"Bottle","Parcel")</f>
        <v>Parcel</v>
      </c>
    </row>
    <row r="35" spans="1:31" x14ac:dyDescent="0.25">
      <c r="A35" s="5">
        <v>34</v>
      </c>
      <c r="B35" s="6">
        <v>34</v>
      </c>
      <c r="C35" s="6" t="s">
        <v>44</v>
      </c>
      <c r="D35" s="6" t="s">
        <v>76</v>
      </c>
      <c r="E35" s="6" t="s">
        <v>91</v>
      </c>
      <c r="F35" s="6" t="s">
        <v>141</v>
      </c>
      <c r="G35" s="6" t="s">
        <v>183</v>
      </c>
      <c r="H35" s="6" t="s">
        <v>185</v>
      </c>
      <c r="I35" s="6">
        <v>487241</v>
      </c>
      <c r="J35" s="6" t="s">
        <v>339</v>
      </c>
      <c r="K35" s="6" t="str">
        <f ca="1">SUBSTITUTE(Table1[Restaurant_Name],"’","")</f>
        <v>Pista House</v>
      </c>
      <c r="L35" s="6" t="s">
        <v>193</v>
      </c>
      <c r="M35" s="6">
        <v>4.3</v>
      </c>
      <c r="N35" s="6" t="s">
        <v>287</v>
      </c>
      <c r="O35" s="6" t="s">
        <v>196</v>
      </c>
      <c r="P35" s="6">
        <v>3</v>
      </c>
      <c r="Q35" s="6">
        <v>171</v>
      </c>
      <c r="R35" s="6">
        <v>513</v>
      </c>
      <c r="S35" s="6" t="s">
        <v>199</v>
      </c>
      <c r="T35" s="6" t="s">
        <v>202</v>
      </c>
      <c r="U35" s="6">
        <v>589</v>
      </c>
      <c r="V35" s="6">
        <v>17</v>
      </c>
      <c r="W35" s="6">
        <v>572</v>
      </c>
      <c r="X35" s="6" t="s">
        <v>75</v>
      </c>
      <c r="Y35" s="6" t="s">
        <v>219</v>
      </c>
      <c r="Z35" s="6" t="s">
        <v>257</v>
      </c>
      <c r="AA35" s="6" t="s">
        <v>265</v>
      </c>
      <c r="AB35" s="6" t="s">
        <v>269</v>
      </c>
      <c r="AC35" s="6">
        <v>32</v>
      </c>
      <c r="AD35" s="6" t="s">
        <v>271</v>
      </c>
      <c r="AE35" s="6" t="str">
        <f ca="1">SUBSTITUTE(Table1[Package_Type],"Bottle","Parcel")</f>
        <v>Box</v>
      </c>
    </row>
    <row r="36" spans="1:31" x14ac:dyDescent="0.25">
      <c r="A36" s="5">
        <v>35</v>
      </c>
      <c r="B36" s="6">
        <v>35</v>
      </c>
      <c r="C36" s="6" t="s">
        <v>63</v>
      </c>
      <c r="D36" s="6" t="s">
        <v>73</v>
      </c>
      <c r="E36" s="6" t="s">
        <v>119</v>
      </c>
      <c r="F36" s="6" t="s">
        <v>169</v>
      </c>
      <c r="G36" s="6" t="s">
        <v>183</v>
      </c>
      <c r="H36" s="6" t="s">
        <v>188</v>
      </c>
      <c r="I36" s="6">
        <v>113581</v>
      </c>
      <c r="J36" s="6" t="s">
        <v>333</v>
      </c>
      <c r="K36" s="6" t="str">
        <f ca="1">SUBSTITUTE(Table1[Restaurant_Name],"’","")</f>
        <v>Paradise</v>
      </c>
      <c r="L36" s="6" t="s">
        <v>190</v>
      </c>
      <c r="M36" s="6">
        <v>4.9000000000000004</v>
      </c>
      <c r="N36" s="8" t="s">
        <v>315</v>
      </c>
      <c r="O36" s="6" t="s">
        <v>195</v>
      </c>
      <c r="P36" s="6">
        <v>4</v>
      </c>
      <c r="Q36" s="6">
        <v>240</v>
      </c>
      <c r="R36" s="6">
        <v>960</v>
      </c>
      <c r="S36" s="6" t="s">
        <v>199</v>
      </c>
      <c r="T36" s="6" t="s">
        <v>204</v>
      </c>
      <c r="U36" s="6">
        <v>1024</v>
      </c>
      <c r="V36" s="6">
        <v>19</v>
      </c>
      <c r="W36" s="6">
        <v>1005</v>
      </c>
      <c r="X36" s="6" t="s">
        <v>75</v>
      </c>
      <c r="Y36" s="6" t="s">
        <v>247</v>
      </c>
      <c r="Z36" s="6" t="s">
        <v>257</v>
      </c>
      <c r="AA36" s="6" t="s">
        <v>259</v>
      </c>
      <c r="AB36" s="6" t="s">
        <v>269</v>
      </c>
      <c r="AC36" s="6">
        <v>21</v>
      </c>
      <c r="AD36" s="6" t="s">
        <v>270</v>
      </c>
      <c r="AE36" s="6" t="str">
        <f ca="1">SUBSTITUTE(Table1[Package_Type],"Bottle","Parcel")</f>
        <v>Parcel</v>
      </c>
    </row>
    <row r="37" spans="1:31" x14ac:dyDescent="0.25">
      <c r="A37" s="5">
        <v>36</v>
      </c>
      <c r="B37" s="6">
        <v>36</v>
      </c>
      <c r="C37" s="6" t="s">
        <v>52</v>
      </c>
      <c r="D37" s="6" t="s">
        <v>69</v>
      </c>
      <c r="E37" s="6" t="s">
        <v>102</v>
      </c>
      <c r="F37" s="6" t="s">
        <v>152</v>
      </c>
      <c r="G37" s="6" t="s">
        <v>180</v>
      </c>
      <c r="H37" s="6" t="s">
        <v>184</v>
      </c>
      <c r="I37" s="6">
        <v>796255</v>
      </c>
      <c r="J37" s="6" t="s">
        <v>354</v>
      </c>
      <c r="K37" s="6" t="str">
        <f ca="1">SUBSTITUTE(Table1[Restaurant_Name],"’","")</f>
        <v>Marzorin</v>
      </c>
      <c r="L37" s="6" t="s">
        <v>190</v>
      </c>
      <c r="M37" s="6">
        <v>3.7</v>
      </c>
      <c r="N37" s="8" t="s">
        <v>298</v>
      </c>
      <c r="O37" s="6" t="s">
        <v>197</v>
      </c>
      <c r="P37" s="6">
        <v>3</v>
      </c>
      <c r="Q37" s="6">
        <v>263</v>
      </c>
      <c r="R37" s="6">
        <v>789</v>
      </c>
      <c r="S37" s="6" t="s">
        <v>199</v>
      </c>
      <c r="T37" s="6" t="s">
        <v>204</v>
      </c>
      <c r="U37" s="6">
        <v>848</v>
      </c>
      <c r="V37" s="6">
        <v>17</v>
      </c>
      <c r="W37" s="6">
        <v>831</v>
      </c>
      <c r="X37" s="6" t="s">
        <v>76</v>
      </c>
      <c r="Y37" s="6" t="s">
        <v>230</v>
      </c>
      <c r="Z37" s="6" t="s">
        <v>257</v>
      </c>
      <c r="AA37" s="6" t="s">
        <v>267</v>
      </c>
      <c r="AB37" s="6" t="s">
        <v>269</v>
      </c>
      <c r="AC37" s="6">
        <v>32</v>
      </c>
      <c r="AD37" s="6" t="s">
        <v>272</v>
      </c>
      <c r="AE37" s="6" t="str">
        <f ca="1">SUBSTITUTE(Table1[Package_Type],"Bottle","Parcel")</f>
        <v>Parcel</v>
      </c>
    </row>
    <row r="38" spans="1:31" x14ac:dyDescent="0.25">
      <c r="A38" s="5">
        <v>37</v>
      </c>
      <c r="B38" s="6">
        <v>37</v>
      </c>
      <c r="C38" s="6" t="s">
        <v>65</v>
      </c>
      <c r="D38" s="6" t="s">
        <v>74</v>
      </c>
      <c r="E38" s="6" t="s">
        <v>124</v>
      </c>
      <c r="F38" s="6" t="s">
        <v>174</v>
      </c>
      <c r="G38" s="6" t="s">
        <v>183</v>
      </c>
      <c r="H38" s="6" t="s">
        <v>185</v>
      </c>
      <c r="I38" s="6">
        <v>487241</v>
      </c>
      <c r="J38" s="6" t="s">
        <v>339</v>
      </c>
      <c r="K38" s="6" t="str">
        <f ca="1">SUBSTITUTE(Table1[Restaurant_Name],"’","")</f>
        <v>Pista House</v>
      </c>
      <c r="L38" s="6" t="s">
        <v>193</v>
      </c>
      <c r="M38" s="6">
        <v>3.1</v>
      </c>
      <c r="N38" s="8" t="s">
        <v>320</v>
      </c>
      <c r="O38" s="6" t="s">
        <v>198</v>
      </c>
      <c r="P38" s="6">
        <v>3</v>
      </c>
      <c r="Q38" s="6">
        <v>158</v>
      </c>
      <c r="R38" s="6">
        <v>474</v>
      </c>
      <c r="S38" s="6" t="s">
        <v>200</v>
      </c>
      <c r="T38" s="6" t="s">
        <v>204</v>
      </c>
      <c r="U38" s="6">
        <v>554</v>
      </c>
      <c r="V38" s="6">
        <v>11</v>
      </c>
      <c r="W38" s="6">
        <v>543</v>
      </c>
      <c r="X38" s="6" t="s">
        <v>77</v>
      </c>
      <c r="Y38" s="6" t="s">
        <v>252</v>
      </c>
      <c r="Z38" s="6" t="s">
        <v>256</v>
      </c>
      <c r="AA38" s="6" t="s">
        <v>262</v>
      </c>
      <c r="AB38" s="6" t="s">
        <v>268</v>
      </c>
      <c r="AC38" s="6">
        <v>13</v>
      </c>
      <c r="AD38" s="6" t="s">
        <v>272</v>
      </c>
      <c r="AE38" s="6" t="str">
        <f ca="1">SUBSTITUTE(Table1[Package_Type],"Bottle","Parcel")</f>
        <v>Box</v>
      </c>
    </row>
    <row r="39" spans="1:31" x14ac:dyDescent="0.25">
      <c r="A39" s="5">
        <v>38</v>
      </c>
      <c r="B39" s="6">
        <v>38</v>
      </c>
      <c r="C39" s="6" t="s">
        <v>37</v>
      </c>
      <c r="D39" s="6" t="s">
        <v>72</v>
      </c>
      <c r="E39" s="6" t="s">
        <v>84</v>
      </c>
      <c r="F39" s="6" t="s">
        <v>134</v>
      </c>
      <c r="G39" s="6" t="s">
        <v>182</v>
      </c>
      <c r="H39" s="6" t="s">
        <v>188</v>
      </c>
      <c r="I39" s="6">
        <v>741383</v>
      </c>
      <c r="J39" s="6" t="s">
        <v>331</v>
      </c>
      <c r="K39" s="6" t="str">
        <f ca="1">SUBSTITUTE(Table1[Restaurant_Name],"’","")</f>
        <v>Saravana Bhavan</v>
      </c>
      <c r="L39" s="6" t="s">
        <v>192</v>
      </c>
      <c r="M39" s="6">
        <v>3.8</v>
      </c>
      <c r="N39" s="6" t="s">
        <v>280</v>
      </c>
      <c r="O39" s="6" t="s">
        <v>196</v>
      </c>
      <c r="P39" s="6">
        <v>4</v>
      </c>
      <c r="Q39" s="6">
        <v>273</v>
      </c>
      <c r="R39" s="6">
        <v>1092</v>
      </c>
      <c r="S39" s="6" t="s">
        <v>199</v>
      </c>
      <c r="T39" s="6" t="s">
        <v>203</v>
      </c>
      <c r="U39" s="6">
        <v>1111</v>
      </c>
      <c r="V39" s="6">
        <v>33</v>
      </c>
      <c r="W39" s="6">
        <v>1078</v>
      </c>
      <c r="X39" s="6" t="s">
        <v>71</v>
      </c>
      <c r="Y39" s="6" t="s">
        <v>212</v>
      </c>
      <c r="Z39" s="6" t="s">
        <v>257</v>
      </c>
      <c r="AA39" s="6" t="s">
        <v>263</v>
      </c>
      <c r="AB39" s="6" t="s">
        <v>269</v>
      </c>
      <c r="AC39" s="6">
        <v>12</v>
      </c>
      <c r="AD39" s="6" t="s">
        <v>270</v>
      </c>
      <c r="AE39" s="6" t="str">
        <f ca="1">SUBSTITUTE(Table1[Package_Type],"Bottle","Parcel")</f>
        <v>Box</v>
      </c>
    </row>
    <row r="40" spans="1:31" x14ac:dyDescent="0.25">
      <c r="A40" s="5">
        <v>39</v>
      </c>
      <c r="B40" s="6">
        <v>39</v>
      </c>
      <c r="C40" s="6" t="s">
        <v>58</v>
      </c>
      <c r="D40" s="6" t="s">
        <v>74</v>
      </c>
      <c r="E40" s="6" t="s">
        <v>111</v>
      </c>
      <c r="F40" s="6" t="s">
        <v>161</v>
      </c>
      <c r="G40" s="6" t="s">
        <v>183</v>
      </c>
      <c r="H40" s="6" t="s">
        <v>187</v>
      </c>
      <c r="I40" s="6">
        <v>531288</v>
      </c>
      <c r="J40" s="6" t="s">
        <v>364</v>
      </c>
      <c r="K40" s="6" t="str">
        <f ca="1">SUBSTITUTE(Table1[Restaurant_Name],"’","")</f>
        <v>Bawarchi</v>
      </c>
      <c r="L40" s="6" t="s">
        <v>191</v>
      </c>
      <c r="M40" s="6">
        <v>4.0999999999999996</v>
      </c>
      <c r="N40" s="8" t="s">
        <v>307</v>
      </c>
      <c r="O40" s="6" t="s">
        <v>195</v>
      </c>
      <c r="P40" s="6">
        <v>3</v>
      </c>
      <c r="Q40" s="6">
        <v>115</v>
      </c>
      <c r="R40" s="6">
        <v>345</v>
      </c>
      <c r="S40" s="6" t="s">
        <v>201</v>
      </c>
      <c r="T40" s="6" t="s">
        <v>202</v>
      </c>
      <c r="U40" s="6">
        <v>390</v>
      </c>
      <c r="V40" s="6">
        <v>0</v>
      </c>
      <c r="W40" s="6">
        <v>390</v>
      </c>
      <c r="X40" s="6" t="s">
        <v>73</v>
      </c>
      <c r="Y40" s="6" t="s">
        <v>239</v>
      </c>
      <c r="Z40" s="6" t="s">
        <v>257</v>
      </c>
      <c r="AA40" s="6" t="s">
        <v>265</v>
      </c>
      <c r="AB40" s="6" t="s">
        <v>269</v>
      </c>
      <c r="AC40" s="6">
        <v>32</v>
      </c>
      <c r="AD40" s="6" t="s">
        <v>273</v>
      </c>
      <c r="AE40" s="6" t="str">
        <f ca="1">SUBSTITUTE(Table1[Package_Type],"Bottle","Parcel")</f>
        <v>Wrapper</v>
      </c>
    </row>
    <row r="41" spans="1:31" x14ac:dyDescent="0.25">
      <c r="A41" s="5">
        <v>40</v>
      </c>
      <c r="B41" s="6">
        <v>40</v>
      </c>
      <c r="C41" s="6" t="s">
        <v>56</v>
      </c>
      <c r="D41" s="6" t="s">
        <v>70</v>
      </c>
      <c r="E41" s="6" t="s">
        <v>108</v>
      </c>
      <c r="F41" s="6" t="s">
        <v>158</v>
      </c>
      <c r="G41" s="6" t="s">
        <v>179</v>
      </c>
      <c r="H41" s="6" t="s">
        <v>184</v>
      </c>
      <c r="I41" s="6">
        <v>849049</v>
      </c>
      <c r="J41" s="6" t="s">
        <v>360</v>
      </c>
      <c r="K41" s="6" t="str">
        <f ca="1">SUBSTITUTE(Table1[Restaurant_Name],"’","")</f>
        <v>HOTEL Sangeetha</v>
      </c>
      <c r="L41" s="6" t="s">
        <v>191</v>
      </c>
      <c r="M41" s="6">
        <v>3.9</v>
      </c>
      <c r="N41" s="8" t="s">
        <v>304</v>
      </c>
      <c r="O41" s="6" t="s">
        <v>196</v>
      </c>
      <c r="P41" s="6">
        <v>4</v>
      </c>
      <c r="Q41" s="6">
        <v>94</v>
      </c>
      <c r="R41" s="6">
        <v>376</v>
      </c>
      <c r="S41" s="6" t="s">
        <v>200</v>
      </c>
      <c r="T41" s="6" t="s">
        <v>202</v>
      </c>
      <c r="U41" s="6">
        <v>420</v>
      </c>
      <c r="V41" s="6">
        <v>1</v>
      </c>
      <c r="W41" s="6">
        <v>419</v>
      </c>
      <c r="X41" s="6" t="s">
        <v>74</v>
      </c>
      <c r="Y41" s="6" t="s">
        <v>236</v>
      </c>
      <c r="Z41" s="6" t="s">
        <v>257</v>
      </c>
      <c r="AA41" s="6" t="s">
        <v>262</v>
      </c>
      <c r="AB41" s="6" t="s">
        <v>268</v>
      </c>
      <c r="AC41" s="6">
        <v>39</v>
      </c>
      <c r="AD41" s="6" t="s">
        <v>272</v>
      </c>
      <c r="AE41" s="6" t="str">
        <f ca="1">SUBSTITUTE(Table1[Package_Type],"Bottle","Parcel")</f>
        <v>Wrapper</v>
      </c>
    </row>
    <row r="42" spans="1:31" x14ac:dyDescent="0.25">
      <c r="A42" s="5">
        <v>41</v>
      </c>
      <c r="B42" s="6">
        <v>41</v>
      </c>
      <c r="C42" s="6" t="s">
        <v>61</v>
      </c>
      <c r="D42" s="6" t="s">
        <v>68</v>
      </c>
      <c r="E42" s="6" t="s">
        <v>117</v>
      </c>
      <c r="F42" s="6" t="s">
        <v>167</v>
      </c>
      <c r="G42" s="6" t="s">
        <v>182</v>
      </c>
      <c r="H42" s="6" t="s">
        <v>188</v>
      </c>
      <c r="I42" s="6">
        <v>741383</v>
      </c>
      <c r="J42" s="6" t="s">
        <v>331</v>
      </c>
      <c r="K42" s="6" t="str">
        <f ca="1">SUBSTITUTE(Table1[Restaurant_Name],"’","")</f>
        <v>Saravana Bhavan</v>
      </c>
      <c r="L42" s="6" t="s">
        <v>192</v>
      </c>
      <c r="M42" s="6">
        <v>4</v>
      </c>
      <c r="N42" s="8" t="s">
        <v>313</v>
      </c>
      <c r="O42" s="6" t="s">
        <v>196</v>
      </c>
      <c r="P42" s="6">
        <v>1</v>
      </c>
      <c r="Q42" s="6">
        <v>139</v>
      </c>
      <c r="R42" s="6">
        <v>139</v>
      </c>
      <c r="S42" s="6" t="s">
        <v>201</v>
      </c>
      <c r="T42" s="6" t="s">
        <v>203</v>
      </c>
      <c r="U42" s="6">
        <v>193</v>
      </c>
      <c r="V42" s="6">
        <v>25</v>
      </c>
      <c r="W42" s="6">
        <v>168</v>
      </c>
      <c r="X42" s="6" t="s">
        <v>74</v>
      </c>
      <c r="Y42" s="6" t="s">
        <v>245</v>
      </c>
      <c r="Z42" s="6" t="s">
        <v>256</v>
      </c>
      <c r="AA42" s="6" t="s">
        <v>263</v>
      </c>
      <c r="AB42" s="6" t="s">
        <v>269</v>
      </c>
      <c r="AC42" s="6">
        <v>35</v>
      </c>
      <c r="AD42" s="6" t="s">
        <v>270</v>
      </c>
      <c r="AE42" s="6" t="str">
        <f ca="1">SUBSTITUTE(Table1[Package_Type],"Bottle","Parcel")</f>
        <v>Box</v>
      </c>
    </row>
    <row r="43" spans="1:31" x14ac:dyDescent="0.25">
      <c r="A43" s="5">
        <v>42</v>
      </c>
      <c r="B43" s="6">
        <v>42</v>
      </c>
      <c r="C43" s="6" t="s">
        <v>49</v>
      </c>
      <c r="D43" s="6" t="s">
        <v>68</v>
      </c>
      <c r="E43" s="6" t="s">
        <v>97</v>
      </c>
      <c r="F43" s="6" t="s">
        <v>147</v>
      </c>
      <c r="G43" s="6" t="s">
        <v>182</v>
      </c>
      <c r="H43" s="6" t="s">
        <v>188</v>
      </c>
      <c r="I43" s="6">
        <v>811670</v>
      </c>
      <c r="J43" s="6" t="s">
        <v>348</v>
      </c>
      <c r="K43" s="6" t="str">
        <f ca="1">SUBSTITUTE(Table1[Restaurant_Name],"’","")</f>
        <v>Chaayos</v>
      </c>
      <c r="L43" s="6" t="s">
        <v>193</v>
      </c>
      <c r="M43" s="6">
        <v>4.5</v>
      </c>
      <c r="N43" s="8" t="s">
        <v>293</v>
      </c>
      <c r="O43" s="6" t="s">
        <v>198</v>
      </c>
      <c r="P43" s="6">
        <v>4</v>
      </c>
      <c r="Q43" s="6">
        <v>162</v>
      </c>
      <c r="R43" s="6">
        <v>648</v>
      </c>
      <c r="S43" s="6" t="s">
        <v>200</v>
      </c>
      <c r="T43" s="6" t="s">
        <v>204</v>
      </c>
      <c r="U43" s="6">
        <v>650</v>
      </c>
      <c r="V43" s="6">
        <v>5</v>
      </c>
      <c r="W43" s="6">
        <v>645</v>
      </c>
      <c r="X43" s="6" t="s">
        <v>76</v>
      </c>
      <c r="Y43" s="6" t="s">
        <v>225</v>
      </c>
      <c r="Z43" s="6" t="s">
        <v>257</v>
      </c>
      <c r="AA43" s="6" t="s">
        <v>264</v>
      </c>
      <c r="AB43" s="6" t="s">
        <v>268</v>
      </c>
      <c r="AC43" s="6">
        <v>23</v>
      </c>
      <c r="AD43" s="6" t="s">
        <v>273</v>
      </c>
      <c r="AE43" s="6" t="str">
        <f ca="1">SUBSTITUTE(Table1[Package_Type],"Bottle","Parcel")</f>
        <v>Wrapper</v>
      </c>
    </row>
    <row r="44" spans="1:31" x14ac:dyDescent="0.25">
      <c r="A44" s="5">
        <v>43</v>
      </c>
      <c r="B44" s="6">
        <v>43</v>
      </c>
      <c r="C44" s="6" t="s">
        <v>55</v>
      </c>
      <c r="D44" s="6" t="s">
        <v>73</v>
      </c>
      <c r="E44" s="6" t="s">
        <v>105</v>
      </c>
      <c r="F44" s="6" t="s">
        <v>155</v>
      </c>
      <c r="G44" s="6" t="s">
        <v>182</v>
      </c>
      <c r="H44" s="6" t="s">
        <v>185</v>
      </c>
      <c r="I44" s="6">
        <v>310037</v>
      </c>
      <c r="J44" s="6" t="s">
        <v>357</v>
      </c>
      <c r="K44" s="6" t="str">
        <f ca="1">SUBSTITUTE(Table1[Restaurant_Name],"’","")</f>
        <v>Gianis</v>
      </c>
      <c r="L44" s="6" t="s">
        <v>190</v>
      </c>
      <c r="M44" s="6">
        <v>4.5999999999999996</v>
      </c>
      <c r="N44" s="8" t="s">
        <v>301</v>
      </c>
      <c r="O44" s="6" t="s">
        <v>195</v>
      </c>
      <c r="P44" s="6">
        <v>3</v>
      </c>
      <c r="Q44" s="6">
        <v>183</v>
      </c>
      <c r="R44" s="6">
        <v>549</v>
      </c>
      <c r="S44" s="6" t="s">
        <v>200</v>
      </c>
      <c r="T44" s="6" t="s">
        <v>204</v>
      </c>
      <c r="U44" s="6">
        <v>614</v>
      </c>
      <c r="V44" s="6">
        <v>26</v>
      </c>
      <c r="W44" s="6">
        <v>588</v>
      </c>
      <c r="X44" s="6" t="s">
        <v>75</v>
      </c>
      <c r="Y44" s="6" t="s">
        <v>233</v>
      </c>
      <c r="Z44" s="6" t="s">
        <v>257</v>
      </c>
      <c r="AA44" s="6" t="s">
        <v>265</v>
      </c>
      <c r="AB44" s="6" t="s">
        <v>269</v>
      </c>
      <c r="AC44" s="6">
        <v>27</v>
      </c>
      <c r="AD44" s="6" t="s">
        <v>270</v>
      </c>
      <c r="AE44" s="6" t="str">
        <f ca="1">SUBSTITUTE(Table1[Package_Type],"Bottle","Parcel")</f>
        <v>Wrapper</v>
      </c>
    </row>
    <row r="45" spans="1:31" x14ac:dyDescent="0.25">
      <c r="A45" s="5">
        <v>44</v>
      </c>
      <c r="B45" s="6">
        <v>44</v>
      </c>
      <c r="C45" s="6" t="s">
        <v>67</v>
      </c>
      <c r="D45" s="6" t="s">
        <v>68</v>
      </c>
      <c r="E45" s="6" t="s">
        <v>127</v>
      </c>
      <c r="F45" s="6" t="s">
        <v>177</v>
      </c>
      <c r="G45" s="6" t="s">
        <v>180</v>
      </c>
      <c r="H45" s="6" t="s">
        <v>184</v>
      </c>
      <c r="I45" s="6">
        <v>420098</v>
      </c>
      <c r="J45" s="6" t="s">
        <v>344</v>
      </c>
      <c r="K45" s="6" t="str">
        <f ca="1">SUBSTITUTE(Table1[Restaurant_Name],"’","")</f>
        <v>Polka Dots</v>
      </c>
      <c r="L45" s="6" t="s">
        <v>192</v>
      </c>
      <c r="M45" s="6">
        <v>3</v>
      </c>
      <c r="N45" s="8" t="s">
        <v>323</v>
      </c>
      <c r="O45" s="6" t="s">
        <v>198</v>
      </c>
      <c r="P45" s="6">
        <v>4</v>
      </c>
      <c r="Q45" s="6">
        <v>240</v>
      </c>
      <c r="R45" s="6">
        <v>960</v>
      </c>
      <c r="S45" s="6" t="s">
        <v>200</v>
      </c>
      <c r="T45" s="6" t="s">
        <v>205</v>
      </c>
      <c r="U45" s="6">
        <v>1018</v>
      </c>
      <c r="V45" s="6">
        <v>14</v>
      </c>
      <c r="W45" s="6">
        <v>1004</v>
      </c>
      <c r="X45" s="6" t="s">
        <v>77</v>
      </c>
      <c r="Y45" s="6" t="s">
        <v>255</v>
      </c>
      <c r="Z45" s="6" t="s">
        <v>257</v>
      </c>
      <c r="AA45" s="6" t="s">
        <v>265</v>
      </c>
      <c r="AB45" s="6" t="s">
        <v>269</v>
      </c>
      <c r="AC45" s="6">
        <v>39</v>
      </c>
      <c r="AD45" s="6" t="s">
        <v>271</v>
      </c>
      <c r="AE45" s="6" t="str">
        <f ca="1">SUBSTITUTE(Table1[Package_Type],"Bottle","Parcel")</f>
        <v>Wrapper</v>
      </c>
    </row>
    <row r="46" spans="1:31" x14ac:dyDescent="0.25">
      <c r="A46" s="5">
        <v>45</v>
      </c>
      <c r="B46" s="6">
        <v>45</v>
      </c>
      <c r="C46" s="6" t="s">
        <v>31</v>
      </c>
      <c r="D46" s="6" t="s">
        <v>68</v>
      </c>
      <c r="E46" s="6" t="s">
        <v>78</v>
      </c>
      <c r="F46" s="6" t="s">
        <v>128</v>
      </c>
      <c r="G46" s="6" t="s">
        <v>182</v>
      </c>
      <c r="H46" s="6" t="s">
        <v>186</v>
      </c>
      <c r="I46" s="6">
        <v>808442</v>
      </c>
      <c r="J46" s="6" t="s">
        <v>324</v>
      </c>
      <c r="K46" s="6" t="str">
        <f ca="1">SUBSTITUTE(Table1[Restaurant_Name],"’","")</f>
        <v>Karims</v>
      </c>
      <c r="L46" s="6" t="s">
        <v>191</v>
      </c>
      <c r="M46" s="6">
        <v>4.2</v>
      </c>
      <c r="N46" s="6" t="s">
        <v>274</v>
      </c>
      <c r="O46" s="6" t="s">
        <v>194</v>
      </c>
      <c r="P46" s="6">
        <v>1</v>
      </c>
      <c r="Q46" s="6">
        <v>153</v>
      </c>
      <c r="R46" s="6">
        <v>153</v>
      </c>
      <c r="S46" s="6" t="s">
        <v>199</v>
      </c>
      <c r="T46" s="6" t="s">
        <v>202</v>
      </c>
      <c r="U46" s="6">
        <v>195</v>
      </c>
      <c r="V46" s="6">
        <v>0</v>
      </c>
      <c r="W46" s="6">
        <v>195</v>
      </c>
      <c r="X46" s="6" t="s">
        <v>76</v>
      </c>
      <c r="Y46" s="6" t="s">
        <v>206</v>
      </c>
      <c r="Z46" s="6" t="s">
        <v>256</v>
      </c>
      <c r="AA46" s="6" t="s">
        <v>258</v>
      </c>
      <c r="AB46" s="6" t="s">
        <v>268</v>
      </c>
      <c r="AC46" s="6">
        <v>34</v>
      </c>
      <c r="AD46" s="6" t="s">
        <v>270</v>
      </c>
      <c r="AE46" s="6" t="str">
        <f ca="1">SUBSTITUTE(Table1[Package_Type],"Bottle","Parcel")</f>
        <v>Parcel</v>
      </c>
    </row>
    <row r="47" spans="1:31" x14ac:dyDescent="0.25">
      <c r="A47" s="5">
        <v>46</v>
      </c>
      <c r="B47" s="6">
        <v>46</v>
      </c>
      <c r="C47" s="6" t="s">
        <v>38</v>
      </c>
      <c r="D47" s="6" t="s">
        <v>70</v>
      </c>
      <c r="E47" s="6" t="s">
        <v>85</v>
      </c>
      <c r="F47" s="6" t="s">
        <v>135</v>
      </c>
      <c r="G47" s="6" t="s">
        <v>179</v>
      </c>
      <c r="H47" s="6" t="s">
        <v>189</v>
      </c>
      <c r="I47" s="6">
        <v>933843</v>
      </c>
      <c r="J47" s="6" t="s">
        <v>332</v>
      </c>
      <c r="K47" s="6" t="str">
        <f ca="1">SUBSTITUTE(Table1[Restaurant_Name],"’","")</f>
        <v>A2B</v>
      </c>
      <c r="L47" s="6" t="s">
        <v>190</v>
      </c>
      <c r="M47" s="6">
        <v>3.3</v>
      </c>
      <c r="N47" s="6" t="s">
        <v>281</v>
      </c>
      <c r="O47" s="6" t="s">
        <v>197</v>
      </c>
      <c r="P47" s="6">
        <v>3</v>
      </c>
      <c r="Q47" s="6">
        <v>246</v>
      </c>
      <c r="R47" s="6">
        <v>738</v>
      </c>
      <c r="S47" s="6" t="s">
        <v>199</v>
      </c>
      <c r="T47" s="6" t="s">
        <v>204</v>
      </c>
      <c r="U47" s="6">
        <v>800</v>
      </c>
      <c r="V47" s="6">
        <v>35</v>
      </c>
      <c r="W47" s="6">
        <v>765</v>
      </c>
      <c r="X47" s="6" t="s">
        <v>74</v>
      </c>
      <c r="Y47" s="6" t="s">
        <v>213</v>
      </c>
      <c r="Z47" s="6" t="s">
        <v>257</v>
      </c>
      <c r="AA47" s="6" t="s">
        <v>262</v>
      </c>
      <c r="AB47" s="6" t="s">
        <v>269</v>
      </c>
      <c r="AC47" s="6">
        <v>26</v>
      </c>
      <c r="AD47" s="6" t="s">
        <v>270</v>
      </c>
      <c r="AE47" s="6" t="str">
        <f ca="1">SUBSTITUTE(Table1[Package_Type],"Bottle","Parcel")</f>
        <v>Box</v>
      </c>
    </row>
    <row r="48" spans="1:31" x14ac:dyDescent="0.25">
      <c r="A48" s="5">
        <v>47</v>
      </c>
      <c r="B48" s="6">
        <v>47</v>
      </c>
      <c r="C48" s="6" t="s">
        <v>43</v>
      </c>
      <c r="D48" s="6" t="s">
        <v>75</v>
      </c>
      <c r="E48" s="6" t="s">
        <v>90</v>
      </c>
      <c r="F48" s="6" t="s">
        <v>140</v>
      </c>
      <c r="G48" s="6" t="s">
        <v>182</v>
      </c>
      <c r="H48" s="6" t="s">
        <v>187</v>
      </c>
      <c r="I48" s="6">
        <v>460509</v>
      </c>
      <c r="J48" s="6" t="s">
        <v>338</v>
      </c>
      <c r="K48" s="6" t="str">
        <f ca="1">SUBSTITUTE(Table1[Restaurant_Name],"’","")</f>
        <v>Naivedyam</v>
      </c>
      <c r="L48" s="6" t="s">
        <v>192</v>
      </c>
      <c r="M48" s="6">
        <v>3.8</v>
      </c>
      <c r="N48" s="6" t="s">
        <v>286</v>
      </c>
      <c r="O48" s="6" t="s">
        <v>194</v>
      </c>
      <c r="P48" s="6">
        <v>4</v>
      </c>
      <c r="Q48" s="6">
        <v>121</v>
      </c>
      <c r="R48" s="6">
        <v>484</v>
      </c>
      <c r="S48" s="6" t="s">
        <v>199</v>
      </c>
      <c r="T48" s="6" t="s">
        <v>202</v>
      </c>
      <c r="U48" s="6">
        <v>562</v>
      </c>
      <c r="V48" s="6">
        <v>13</v>
      </c>
      <c r="W48" s="6">
        <v>549</v>
      </c>
      <c r="X48" s="6" t="s">
        <v>74</v>
      </c>
      <c r="Y48" s="6" t="s">
        <v>218</v>
      </c>
      <c r="Z48" s="6" t="s">
        <v>256</v>
      </c>
      <c r="AA48" s="6" t="s">
        <v>258</v>
      </c>
      <c r="AB48" s="6" t="s">
        <v>269</v>
      </c>
      <c r="AC48" s="6">
        <v>23</v>
      </c>
      <c r="AD48" s="6" t="s">
        <v>270</v>
      </c>
      <c r="AE48" s="6" t="str">
        <f ca="1">SUBSTITUTE(Table1[Package_Type],"Bottle","Parcel")</f>
        <v>Parcel</v>
      </c>
    </row>
    <row r="49" spans="1:36" x14ac:dyDescent="0.25">
      <c r="A49" s="5">
        <v>48</v>
      </c>
      <c r="B49" s="6">
        <v>48</v>
      </c>
      <c r="C49" s="6" t="s">
        <v>43</v>
      </c>
      <c r="D49" s="6" t="s">
        <v>76</v>
      </c>
      <c r="E49" s="6" t="s">
        <v>94</v>
      </c>
      <c r="F49" s="6" t="s">
        <v>144</v>
      </c>
      <c r="G49" s="6" t="s">
        <v>180</v>
      </c>
      <c r="H49" s="6" t="s">
        <v>184</v>
      </c>
      <c r="I49" s="6">
        <v>420098</v>
      </c>
      <c r="J49" s="6" t="s">
        <v>344</v>
      </c>
      <c r="K49" s="6" t="str">
        <f ca="1">SUBSTITUTE(Table1[Restaurant_Name],"’","")</f>
        <v>Polka Dots</v>
      </c>
      <c r="L49" s="6" t="s">
        <v>192</v>
      </c>
      <c r="M49" s="6">
        <v>4.9000000000000004</v>
      </c>
      <c r="N49" s="8" t="s">
        <v>290</v>
      </c>
      <c r="O49" s="6" t="s">
        <v>197</v>
      </c>
      <c r="P49" s="6">
        <v>4</v>
      </c>
      <c r="Q49" s="6">
        <v>126</v>
      </c>
      <c r="R49" s="6">
        <v>504</v>
      </c>
      <c r="S49" s="6" t="s">
        <v>200</v>
      </c>
      <c r="T49" s="6" t="s">
        <v>205</v>
      </c>
      <c r="U49" s="6">
        <v>540</v>
      </c>
      <c r="V49" s="6">
        <v>4</v>
      </c>
      <c r="W49" s="6">
        <v>536</v>
      </c>
      <c r="X49" s="6" t="s">
        <v>69</v>
      </c>
      <c r="Y49" s="6" t="s">
        <v>222</v>
      </c>
      <c r="Z49" s="6" t="s">
        <v>256</v>
      </c>
      <c r="AA49" s="6" t="s">
        <v>261</v>
      </c>
      <c r="AB49" s="6" t="s">
        <v>268</v>
      </c>
      <c r="AC49" s="6">
        <v>12</v>
      </c>
      <c r="AD49" s="6" t="s">
        <v>273</v>
      </c>
      <c r="AE49" s="6" t="str">
        <f ca="1">SUBSTITUTE(Table1[Package_Type],"Bottle","Parcel")</f>
        <v>Wrapper</v>
      </c>
    </row>
    <row r="50" spans="1:36" x14ac:dyDescent="0.25">
      <c r="A50" s="5">
        <v>49</v>
      </c>
      <c r="B50" s="6">
        <v>49</v>
      </c>
      <c r="C50" s="6" t="s">
        <v>59</v>
      </c>
      <c r="D50" s="6" t="s">
        <v>68</v>
      </c>
      <c r="E50" s="6" t="s">
        <v>112</v>
      </c>
      <c r="F50" s="6" t="s">
        <v>162</v>
      </c>
      <c r="G50" s="6" t="s">
        <v>180</v>
      </c>
      <c r="H50" s="6" t="s">
        <v>186</v>
      </c>
      <c r="I50" s="6">
        <v>476386</v>
      </c>
      <c r="J50" s="6" t="s">
        <v>365</v>
      </c>
      <c r="K50" s="6" t="str">
        <f ca="1">SUBSTITUTE(Table1[Restaurant_Name],"’","")</f>
        <v>Yoko Sizzlers</v>
      </c>
      <c r="L50" s="6" t="s">
        <v>191</v>
      </c>
      <c r="M50" s="6">
        <v>4</v>
      </c>
      <c r="N50" s="8" t="s">
        <v>308</v>
      </c>
      <c r="O50" s="6" t="s">
        <v>194</v>
      </c>
      <c r="P50" s="6">
        <v>4</v>
      </c>
      <c r="Q50" s="6">
        <v>166</v>
      </c>
      <c r="R50" s="6">
        <v>664</v>
      </c>
      <c r="S50" s="6" t="s">
        <v>199</v>
      </c>
      <c r="T50" s="6" t="s">
        <v>203</v>
      </c>
      <c r="U50" s="6">
        <v>715</v>
      </c>
      <c r="V50" s="6">
        <v>3</v>
      </c>
      <c r="W50" s="6">
        <v>712</v>
      </c>
      <c r="X50" s="6" t="s">
        <v>76</v>
      </c>
      <c r="Y50" s="6" t="s">
        <v>240</v>
      </c>
      <c r="Z50" s="6" t="s">
        <v>257</v>
      </c>
      <c r="AA50" s="6" t="s">
        <v>258</v>
      </c>
      <c r="AB50" s="6" t="s">
        <v>269</v>
      </c>
      <c r="AC50" s="6">
        <v>11</v>
      </c>
      <c r="AD50" s="6" t="s">
        <v>272</v>
      </c>
      <c r="AE50" s="6" t="str">
        <f ca="1">SUBSTITUTE(Table1[Package_Type],"Bottle","Parcel")</f>
        <v>Box</v>
      </c>
    </row>
    <row r="51" spans="1:36" x14ac:dyDescent="0.25">
      <c r="A51" s="5">
        <v>50</v>
      </c>
      <c r="B51" s="6">
        <v>50</v>
      </c>
      <c r="C51" s="7" t="s">
        <v>54</v>
      </c>
      <c r="D51" s="7" t="s">
        <v>68</v>
      </c>
      <c r="E51" s="7" t="s">
        <v>104</v>
      </c>
      <c r="F51" s="7" t="s">
        <v>154</v>
      </c>
      <c r="G51" s="6" t="s">
        <v>180</v>
      </c>
      <c r="H51" s="6" t="s">
        <v>184</v>
      </c>
      <c r="I51" s="6">
        <v>551833</v>
      </c>
      <c r="J51" s="6" t="s">
        <v>356</v>
      </c>
      <c r="K51" s="6" t="str">
        <f ca="1">SUBSTITUTE(Table1[Restaurant_Name],"’","")</f>
        <v>Yana Sizzlers</v>
      </c>
      <c r="L51" s="6" t="s">
        <v>191</v>
      </c>
      <c r="M51" s="7">
        <v>4.8</v>
      </c>
      <c r="N51" s="8" t="s">
        <v>300</v>
      </c>
      <c r="O51" s="6" t="s">
        <v>196</v>
      </c>
      <c r="P51" s="7">
        <v>1</v>
      </c>
      <c r="Q51" s="7">
        <v>114</v>
      </c>
      <c r="R51" s="7">
        <v>114</v>
      </c>
      <c r="S51" s="7" t="s">
        <v>201</v>
      </c>
      <c r="T51" s="7" t="s">
        <v>203</v>
      </c>
      <c r="U51" s="7">
        <v>180</v>
      </c>
      <c r="V51" s="7">
        <v>8</v>
      </c>
      <c r="W51" s="7">
        <v>172</v>
      </c>
      <c r="X51" s="7" t="s">
        <v>69</v>
      </c>
      <c r="Y51" s="7" t="s">
        <v>232</v>
      </c>
      <c r="Z51" s="7" t="s">
        <v>256</v>
      </c>
      <c r="AA51" s="7" t="s">
        <v>258</v>
      </c>
      <c r="AB51" s="7" t="s">
        <v>269</v>
      </c>
      <c r="AC51" s="7">
        <v>7</v>
      </c>
      <c r="AD51" s="7" t="s">
        <v>272</v>
      </c>
      <c r="AE51" s="7" t="str">
        <f ca="1">SUBSTITUTE(Table1[Package_Type],"Bottle","Parcel")</f>
        <v>Parcel</v>
      </c>
      <c r="AJ51"/>
    </row>
    <row r="52" spans="1:36" x14ac:dyDescent="0.25">
      <c r="AJ52"/>
    </row>
    <row r="53" spans="1:36" x14ac:dyDescent="0.25">
      <c r="AJ53"/>
    </row>
    <row r="54" spans="1:36" x14ac:dyDescent="0.25">
      <c r="AJ54"/>
    </row>
    <row r="55" spans="1:36" x14ac:dyDescent="0.25">
      <c r="AJ55"/>
    </row>
    <row r="56" spans="1:36" x14ac:dyDescent="0.25">
      <c r="AJ56"/>
    </row>
    <row r="57" spans="1:36" x14ac:dyDescent="0.25">
      <c r="AJ57"/>
    </row>
    <row r="58" spans="1:36" x14ac:dyDescent="0.25">
      <c r="AJ58"/>
    </row>
    <row r="59" spans="1:36" x14ac:dyDescent="0.25">
      <c r="AJ59"/>
    </row>
    <row r="60" spans="1:36" x14ac:dyDescent="0.25">
      <c r="AJ6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886F-34C7-4538-A6B2-B764CE6D8740}">
  <sheetPr>
    <tabColor rgb="FF008000"/>
  </sheetPr>
  <dimension ref="A1:AJ105"/>
  <sheetViews>
    <sheetView tabSelected="1" topLeftCell="AC66" zoomScale="80" workbookViewId="0">
      <selection activeCell="AL78" sqref="AL78"/>
    </sheetView>
  </sheetViews>
  <sheetFormatPr defaultRowHeight="15" x14ac:dyDescent="0.25"/>
  <cols>
    <col min="2" max="2" width="11.140625" bestFit="1" customWidth="1"/>
    <col min="3" max="3" width="18" customWidth="1"/>
    <col min="4" max="4" width="24.42578125" customWidth="1"/>
    <col min="5" max="5" width="25.140625" bestFit="1" customWidth="1"/>
    <col min="6" max="6" width="20.5703125" bestFit="1" customWidth="1"/>
    <col min="7" max="7" width="25.42578125" customWidth="1"/>
    <col min="8" max="8" width="30.7109375" bestFit="1" customWidth="1"/>
    <col min="9" max="9" width="18.42578125" bestFit="1" customWidth="1"/>
    <col min="10" max="10" width="30" customWidth="1"/>
    <col min="11" max="11" width="26.7109375" bestFit="1" customWidth="1"/>
    <col min="12" max="12" width="10.85546875" customWidth="1"/>
    <col min="13" max="13" width="12.85546875" customWidth="1"/>
    <col min="14" max="14" width="15.7109375" customWidth="1"/>
    <col min="15" max="15" width="14.140625" bestFit="1" customWidth="1"/>
    <col min="16" max="16" width="22.5703125" bestFit="1" customWidth="1"/>
    <col min="21" max="22" width="17" customWidth="1"/>
    <col min="23" max="23" width="31.85546875" customWidth="1"/>
    <col min="24" max="24" width="30.85546875" customWidth="1"/>
    <col min="25" max="25" width="22.7109375" customWidth="1"/>
    <col min="26" max="26" width="26.5703125" customWidth="1"/>
    <col min="27" max="27" width="24.28515625" customWidth="1"/>
    <col min="28" max="28" width="28.140625" customWidth="1"/>
    <col min="29" max="29" width="17.7109375" customWidth="1"/>
    <col min="30" max="30" width="16.5703125" customWidth="1"/>
    <col min="31" max="31" width="24" customWidth="1"/>
    <col min="32" max="32" width="13.140625" customWidth="1"/>
    <col min="33" max="33" width="16.7109375" customWidth="1"/>
    <col min="34" max="34" width="19.5703125" customWidth="1"/>
    <col min="35" max="35" width="18.42578125" customWidth="1"/>
    <col min="36" max="36" width="28.85546875" bestFit="1" customWidth="1"/>
  </cols>
  <sheetData>
    <row r="1" spans="1:21" x14ac:dyDescent="0.25">
      <c r="A1" s="1" t="s">
        <v>389</v>
      </c>
      <c r="B1" s="1" t="s">
        <v>435</v>
      </c>
      <c r="C1" s="1" t="s">
        <v>3</v>
      </c>
      <c r="D1" s="1" t="s">
        <v>390</v>
      </c>
      <c r="E1" s="1" t="s">
        <v>5</v>
      </c>
      <c r="F1" s="1" t="s">
        <v>409</v>
      </c>
      <c r="G1" s="1" t="s">
        <v>10</v>
      </c>
      <c r="H1" s="1" t="s">
        <v>391</v>
      </c>
      <c r="I1" s="1" t="s">
        <v>13</v>
      </c>
      <c r="J1" s="1" t="s">
        <v>392</v>
      </c>
      <c r="K1" s="1" t="s">
        <v>393</v>
      </c>
      <c r="L1" s="1" t="s">
        <v>15</v>
      </c>
      <c r="M1" s="1" t="s">
        <v>17</v>
      </c>
      <c r="N1" s="1" t="s">
        <v>394</v>
      </c>
      <c r="O1" s="1" t="s">
        <v>432</v>
      </c>
      <c r="P1" s="1" t="s">
        <v>403</v>
      </c>
    </row>
    <row r="2" spans="1:21" x14ac:dyDescent="0.25">
      <c r="A2" s="1">
        <v>1</v>
      </c>
      <c r="B2" s="1" t="str">
        <f>TEXT(LEFT(Swiggy_Sales[[#This Row],[Customer_Name]],3)&amp;RIGHT(D2,3),"")</f>
        <v>Arj210</v>
      </c>
      <c r="C2" s="1" t="s">
        <v>368</v>
      </c>
      <c r="D2" s="1">
        <v>9876543210</v>
      </c>
      <c r="E2" s="1" t="s">
        <v>369</v>
      </c>
      <c r="F2" s="1" t="s">
        <v>183</v>
      </c>
      <c r="G2" s="1" t="s">
        <v>340</v>
      </c>
      <c r="H2" s="1" t="s">
        <v>190</v>
      </c>
      <c r="I2" s="1" t="s">
        <v>370</v>
      </c>
      <c r="J2" s="1" t="s">
        <v>198</v>
      </c>
      <c r="K2" s="1" t="s">
        <v>201</v>
      </c>
      <c r="L2" s="1">
        <v>2</v>
      </c>
      <c r="M2" s="1">
        <v>320</v>
      </c>
      <c r="N2" s="10">
        <v>45658</v>
      </c>
      <c r="O2" s="1" t="s">
        <v>395</v>
      </c>
      <c r="P2" s="1" t="s">
        <v>257</v>
      </c>
    </row>
    <row r="3" spans="1:21" x14ac:dyDescent="0.25">
      <c r="A3" s="1">
        <v>2</v>
      </c>
      <c r="B3" s="1" t="str">
        <f>TEXT(LEFT(Swiggy_Sales[[#This Row],[Customer_Name]],3)&amp;RIGHT(D3,3),"")</f>
        <v>Sne780</v>
      </c>
      <c r="C3" s="1" t="s">
        <v>371</v>
      </c>
      <c r="D3" s="1">
        <v>9123456780</v>
      </c>
      <c r="E3" s="1" t="s">
        <v>372</v>
      </c>
      <c r="F3" s="1" t="s">
        <v>410</v>
      </c>
      <c r="G3" s="1" t="s">
        <v>411</v>
      </c>
      <c r="H3" s="1" t="s">
        <v>191</v>
      </c>
      <c r="I3" s="1" t="s">
        <v>373</v>
      </c>
      <c r="J3" s="1" t="s">
        <v>196</v>
      </c>
      <c r="K3" s="1" t="s">
        <v>199</v>
      </c>
      <c r="L3" s="1">
        <v>1</v>
      </c>
      <c r="M3" s="1">
        <v>450</v>
      </c>
      <c r="N3" s="10">
        <v>45658</v>
      </c>
      <c r="O3" s="1" t="s">
        <v>396</v>
      </c>
      <c r="P3" s="1" t="s">
        <v>256</v>
      </c>
      <c r="U3" s="10"/>
    </row>
    <row r="4" spans="1:21" x14ac:dyDescent="0.25">
      <c r="A4" s="1">
        <v>3</v>
      </c>
      <c r="B4" s="1" t="str">
        <f>TEXT(LEFT(Swiggy_Sales[[#This Row],[Customer_Name]],3)&amp;RIGHT(D4,3),"")</f>
        <v>Man655</v>
      </c>
      <c r="C4" s="1" t="s">
        <v>374</v>
      </c>
      <c r="D4" s="1">
        <v>9988776655</v>
      </c>
      <c r="E4" s="1" t="s">
        <v>375</v>
      </c>
      <c r="F4" s="1" t="s">
        <v>412</v>
      </c>
      <c r="G4" s="1" t="s">
        <v>334</v>
      </c>
      <c r="H4" s="1" t="s">
        <v>190</v>
      </c>
      <c r="I4" s="1" t="s">
        <v>376</v>
      </c>
      <c r="J4" s="1" t="s">
        <v>198</v>
      </c>
      <c r="K4" s="1" t="s">
        <v>200</v>
      </c>
      <c r="L4" s="1">
        <v>1</v>
      </c>
      <c r="M4" s="1">
        <v>380</v>
      </c>
      <c r="N4" s="10">
        <v>45659</v>
      </c>
      <c r="O4" s="1" t="s">
        <v>397</v>
      </c>
      <c r="P4" s="1" t="s">
        <v>404</v>
      </c>
      <c r="U4" s="10"/>
    </row>
    <row r="5" spans="1:21" x14ac:dyDescent="0.25">
      <c r="A5" s="1">
        <v>4</v>
      </c>
      <c r="B5" s="1" t="str">
        <f>TEXT(LEFT(Swiggy_Sales[[#This Row],[Customer_Name]],3)&amp;RIGHT(D5,3),"")</f>
        <v>Div090</v>
      </c>
      <c r="C5" s="1" t="s">
        <v>377</v>
      </c>
      <c r="D5" s="1">
        <v>9090909090</v>
      </c>
      <c r="E5" s="1" t="s">
        <v>378</v>
      </c>
      <c r="F5" s="1" t="s">
        <v>413</v>
      </c>
      <c r="G5" s="1" t="s">
        <v>328</v>
      </c>
      <c r="H5" s="1" t="s">
        <v>193</v>
      </c>
      <c r="I5" s="1" t="s">
        <v>379</v>
      </c>
      <c r="J5" s="1" t="s">
        <v>195</v>
      </c>
      <c r="K5" s="1" t="s">
        <v>201</v>
      </c>
      <c r="L5" s="1">
        <v>2</v>
      </c>
      <c r="M5" s="1">
        <v>240</v>
      </c>
      <c r="N5" s="10">
        <v>45660</v>
      </c>
      <c r="O5" s="1" t="s">
        <v>398</v>
      </c>
      <c r="P5" s="1" t="s">
        <v>405</v>
      </c>
      <c r="U5" s="10"/>
    </row>
    <row r="6" spans="1:21" x14ac:dyDescent="0.25">
      <c r="A6" s="1">
        <v>5</v>
      </c>
      <c r="B6" s="1" t="str">
        <f>TEXT(LEFT(Swiggy_Sales[[#This Row],[Customer_Name]],3)&amp;RIGHT(D6,3),"")</f>
        <v>Roh109</v>
      </c>
      <c r="C6" s="1" t="s">
        <v>380</v>
      </c>
      <c r="D6" s="1">
        <v>9765432109</v>
      </c>
      <c r="E6" s="1" t="s">
        <v>381</v>
      </c>
      <c r="F6" s="1" t="s">
        <v>414</v>
      </c>
      <c r="G6" s="1" t="s">
        <v>346</v>
      </c>
      <c r="H6" s="1" t="s">
        <v>190</v>
      </c>
      <c r="I6" s="1" t="s">
        <v>382</v>
      </c>
      <c r="J6" s="1" t="s">
        <v>194</v>
      </c>
      <c r="K6" s="1" t="s">
        <v>199</v>
      </c>
      <c r="L6" s="1">
        <v>1</v>
      </c>
      <c r="M6" s="1">
        <v>520</v>
      </c>
      <c r="N6" s="10">
        <v>45661</v>
      </c>
      <c r="O6" s="1" t="s">
        <v>399</v>
      </c>
      <c r="P6" s="1" t="s">
        <v>406</v>
      </c>
      <c r="U6" s="10"/>
    </row>
    <row r="7" spans="1:21" x14ac:dyDescent="0.25">
      <c r="A7" s="1">
        <v>6</v>
      </c>
      <c r="B7" s="1" t="str">
        <f>TEXT(LEFT(Swiggy_Sales[[#This Row],[Customer_Name]],3)&amp;RIGHT(D7,3),"")</f>
        <v>Arj210</v>
      </c>
      <c r="C7" s="36" t="s">
        <v>368</v>
      </c>
      <c r="D7" s="1">
        <v>9876543210</v>
      </c>
      <c r="E7" s="1" t="s">
        <v>369</v>
      </c>
      <c r="F7" s="1" t="s">
        <v>415</v>
      </c>
      <c r="G7" s="1" t="s">
        <v>340</v>
      </c>
      <c r="H7" s="1" t="s">
        <v>190</v>
      </c>
      <c r="I7" s="1" t="s">
        <v>383</v>
      </c>
      <c r="J7" s="1" t="s">
        <v>194</v>
      </c>
      <c r="K7" s="1" t="s">
        <v>200</v>
      </c>
      <c r="L7" s="1">
        <v>3</v>
      </c>
      <c r="M7" s="1">
        <v>450</v>
      </c>
      <c r="N7" s="10">
        <v>45663</v>
      </c>
      <c r="O7" s="1" t="s">
        <v>400</v>
      </c>
      <c r="P7" s="1" t="s">
        <v>407</v>
      </c>
      <c r="U7" s="10"/>
    </row>
    <row r="8" spans="1:21" x14ac:dyDescent="0.25">
      <c r="A8" s="1">
        <v>7</v>
      </c>
      <c r="B8" s="1" t="str">
        <f>TEXT(LEFT(Swiggy_Sales[[#This Row],[Customer_Name]],3)&amp;RIGHT(D8,3),"")</f>
        <v>Sne780</v>
      </c>
      <c r="C8" s="1" t="s">
        <v>371</v>
      </c>
      <c r="D8" s="1">
        <v>9123456780</v>
      </c>
      <c r="E8" s="1" t="s">
        <v>372</v>
      </c>
      <c r="F8" s="1" t="s">
        <v>183</v>
      </c>
      <c r="G8" s="1" t="s">
        <v>363</v>
      </c>
      <c r="H8" s="1" t="s">
        <v>190</v>
      </c>
      <c r="I8" s="1" t="s">
        <v>384</v>
      </c>
      <c r="J8" s="1" t="s">
        <v>194</v>
      </c>
      <c r="K8" s="1" t="s">
        <v>201</v>
      </c>
      <c r="L8" s="1">
        <v>2</v>
      </c>
      <c r="M8" s="1">
        <v>200</v>
      </c>
      <c r="N8" s="10">
        <v>45664</v>
      </c>
      <c r="O8" s="1" t="s">
        <v>401</v>
      </c>
      <c r="P8" s="1" t="s">
        <v>408</v>
      </c>
      <c r="U8" s="10"/>
    </row>
    <row r="9" spans="1:21" x14ac:dyDescent="0.25">
      <c r="A9" s="1">
        <v>8</v>
      </c>
      <c r="B9" s="1" t="str">
        <f>TEXT(LEFT(Swiggy_Sales[[#This Row],[Customer_Name]],3)&amp;RIGHT(D9,3),"")</f>
        <v>Man655</v>
      </c>
      <c r="C9" s="1" t="s">
        <v>374</v>
      </c>
      <c r="D9" s="1">
        <v>9988776655</v>
      </c>
      <c r="E9" s="1" t="s">
        <v>375</v>
      </c>
      <c r="F9" s="1" t="s">
        <v>410</v>
      </c>
      <c r="G9" s="1" t="s">
        <v>411</v>
      </c>
      <c r="H9" s="1" t="s">
        <v>191</v>
      </c>
      <c r="I9" s="1" t="s">
        <v>287</v>
      </c>
      <c r="J9" s="1" t="s">
        <v>196</v>
      </c>
      <c r="K9" s="1" t="s">
        <v>201</v>
      </c>
      <c r="L9" s="1">
        <v>1</v>
      </c>
      <c r="M9" s="1">
        <v>299</v>
      </c>
      <c r="N9" s="10">
        <v>45666</v>
      </c>
      <c r="O9" s="1" t="s">
        <v>395</v>
      </c>
      <c r="P9" s="1" t="s">
        <v>257</v>
      </c>
      <c r="U9" s="10"/>
    </row>
    <row r="10" spans="1:21" x14ac:dyDescent="0.25">
      <c r="A10" s="1">
        <v>9</v>
      </c>
      <c r="B10" s="1" t="str">
        <f>TEXT(LEFT(Swiggy_Sales[[#This Row],[Customer_Name]],3)&amp;RIGHT(D10,3),"")</f>
        <v>Div090</v>
      </c>
      <c r="C10" s="1" t="s">
        <v>377</v>
      </c>
      <c r="D10" s="1">
        <v>9090909090</v>
      </c>
      <c r="E10" s="1" t="s">
        <v>378</v>
      </c>
      <c r="F10" s="1" t="s">
        <v>412</v>
      </c>
      <c r="G10" s="1" t="s">
        <v>350</v>
      </c>
      <c r="H10" s="1" t="s">
        <v>195</v>
      </c>
      <c r="I10" s="1" t="s">
        <v>385</v>
      </c>
      <c r="J10" s="1" t="s">
        <v>195</v>
      </c>
      <c r="K10" s="1" t="s">
        <v>199</v>
      </c>
      <c r="L10" s="1">
        <v>1</v>
      </c>
      <c r="M10" s="1">
        <v>280</v>
      </c>
      <c r="N10" s="10">
        <v>45667</v>
      </c>
      <c r="O10" s="1" t="s">
        <v>396</v>
      </c>
      <c r="P10" s="1" t="s">
        <v>256</v>
      </c>
      <c r="U10" s="10"/>
    </row>
    <row r="11" spans="1:21" x14ac:dyDescent="0.25">
      <c r="A11" s="1">
        <v>10</v>
      </c>
      <c r="B11" s="1" t="str">
        <f>TEXT(LEFT(Swiggy_Sales[[#This Row],[Customer_Name]],3)&amp;RIGHT(D11,3),"")</f>
        <v>Roh109</v>
      </c>
      <c r="C11" s="1" t="s">
        <v>380</v>
      </c>
      <c r="D11" s="1">
        <v>9765432109</v>
      </c>
      <c r="E11" s="1" t="s">
        <v>381</v>
      </c>
      <c r="F11" s="1" t="s">
        <v>413</v>
      </c>
      <c r="G11" s="1" t="s">
        <v>343</v>
      </c>
      <c r="H11" s="1" t="s">
        <v>190</v>
      </c>
      <c r="I11" s="1" t="s">
        <v>386</v>
      </c>
      <c r="J11" s="1" t="s">
        <v>194</v>
      </c>
      <c r="K11" s="1" t="s">
        <v>200</v>
      </c>
      <c r="L11" s="1">
        <v>2</v>
      </c>
      <c r="M11" s="1">
        <v>180</v>
      </c>
      <c r="N11" s="10">
        <v>45668</v>
      </c>
      <c r="O11" s="1" t="s">
        <v>397</v>
      </c>
      <c r="P11" s="1" t="s">
        <v>404</v>
      </c>
      <c r="U11" s="10"/>
    </row>
    <row r="12" spans="1:21" x14ac:dyDescent="0.25">
      <c r="A12" s="1">
        <v>11</v>
      </c>
      <c r="B12" s="1" t="str">
        <f>TEXT(LEFT(Swiggy_Sales[[#This Row],[Customer_Name]],3)&amp;RIGHT(D12,3),"")</f>
        <v>Sne780</v>
      </c>
      <c r="C12" s="1" t="s">
        <v>371</v>
      </c>
      <c r="D12" s="1">
        <v>9123456780</v>
      </c>
      <c r="E12" s="1" t="s">
        <v>372</v>
      </c>
      <c r="F12" s="1" t="s">
        <v>414</v>
      </c>
      <c r="G12" s="1" t="s">
        <v>340</v>
      </c>
      <c r="H12" s="1" t="s">
        <v>190</v>
      </c>
      <c r="I12" s="1" t="s">
        <v>323</v>
      </c>
      <c r="J12" s="1" t="s">
        <v>198</v>
      </c>
      <c r="K12" s="1" t="s">
        <v>201</v>
      </c>
      <c r="L12" s="1">
        <v>1</v>
      </c>
      <c r="M12" s="1">
        <v>250</v>
      </c>
      <c r="N12" s="10">
        <v>45669</v>
      </c>
      <c r="O12" s="1" t="s">
        <v>398</v>
      </c>
      <c r="P12" s="1" t="s">
        <v>405</v>
      </c>
      <c r="U12" s="10"/>
    </row>
    <row r="13" spans="1:21" x14ac:dyDescent="0.25">
      <c r="A13" s="1">
        <v>12</v>
      </c>
      <c r="B13" s="1" t="str">
        <f>TEXT(LEFT(Swiggy_Sales[[#This Row],[Customer_Name]],3)&amp;RIGHT(D13,3),"")</f>
        <v>Arj210</v>
      </c>
      <c r="C13" s="1" t="s">
        <v>368</v>
      </c>
      <c r="D13" s="1">
        <v>9876543210</v>
      </c>
      <c r="E13" s="1" t="s">
        <v>369</v>
      </c>
      <c r="F13" s="1" t="s">
        <v>415</v>
      </c>
      <c r="G13" s="1" t="s">
        <v>328</v>
      </c>
      <c r="H13" s="1" t="s">
        <v>193</v>
      </c>
      <c r="I13" s="1" t="s">
        <v>387</v>
      </c>
      <c r="J13" s="1" t="s">
        <v>194</v>
      </c>
      <c r="K13" s="1" t="s">
        <v>199</v>
      </c>
      <c r="L13" s="1">
        <v>1</v>
      </c>
      <c r="M13" s="1">
        <v>190</v>
      </c>
      <c r="N13" s="10">
        <v>45671</v>
      </c>
      <c r="O13" s="1" t="s">
        <v>399</v>
      </c>
      <c r="P13" s="1" t="s">
        <v>406</v>
      </c>
      <c r="U13" s="10"/>
    </row>
    <row r="14" spans="1:21" x14ac:dyDescent="0.25">
      <c r="A14" s="1">
        <v>13</v>
      </c>
      <c r="B14" s="1" t="str">
        <f>TEXT(LEFT(Swiggy_Sales[[#This Row],[Customer_Name]],3)&amp;RIGHT(D14,3),"")</f>
        <v>Roh109</v>
      </c>
      <c r="C14" s="1" t="s">
        <v>380</v>
      </c>
      <c r="D14" s="1">
        <v>9765432109</v>
      </c>
      <c r="E14" s="1" t="s">
        <v>381</v>
      </c>
      <c r="F14" s="1" t="s">
        <v>414</v>
      </c>
      <c r="G14" s="1" t="s">
        <v>334</v>
      </c>
      <c r="H14" s="1" t="s">
        <v>190</v>
      </c>
      <c r="I14" s="1" t="s">
        <v>293</v>
      </c>
      <c r="J14" s="1" t="s">
        <v>198</v>
      </c>
      <c r="K14" s="1" t="s">
        <v>201</v>
      </c>
      <c r="L14" s="1">
        <v>1</v>
      </c>
      <c r="M14" s="1">
        <v>220</v>
      </c>
      <c r="N14" s="10">
        <v>45672</v>
      </c>
      <c r="O14" s="1" t="s">
        <v>400</v>
      </c>
      <c r="P14" s="1" t="s">
        <v>407</v>
      </c>
      <c r="U14" s="10"/>
    </row>
    <row r="15" spans="1:21" x14ac:dyDescent="0.25">
      <c r="A15" s="1">
        <v>14</v>
      </c>
      <c r="B15" s="1" t="str">
        <f>TEXT(LEFT(Swiggy_Sales[[#This Row],[Customer_Name]],3)&amp;RIGHT(D15,3),"")</f>
        <v>Man655</v>
      </c>
      <c r="C15" s="1" t="s">
        <v>374</v>
      </c>
      <c r="D15" s="1">
        <v>9988776655</v>
      </c>
      <c r="E15" s="1" t="s">
        <v>375</v>
      </c>
      <c r="F15" s="1" t="s">
        <v>415</v>
      </c>
      <c r="G15" s="1" t="s">
        <v>411</v>
      </c>
      <c r="H15" s="1" t="s">
        <v>191</v>
      </c>
      <c r="I15" s="1" t="s">
        <v>310</v>
      </c>
      <c r="J15" s="1" t="s">
        <v>194</v>
      </c>
      <c r="K15" s="1" t="s">
        <v>200</v>
      </c>
      <c r="L15" s="1">
        <v>2</v>
      </c>
      <c r="M15" s="1">
        <v>240</v>
      </c>
      <c r="N15" s="10">
        <v>45674</v>
      </c>
      <c r="O15" s="1" t="s">
        <v>401</v>
      </c>
      <c r="P15" s="1" t="s">
        <v>408</v>
      </c>
      <c r="U15" s="10"/>
    </row>
    <row r="16" spans="1:21" x14ac:dyDescent="0.25">
      <c r="A16" s="1">
        <v>15</v>
      </c>
      <c r="B16" s="1" t="str">
        <f>TEXT(LEFT(Swiggy_Sales[[#This Row],[Customer_Name]],3)&amp;RIGHT(D16,3),"")</f>
        <v>Div090</v>
      </c>
      <c r="C16" s="1" t="s">
        <v>377</v>
      </c>
      <c r="D16" s="1">
        <v>9090909090</v>
      </c>
      <c r="E16" s="1" t="s">
        <v>378</v>
      </c>
      <c r="F16" s="1" t="s">
        <v>410</v>
      </c>
      <c r="G16" s="1" t="s">
        <v>388</v>
      </c>
      <c r="H16" s="1" t="s">
        <v>197</v>
      </c>
      <c r="I16" s="1" t="s">
        <v>275</v>
      </c>
      <c r="J16" s="1" t="s">
        <v>197</v>
      </c>
      <c r="K16" s="1" t="s">
        <v>201</v>
      </c>
      <c r="L16" s="1">
        <v>1</v>
      </c>
      <c r="M16" s="1">
        <v>160</v>
      </c>
      <c r="N16" s="10">
        <v>45675</v>
      </c>
      <c r="O16" s="1" t="s">
        <v>402</v>
      </c>
      <c r="P16" s="1" t="s">
        <v>405</v>
      </c>
      <c r="U16" s="10"/>
    </row>
    <row r="17" spans="3:21" x14ac:dyDescent="0.25">
      <c r="U17" s="10"/>
    </row>
    <row r="20" spans="3:21" x14ac:dyDescent="0.25">
      <c r="C20" s="38" t="s">
        <v>442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3:21" x14ac:dyDescent="0.25"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spans="3:21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3:21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3:21" x14ac:dyDescent="0.25">
      <c r="C24" s="1"/>
      <c r="D24" s="17" t="s">
        <v>417</v>
      </c>
      <c r="E24" s="18" t="s">
        <v>418</v>
      </c>
      <c r="F24" s="1"/>
      <c r="G24" s="23" t="s">
        <v>416</v>
      </c>
      <c r="H24" s="24" t="s">
        <v>419</v>
      </c>
      <c r="I24" s="1"/>
      <c r="J24" s="23" t="s">
        <v>420</v>
      </c>
      <c r="K24" s="24" t="s">
        <v>421</v>
      </c>
      <c r="L24" s="1"/>
      <c r="M24" s="1"/>
    </row>
    <row r="25" spans="3:21" x14ac:dyDescent="0.25">
      <c r="C25" s="1"/>
      <c r="D25" s="12" t="s">
        <v>368</v>
      </c>
      <c r="E25" s="19">
        <v>1</v>
      </c>
      <c r="F25" s="1"/>
      <c r="G25" s="12">
        <v>9876543210</v>
      </c>
      <c r="H25" s="19">
        <v>1</v>
      </c>
      <c r="I25" s="1"/>
      <c r="J25" s="12" t="s">
        <v>369</v>
      </c>
      <c r="K25" s="19">
        <v>1</v>
      </c>
      <c r="L25" s="1"/>
      <c r="M25" s="1"/>
    </row>
    <row r="26" spans="3:21" x14ac:dyDescent="0.25">
      <c r="C26" s="1"/>
      <c r="D26" s="13" t="s">
        <v>371</v>
      </c>
      <c r="E26" s="19">
        <v>2</v>
      </c>
      <c r="F26" s="1"/>
      <c r="G26" s="13">
        <v>9123456780</v>
      </c>
      <c r="H26" s="19">
        <v>2</v>
      </c>
      <c r="I26" s="1"/>
      <c r="J26" s="13" t="s">
        <v>372</v>
      </c>
      <c r="K26" s="19">
        <v>2</v>
      </c>
      <c r="L26" s="1"/>
      <c r="M26" s="1"/>
    </row>
    <row r="27" spans="3:21" x14ac:dyDescent="0.25">
      <c r="C27" s="1"/>
      <c r="D27" s="12" t="s">
        <v>374</v>
      </c>
      <c r="E27" s="19">
        <v>3</v>
      </c>
      <c r="F27" s="1"/>
      <c r="G27" s="12">
        <v>9988776655</v>
      </c>
      <c r="H27" s="19">
        <v>3</v>
      </c>
      <c r="I27" s="1"/>
      <c r="J27" s="12" t="s">
        <v>375</v>
      </c>
      <c r="K27" s="19">
        <v>3</v>
      </c>
      <c r="L27" s="1"/>
      <c r="M27" s="1"/>
    </row>
    <row r="28" spans="3:21" x14ac:dyDescent="0.25">
      <c r="C28" s="1"/>
      <c r="D28" s="13" t="s">
        <v>377</v>
      </c>
      <c r="E28" s="19">
        <v>4</v>
      </c>
      <c r="F28" s="1"/>
      <c r="G28" s="13">
        <v>9090909090</v>
      </c>
      <c r="H28" s="19">
        <v>4</v>
      </c>
      <c r="I28" s="1"/>
      <c r="J28" s="13" t="s">
        <v>378</v>
      </c>
      <c r="K28" s="19">
        <v>4</v>
      </c>
      <c r="L28" s="1"/>
      <c r="M28" s="1"/>
    </row>
    <row r="29" spans="3:21" x14ac:dyDescent="0.25">
      <c r="C29" s="1"/>
      <c r="D29" s="14" t="s">
        <v>380</v>
      </c>
      <c r="E29" s="21">
        <v>5</v>
      </c>
      <c r="F29" s="1"/>
      <c r="G29" s="14">
        <v>9765432109</v>
      </c>
      <c r="H29" s="21">
        <v>5</v>
      </c>
      <c r="I29" s="1"/>
      <c r="J29" s="14" t="s">
        <v>381</v>
      </c>
      <c r="K29" s="21">
        <v>5</v>
      </c>
      <c r="L29" s="1"/>
      <c r="M29" s="1"/>
    </row>
    <row r="30" spans="3:21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3:21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3:21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x14ac:dyDescent="0.25">
      <c r="C33" s="1"/>
      <c r="D33" s="23" t="s">
        <v>422</v>
      </c>
      <c r="E33" s="24" t="s">
        <v>423</v>
      </c>
      <c r="F33" s="1"/>
      <c r="G33" s="23" t="s">
        <v>425</v>
      </c>
      <c r="H33" s="24" t="s">
        <v>443</v>
      </c>
      <c r="I33" s="1"/>
      <c r="J33" s="23" t="s">
        <v>426</v>
      </c>
      <c r="K33" s="24" t="s">
        <v>427</v>
      </c>
      <c r="L33" s="1"/>
      <c r="M33" s="1"/>
    </row>
    <row r="34" spans="3:13" x14ac:dyDescent="0.25">
      <c r="C34" s="1"/>
      <c r="D34" s="25" t="s">
        <v>183</v>
      </c>
      <c r="E34" s="19">
        <v>1</v>
      </c>
      <c r="F34" s="1"/>
      <c r="G34" s="25" t="s">
        <v>340</v>
      </c>
      <c r="H34" s="19">
        <v>1</v>
      </c>
      <c r="I34" s="1"/>
      <c r="J34" s="25" t="s">
        <v>190</v>
      </c>
      <c r="K34" s="19">
        <v>1</v>
      </c>
      <c r="L34" s="1"/>
      <c r="M34" s="1"/>
    </row>
    <row r="35" spans="3:13" x14ac:dyDescent="0.25">
      <c r="C35" s="1"/>
      <c r="D35" s="25" t="s">
        <v>410</v>
      </c>
      <c r="E35" s="19">
        <v>2</v>
      </c>
      <c r="F35" s="1"/>
      <c r="G35" s="25" t="s">
        <v>411</v>
      </c>
      <c r="H35" s="19">
        <v>2</v>
      </c>
      <c r="I35" s="1"/>
      <c r="J35" s="25" t="s">
        <v>191</v>
      </c>
      <c r="K35" s="19">
        <v>2</v>
      </c>
      <c r="L35" s="1"/>
      <c r="M35" s="1"/>
    </row>
    <row r="36" spans="3:13" x14ac:dyDescent="0.25">
      <c r="C36" s="1"/>
      <c r="D36" s="25" t="s">
        <v>412</v>
      </c>
      <c r="E36" s="19">
        <v>3</v>
      </c>
      <c r="F36" s="1"/>
      <c r="G36" s="25" t="s">
        <v>334</v>
      </c>
      <c r="H36" s="19">
        <v>3</v>
      </c>
      <c r="I36" s="1"/>
      <c r="J36" s="25" t="s">
        <v>193</v>
      </c>
      <c r="K36" s="19">
        <v>3</v>
      </c>
      <c r="L36" s="1"/>
      <c r="M36" s="1"/>
    </row>
    <row r="37" spans="3:13" x14ac:dyDescent="0.25">
      <c r="C37" s="1"/>
      <c r="D37" s="25" t="s">
        <v>413</v>
      </c>
      <c r="E37" s="19">
        <v>4</v>
      </c>
      <c r="F37" s="1"/>
      <c r="G37" s="25" t="s">
        <v>328</v>
      </c>
      <c r="H37" s="19">
        <v>4</v>
      </c>
      <c r="I37" s="1"/>
      <c r="J37" s="25" t="s">
        <v>195</v>
      </c>
      <c r="K37" s="19">
        <v>4</v>
      </c>
      <c r="L37" s="1"/>
      <c r="M37" s="1"/>
    </row>
    <row r="38" spans="3:13" x14ac:dyDescent="0.25">
      <c r="C38" s="1"/>
      <c r="D38" s="25" t="s">
        <v>414</v>
      </c>
      <c r="E38" s="19">
        <v>5</v>
      </c>
      <c r="F38" s="1"/>
      <c r="G38" s="25" t="s">
        <v>346</v>
      </c>
      <c r="H38" s="19">
        <v>5</v>
      </c>
      <c r="I38" s="1"/>
      <c r="J38" s="26" t="s">
        <v>197</v>
      </c>
      <c r="K38" s="21">
        <v>5</v>
      </c>
      <c r="L38" s="1"/>
      <c r="M38" s="1"/>
    </row>
    <row r="39" spans="3:13" x14ac:dyDescent="0.25">
      <c r="C39" s="1"/>
      <c r="D39" s="26" t="s">
        <v>424</v>
      </c>
      <c r="E39" s="21">
        <v>6</v>
      </c>
      <c r="F39" s="1"/>
      <c r="G39" s="25" t="s">
        <v>363</v>
      </c>
      <c r="H39" s="19">
        <v>6</v>
      </c>
      <c r="I39" s="1"/>
      <c r="J39" s="1"/>
      <c r="K39" s="1"/>
      <c r="L39" s="1"/>
      <c r="M39" s="1"/>
    </row>
    <row r="40" spans="3:13" x14ac:dyDescent="0.25">
      <c r="C40" s="1"/>
      <c r="D40" s="1"/>
      <c r="E40" s="1"/>
      <c r="F40" s="1"/>
      <c r="G40" s="25" t="s">
        <v>350</v>
      </c>
      <c r="H40" s="19">
        <v>7</v>
      </c>
      <c r="I40" s="1"/>
      <c r="J40" s="1"/>
      <c r="K40" s="1"/>
      <c r="L40" s="1"/>
      <c r="M40" s="1"/>
    </row>
    <row r="41" spans="3:13" x14ac:dyDescent="0.25">
      <c r="C41" s="1"/>
      <c r="D41" s="1"/>
      <c r="E41" s="1"/>
      <c r="F41" s="1"/>
      <c r="G41" s="25" t="s">
        <v>343</v>
      </c>
      <c r="H41" s="19">
        <v>8</v>
      </c>
      <c r="I41" s="1"/>
      <c r="J41" s="1"/>
      <c r="K41" s="1"/>
      <c r="L41" s="1"/>
      <c r="M41" s="1"/>
    </row>
    <row r="42" spans="3:13" x14ac:dyDescent="0.25">
      <c r="C42" s="1"/>
      <c r="D42" s="1"/>
      <c r="E42" s="1"/>
      <c r="F42" s="1"/>
      <c r="G42" s="26" t="s">
        <v>388</v>
      </c>
      <c r="H42" s="21">
        <v>9</v>
      </c>
      <c r="I42" s="1"/>
      <c r="J42" s="1"/>
      <c r="K42" s="1"/>
      <c r="L42" s="1"/>
      <c r="M42" s="1"/>
    </row>
    <row r="43" spans="3:13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3:13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3:13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3:13" x14ac:dyDescent="0.25">
      <c r="C46" s="1"/>
      <c r="D46" s="23" t="s">
        <v>13</v>
      </c>
      <c r="E46" s="24" t="s">
        <v>428</v>
      </c>
      <c r="F46" s="1"/>
      <c r="G46" s="23" t="s">
        <v>392</v>
      </c>
      <c r="H46" s="24" t="s">
        <v>429</v>
      </c>
      <c r="I46" s="1"/>
      <c r="J46" s="27" t="s">
        <v>430</v>
      </c>
      <c r="K46" s="22" t="s">
        <v>431</v>
      </c>
      <c r="L46" s="1"/>
      <c r="M46" s="1"/>
    </row>
    <row r="47" spans="3:13" x14ac:dyDescent="0.25">
      <c r="C47" s="1"/>
      <c r="D47" s="25" t="s">
        <v>370</v>
      </c>
      <c r="E47" s="19">
        <v>1</v>
      </c>
      <c r="F47" s="1"/>
      <c r="G47" s="25" t="s">
        <v>198</v>
      </c>
      <c r="H47" s="19">
        <v>1</v>
      </c>
      <c r="I47" s="1"/>
      <c r="J47" s="25" t="s">
        <v>201</v>
      </c>
      <c r="K47" s="20">
        <v>1</v>
      </c>
      <c r="L47" s="1"/>
      <c r="M47" s="1"/>
    </row>
    <row r="48" spans="3:13" x14ac:dyDescent="0.25">
      <c r="C48" s="1"/>
      <c r="D48" s="25" t="s">
        <v>373</v>
      </c>
      <c r="E48" s="19">
        <v>2</v>
      </c>
      <c r="F48" s="1"/>
      <c r="G48" s="25" t="s">
        <v>196</v>
      </c>
      <c r="H48" s="19">
        <v>2</v>
      </c>
      <c r="I48" s="1"/>
      <c r="J48" s="25" t="s">
        <v>199</v>
      </c>
      <c r="K48" s="20">
        <v>2</v>
      </c>
      <c r="L48" s="1"/>
      <c r="M48" s="1"/>
    </row>
    <row r="49" spans="3:13" x14ac:dyDescent="0.25">
      <c r="C49" s="1"/>
      <c r="D49" s="25" t="s">
        <v>376</v>
      </c>
      <c r="E49" s="19">
        <v>3</v>
      </c>
      <c r="F49" s="1"/>
      <c r="G49" s="25" t="s">
        <v>195</v>
      </c>
      <c r="H49" s="19">
        <v>3</v>
      </c>
      <c r="I49" s="1"/>
      <c r="J49" s="26" t="s">
        <v>200</v>
      </c>
      <c r="K49" s="28">
        <v>3</v>
      </c>
      <c r="L49" s="1"/>
      <c r="M49" s="1"/>
    </row>
    <row r="50" spans="3:13" x14ac:dyDescent="0.25">
      <c r="C50" s="1"/>
      <c r="D50" s="25" t="s">
        <v>379</v>
      </c>
      <c r="E50" s="19">
        <v>4</v>
      </c>
      <c r="F50" s="1"/>
      <c r="G50" s="25" t="s">
        <v>194</v>
      </c>
      <c r="H50" s="19">
        <v>4</v>
      </c>
      <c r="I50" s="1"/>
      <c r="J50" s="1"/>
      <c r="K50" s="1"/>
      <c r="L50" s="1"/>
      <c r="M50" s="1"/>
    </row>
    <row r="51" spans="3:13" x14ac:dyDescent="0.25">
      <c r="C51" s="1"/>
      <c r="D51" s="25" t="s">
        <v>382</v>
      </c>
      <c r="E51" s="19">
        <v>5</v>
      </c>
      <c r="F51" s="1"/>
      <c r="G51" s="26" t="s">
        <v>197</v>
      </c>
      <c r="H51" s="21">
        <v>5</v>
      </c>
      <c r="I51" s="1"/>
      <c r="J51" s="1"/>
      <c r="K51" s="1"/>
      <c r="L51" s="1"/>
      <c r="M51" s="1"/>
    </row>
    <row r="52" spans="3:13" x14ac:dyDescent="0.25">
      <c r="C52" s="1"/>
      <c r="D52" s="25" t="s">
        <v>383</v>
      </c>
      <c r="E52" s="19">
        <v>6</v>
      </c>
      <c r="F52" s="1"/>
      <c r="G52" s="1"/>
      <c r="H52" s="1"/>
      <c r="I52" s="1"/>
      <c r="J52" s="1"/>
      <c r="K52" s="1"/>
      <c r="L52" s="1"/>
      <c r="M52" s="1"/>
    </row>
    <row r="53" spans="3:13" x14ac:dyDescent="0.25">
      <c r="C53" s="1"/>
      <c r="D53" s="25" t="s">
        <v>384</v>
      </c>
      <c r="E53" s="19">
        <v>7</v>
      </c>
      <c r="F53" s="1"/>
      <c r="G53" s="1"/>
      <c r="H53" s="1"/>
      <c r="I53" s="1"/>
      <c r="J53" s="1"/>
      <c r="K53" s="1"/>
      <c r="L53" s="1"/>
      <c r="M53" s="1"/>
    </row>
    <row r="54" spans="3:13" x14ac:dyDescent="0.25">
      <c r="C54" s="1"/>
      <c r="D54" s="25" t="s">
        <v>287</v>
      </c>
      <c r="E54" s="19">
        <v>8</v>
      </c>
      <c r="F54" s="1"/>
      <c r="G54" s="1"/>
      <c r="H54" s="1"/>
      <c r="I54" s="1"/>
      <c r="J54" s="1"/>
      <c r="K54" s="1"/>
      <c r="L54" s="1"/>
      <c r="M54" s="1"/>
    </row>
    <row r="55" spans="3:13" x14ac:dyDescent="0.25">
      <c r="C55" s="1"/>
      <c r="D55" s="25" t="s">
        <v>385</v>
      </c>
      <c r="E55" s="19">
        <v>9</v>
      </c>
      <c r="F55" s="1"/>
      <c r="G55" s="32" t="s">
        <v>432</v>
      </c>
      <c r="H55" s="24" t="s">
        <v>433</v>
      </c>
      <c r="I55" s="1"/>
      <c r="J55" s="32" t="s">
        <v>403</v>
      </c>
      <c r="K55" s="24" t="s">
        <v>434</v>
      </c>
      <c r="L55" s="1"/>
      <c r="M55" s="1"/>
    </row>
    <row r="56" spans="3:13" x14ac:dyDescent="0.25">
      <c r="C56" s="1"/>
      <c r="D56" s="25" t="s">
        <v>386</v>
      </c>
      <c r="E56" s="19">
        <v>10</v>
      </c>
      <c r="F56" s="1"/>
      <c r="G56" s="29" t="s">
        <v>395</v>
      </c>
      <c r="H56" s="31">
        <v>1</v>
      </c>
      <c r="I56" s="1"/>
      <c r="J56" s="29" t="s">
        <v>257</v>
      </c>
      <c r="K56" s="31">
        <v>1</v>
      </c>
      <c r="L56" s="1"/>
      <c r="M56" s="1"/>
    </row>
    <row r="57" spans="3:13" x14ac:dyDescent="0.25">
      <c r="C57" s="1"/>
      <c r="D57" s="25" t="s">
        <v>323</v>
      </c>
      <c r="E57" s="19">
        <v>11</v>
      </c>
      <c r="F57" s="1"/>
      <c r="G57" s="30" t="s">
        <v>396</v>
      </c>
      <c r="H57" s="31">
        <v>2</v>
      </c>
      <c r="I57" s="1"/>
      <c r="J57" s="30" t="s">
        <v>256</v>
      </c>
      <c r="K57" s="31">
        <v>2</v>
      </c>
      <c r="L57" s="1"/>
      <c r="M57" s="1"/>
    </row>
    <row r="58" spans="3:13" x14ac:dyDescent="0.25">
      <c r="C58" s="1"/>
      <c r="D58" s="25" t="s">
        <v>387</v>
      </c>
      <c r="E58" s="19">
        <v>12</v>
      </c>
      <c r="F58" s="1"/>
      <c r="G58" s="29" t="s">
        <v>397</v>
      </c>
      <c r="H58" s="31">
        <v>3</v>
      </c>
      <c r="I58" s="1"/>
      <c r="J58" s="29" t="s">
        <v>404</v>
      </c>
      <c r="K58" s="31">
        <v>3</v>
      </c>
      <c r="L58" s="1"/>
      <c r="M58" s="1"/>
    </row>
    <row r="59" spans="3:13" x14ac:dyDescent="0.25">
      <c r="C59" s="1"/>
      <c r="D59" s="25" t="s">
        <v>293</v>
      </c>
      <c r="E59" s="19">
        <v>13</v>
      </c>
      <c r="F59" s="1"/>
      <c r="G59" s="30" t="s">
        <v>398</v>
      </c>
      <c r="H59" s="31">
        <v>4</v>
      </c>
      <c r="I59" s="1"/>
      <c r="J59" s="30" t="s">
        <v>405</v>
      </c>
      <c r="K59" s="31">
        <v>4</v>
      </c>
      <c r="L59" s="1"/>
      <c r="M59" s="1"/>
    </row>
    <row r="60" spans="3:13" x14ac:dyDescent="0.25">
      <c r="C60" s="1"/>
      <c r="D60" s="25" t="s">
        <v>310</v>
      </c>
      <c r="E60" s="19">
        <v>14</v>
      </c>
      <c r="F60" s="1"/>
      <c r="G60" s="29" t="s">
        <v>399</v>
      </c>
      <c r="H60" s="31">
        <v>5</v>
      </c>
      <c r="I60" s="1"/>
      <c r="J60" s="29" t="s">
        <v>406</v>
      </c>
      <c r="K60" s="31">
        <v>5</v>
      </c>
      <c r="L60" s="1"/>
      <c r="M60" s="1"/>
    </row>
    <row r="61" spans="3:13" x14ac:dyDescent="0.25">
      <c r="C61" s="1"/>
      <c r="D61" s="26" t="s">
        <v>275</v>
      </c>
      <c r="E61" s="21">
        <v>15</v>
      </c>
      <c r="F61" s="1"/>
      <c r="G61" s="30" t="s">
        <v>400</v>
      </c>
      <c r="H61" s="31">
        <v>6</v>
      </c>
      <c r="I61" s="1"/>
      <c r="J61" s="30" t="s">
        <v>407</v>
      </c>
      <c r="K61" s="31">
        <v>6</v>
      </c>
      <c r="L61" s="1"/>
      <c r="M61" s="1"/>
    </row>
    <row r="62" spans="3:13" x14ac:dyDescent="0.25">
      <c r="C62" s="1"/>
      <c r="D62" s="1"/>
      <c r="E62" s="1"/>
      <c r="F62" s="1"/>
      <c r="G62" s="29" t="s">
        <v>401</v>
      </c>
      <c r="H62" s="31">
        <v>7</v>
      </c>
      <c r="I62" s="1"/>
      <c r="J62" s="33" t="s">
        <v>408</v>
      </c>
      <c r="K62" s="34">
        <v>7</v>
      </c>
      <c r="L62" s="1"/>
      <c r="M62" s="1"/>
    </row>
    <row r="63" spans="3:13" x14ac:dyDescent="0.25">
      <c r="C63" s="1"/>
      <c r="D63" s="1"/>
      <c r="E63" s="1"/>
      <c r="F63" s="1"/>
      <c r="G63" s="33" t="s">
        <v>402</v>
      </c>
      <c r="H63" s="34">
        <v>8</v>
      </c>
      <c r="I63" s="1"/>
      <c r="J63" s="1"/>
      <c r="K63" s="1"/>
      <c r="L63" s="1"/>
      <c r="M63" s="1"/>
    </row>
    <row r="64" spans="3:13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3:13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87" spans="21:36" x14ac:dyDescent="0.25">
      <c r="U87" s="37" t="s">
        <v>441</v>
      </c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spans="21:36" x14ac:dyDescent="0.25"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</row>
    <row r="90" spans="21:36" ht="15.75" thickBot="1" x14ac:dyDescent="0.3">
      <c r="U90" s="35" t="s">
        <v>389</v>
      </c>
      <c r="V90" s="35" t="s">
        <v>435</v>
      </c>
      <c r="W90" s="15" t="s">
        <v>3</v>
      </c>
      <c r="X90" s="15" t="s">
        <v>390</v>
      </c>
      <c r="Y90" s="15" t="s">
        <v>5</v>
      </c>
      <c r="Z90" s="15" t="s">
        <v>409</v>
      </c>
      <c r="AA90" s="15" t="s">
        <v>10</v>
      </c>
      <c r="AB90" s="15" t="s">
        <v>391</v>
      </c>
      <c r="AC90" s="15" t="s">
        <v>13</v>
      </c>
      <c r="AD90" s="15" t="s">
        <v>392</v>
      </c>
      <c r="AE90" s="15" t="s">
        <v>393</v>
      </c>
      <c r="AF90" s="15" t="s">
        <v>15</v>
      </c>
      <c r="AG90" s="15" t="s">
        <v>17</v>
      </c>
      <c r="AH90" s="15" t="s">
        <v>394</v>
      </c>
      <c r="AI90" s="15" t="s">
        <v>432</v>
      </c>
      <c r="AJ90" s="16" t="s">
        <v>403</v>
      </c>
    </row>
    <row r="91" spans="21:36" ht="15.75" thickTop="1" x14ac:dyDescent="0.25">
      <c r="U91" s="1">
        <v>1</v>
      </c>
      <c r="V91" s="1" t="s">
        <v>436</v>
      </c>
      <c r="W91" s="1">
        <f>VLOOKUP(C2,M_Customer_Name[],2,FALSE)</f>
        <v>1</v>
      </c>
      <c r="X91" s="1">
        <f>VLOOKUP(D2,M_CUST_MOB[],2,FALSE)</f>
        <v>1</v>
      </c>
      <c r="Y91" s="1">
        <f>VLOOKUP(E2,M_CUST_EMAIL[],2,FALSE)</f>
        <v>1</v>
      </c>
      <c r="Z91" s="1">
        <f>VLOOKUP(F2,M_CUST_LOC[],2,FALSE)</f>
        <v>1</v>
      </c>
      <c r="AA91" s="1">
        <f>VLOOKUP(G2,M_REST_NAME[],2,FALSE)</f>
        <v>1</v>
      </c>
      <c r="AB91" s="1">
        <f>VLOOKUP(H2,M_REST_CAT[],2,FALSE)</f>
        <v>1</v>
      </c>
      <c r="AC91" s="1">
        <f>VLOOKUP(I2,M_FOOD_NAME[],2,FALSE)</f>
        <v>1</v>
      </c>
      <c r="AD91" s="1">
        <f>VLOOKUP(J2,M_FOOD_TYPE[],2,FALSE)</f>
        <v>1</v>
      </c>
      <c r="AE91" s="1">
        <f>VLOOKUP(K2,M_PAYMENT_TYPE[],2,FALSE)</f>
        <v>1</v>
      </c>
      <c r="AF91" s="1">
        <v>2</v>
      </c>
      <c r="AG91" s="1">
        <v>320</v>
      </c>
      <c r="AH91" s="11">
        <v>45658</v>
      </c>
      <c r="AI91" s="1">
        <f>VLOOKUP(O2,M_AGENT_NAME[],2,FALSE)</f>
        <v>1</v>
      </c>
      <c r="AJ91" s="1">
        <f>VLOOKUP(P2,M_AGENT_VEH_TYPE[],2,FALSE)</f>
        <v>1</v>
      </c>
    </row>
    <row r="92" spans="21:36" x14ac:dyDescent="0.25">
      <c r="U92" s="1">
        <v>2</v>
      </c>
      <c r="V92" s="1" t="s">
        <v>437</v>
      </c>
      <c r="W92" s="1">
        <f>VLOOKUP(C3,M_Customer_Name[],2,FALSE)</f>
        <v>2</v>
      </c>
      <c r="X92" s="1">
        <f>VLOOKUP(D3,M_CUST_MOB[],2,FALSE)</f>
        <v>2</v>
      </c>
      <c r="Y92" s="1">
        <f>VLOOKUP(E3,M_CUST_EMAIL[],2,FALSE)</f>
        <v>2</v>
      </c>
      <c r="Z92" s="1">
        <f>VLOOKUP(F3,M_CUST_LOC[],2,FALSE)</f>
        <v>2</v>
      </c>
      <c r="AA92" s="1">
        <f>VLOOKUP(G3,M_REST_NAME[],2,FALSE)</f>
        <v>2</v>
      </c>
      <c r="AB92" s="1">
        <f>VLOOKUP(H3,M_REST_CAT[],2,FALSE)</f>
        <v>2</v>
      </c>
      <c r="AC92" s="1">
        <f>VLOOKUP(I3,M_FOOD_NAME[],2,FALSE)</f>
        <v>2</v>
      </c>
      <c r="AD92" s="1">
        <f>VLOOKUP(J3,M_FOOD_TYPE[],2,FALSE)</f>
        <v>2</v>
      </c>
      <c r="AE92" s="1">
        <f>VLOOKUP(K3,M_PAYMENT_TYPE[],2,FALSE)</f>
        <v>2</v>
      </c>
      <c r="AF92" s="1">
        <v>1</v>
      </c>
      <c r="AG92" s="1">
        <v>450</v>
      </c>
      <c r="AH92" s="11">
        <v>45658</v>
      </c>
      <c r="AI92" s="1">
        <f>VLOOKUP(O3,M_AGENT_NAME[],2,FALSE)</f>
        <v>2</v>
      </c>
      <c r="AJ92" s="1">
        <f>VLOOKUP(P3,M_AGENT_VEH_TYPE[],2,FALSE)</f>
        <v>2</v>
      </c>
    </row>
    <row r="93" spans="21:36" x14ac:dyDescent="0.25">
      <c r="U93" s="1">
        <v>3</v>
      </c>
      <c r="V93" s="1" t="s">
        <v>438</v>
      </c>
      <c r="W93" s="1">
        <f>VLOOKUP(C4,M_Customer_Name[],2,FALSE)</f>
        <v>3</v>
      </c>
      <c r="X93" s="1">
        <f>VLOOKUP(D4,M_CUST_MOB[],2,FALSE)</f>
        <v>3</v>
      </c>
      <c r="Y93" s="1">
        <f>VLOOKUP(E4,M_CUST_EMAIL[],2,FALSE)</f>
        <v>3</v>
      </c>
      <c r="Z93" s="1">
        <f>VLOOKUP(F4,M_CUST_LOC[],2,FALSE)</f>
        <v>3</v>
      </c>
      <c r="AA93" s="1">
        <f>VLOOKUP(G4,M_REST_NAME[],2,FALSE)</f>
        <v>3</v>
      </c>
      <c r="AB93" s="1">
        <f>VLOOKUP(H4,M_REST_CAT[],2,FALSE)</f>
        <v>1</v>
      </c>
      <c r="AC93" s="1">
        <f>VLOOKUP(I4,M_FOOD_NAME[],2,FALSE)</f>
        <v>3</v>
      </c>
      <c r="AD93" s="1">
        <f>VLOOKUP(J4,M_FOOD_TYPE[],2,FALSE)</f>
        <v>1</v>
      </c>
      <c r="AE93" s="1">
        <f>VLOOKUP(K4,M_PAYMENT_TYPE[],2,FALSE)</f>
        <v>3</v>
      </c>
      <c r="AF93" s="1">
        <v>1</v>
      </c>
      <c r="AG93" s="1">
        <v>380</v>
      </c>
      <c r="AH93" s="11">
        <v>45659</v>
      </c>
      <c r="AI93" s="1">
        <f>VLOOKUP(O4,M_AGENT_NAME[],2,FALSE)</f>
        <v>3</v>
      </c>
      <c r="AJ93" s="1">
        <f>VLOOKUP(P4,M_AGENT_VEH_TYPE[],2,FALSE)</f>
        <v>3</v>
      </c>
    </row>
    <row r="94" spans="21:36" x14ac:dyDescent="0.25">
      <c r="U94" s="1">
        <v>4</v>
      </c>
      <c r="V94" s="1" t="s">
        <v>439</v>
      </c>
      <c r="W94" s="1">
        <f>VLOOKUP(C5,M_Customer_Name[],2,FALSE)</f>
        <v>4</v>
      </c>
      <c r="X94" s="1">
        <f>VLOOKUP(D5,M_CUST_MOB[],2,FALSE)</f>
        <v>4</v>
      </c>
      <c r="Y94" s="1">
        <f>VLOOKUP(E5,M_CUST_EMAIL[],2,FALSE)</f>
        <v>4</v>
      </c>
      <c r="Z94" s="1">
        <f>VLOOKUP(F5,M_CUST_LOC[],2,FALSE)</f>
        <v>4</v>
      </c>
      <c r="AA94" s="1">
        <f>VLOOKUP(G5,M_REST_NAME[],2,FALSE)</f>
        <v>4</v>
      </c>
      <c r="AB94" s="1">
        <f>VLOOKUP(H5,M_REST_CAT[],2,FALSE)</f>
        <v>3</v>
      </c>
      <c r="AC94" s="1">
        <f>VLOOKUP(I5,M_FOOD_NAME[],2,FALSE)</f>
        <v>4</v>
      </c>
      <c r="AD94" s="1">
        <f>VLOOKUP(J5,M_FOOD_TYPE[],2,FALSE)</f>
        <v>3</v>
      </c>
      <c r="AE94" s="1">
        <f>VLOOKUP(K5,M_PAYMENT_TYPE[],2,FALSE)</f>
        <v>1</v>
      </c>
      <c r="AF94" s="1">
        <v>2</v>
      </c>
      <c r="AG94" s="1">
        <v>240</v>
      </c>
      <c r="AH94" s="11">
        <v>45660</v>
      </c>
      <c r="AI94" s="1">
        <f>VLOOKUP(O5,M_AGENT_NAME[],2,FALSE)</f>
        <v>4</v>
      </c>
      <c r="AJ94" s="1">
        <f>VLOOKUP(P5,M_AGENT_VEH_TYPE[],2,FALSE)</f>
        <v>4</v>
      </c>
    </row>
    <row r="95" spans="21:36" x14ac:dyDescent="0.25">
      <c r="U95" s="1">
        <v>5</v>
      </c>
      <c r="V95" s="1" t="s">
        <v>440</v>
      </c>
      <c r="W95" s="1">
        <f>VLOOKUP(C6,M_Customer_Name[],2,FALSE)</f>
        <v>5</v>
      </c>
      <c r="X95" s="1">
        <f>VLOOKUP(D6,M_CUST_MOB[],2,FALSE)</f>
        <v>5</v>
      </c>
      <c r="Y95" s="1">
        <f>VLOOKUP(E6,M_CUST_EMAIL[],2,FALSE)</f>
        <v>5</v>
      </c>
      <c r="Z95" s="1">
        <f>VLOOKUP(F6,M_CUST_LOC[],2,FALSE)</f>
        <v>5</v>
      </c>
      <c r="AA95" s="1">
        <f>VLOOKUP(G6,M_REST_NAME[],2,FALSE)</f>
        <v>5</v>
      </c>
      <c r="AB95" s="1">
        <f>VLOOKUP(H6,M_REST_CAT[],2,FALSE)</f>
        <v>1</v>
      </c>
      <c r="AC95" s="1">
        <f>VLOOKUP(I6,M_FOOD_NAME[],2,FALSE)</f>
        <v>5</v>
      </c>
      <c r="AD95" s="1">
        <f>VLOOKUP(J6,M_FOOD_TYPE[],2,FALSE)</f>
        <v>4</v>
      </c>
      <c r="AE95" s="1">
        <f>VLOOKUP(K6,M_PAYMENT_TYPE[],2,FALSE)</f>
        <v>2</v>
      </c>
      <c r="AF95" s="1">
        <v>1</v>
      </c>
      <c r="AG95" s="1">
        <v>520</v>
      </c>
      <c r="AH95" s="11">
        <v>45661</v>
      </c>
      <c r="AI95" s="1">
        <f>VLOOKUP(O6,M_AGENT_NAME[],2,FALSE)</f>
        <v>5</v>
      </c>
      <c r="AJ95" s="1">
        <f>VLOOKUP(P6,M_AGENT_VEH_TYPE[],2,FALSE)</f>
        <v>5</v>
      </c>
    </row>
    <row r="96" spans="21:36" x14ac:dyDescent="0.25">
      <c r="U96" s="1">
        <v>6</v>
      </c>
      <c r="V96" s="1" t="s">
        <v>436</v>
      </c>
      <c r="W96" s="1">
        <f>VLOOKUP(C7,M_Customer_Name[],2,FALSE)</f>
        <v>1</v>
      </c>
      <c r="X96" s="1">
        <f>VLOOKUP(D7,M_CUST_MOB[],2,FALSE)</f>
        <v>1</v>
      </c>
      <c r="Y96" s="1">
        <f>VLOOKUP(E7,M_CUST_EMAIL[],2,FALSE)</f>
        <v>1</v>
      </c>
      <c r="Z96" s="1">
        <f>VLOOKUP(F7,M_CUST_LOC[],2,FALSE)</f>
        <v>6</v>
      </c>
      <c r="AA96" s="1">
        <f>VLOOKUP(G7,M_REST_NAME[],2,FALSE)</f>
        <v>1</v>
      </c>
      <c r="AB96" s="1">
        <f>VLOOKUP(H7,M_REST_CAT[],2,FALSE)</f>
        <v>1</v>
      </c>
      <c r="AC96" s="1">
        <f>VLOOKUP(I7,M_FOOD_NAME[],2,FALSE)</f>
        <v>6</v>
      </c>
      <c r="AD96" s="1">
        <f>VLOOKUP(J7,M_FOOD_TYPE[],2,FALSE)</f>
        <v>4</v>
      </c>
      <c r="AE96" s="1">
        <f>VLOOKUP(K7,M_PAYMENT_TYPE[],2,FALSE)</f>
        <v>3</v>
      </c>
      <c r="AF96" s="1">
        <v>3</v>
      </c>
      <c r="AG96" s="1">
        <v>450</v>
      </c>
      <c r="AH96" s="11">
        <v>45663</v>
      </c>
      <c r="AI96" s="1">
        <f>VLOOKUP(O7,M_AGENT_NAME[],2,FALSE)</f>
        <v>6</v>
      </c>
      <c r="AJ96" s="1">
        <f>VLOOKUP(P7,M_AGENT_VEH_TYPE[],2,FALSE)</f>
        <v>6</v>
      </c>
    </row>
    <row r="97" spans="21:36" x14ac:dyDescent="0.25">
      <c r="U97" s="1">
        <v>7</v>
      </c>
      <c r="V97" s="1" t="s">
        <v>437</v>
      </c>
      <c r="W97" s="1">
        <f>VLOOKUP(C8,M_Customer_Name[],2,FALSE)</f>
        <v>2</v>
      </c>
      <c r="X97" s="1">
        <f>VLOOKUP(D8,M_CUST_MOB[],2,FALSE)</f>
        <v>2</v>
      </c>
      <c r="Y97" s="1">
        <f>VLOOKUP(E8,M_CUST_EMAIL[],2,FALSE)</f>
        <v>2</v>
      </c>
      <c r="Z97" s="1">
        <f>VLOOKUP(F8,M_CUST_LOC[],2,FALSE)</f>
        <v>1</v>
      </c>
      <c r="AA97" s="1">
        <f>VLOOKUP(G8,M_REST_NAME[],2,FALSE)</f>
        <v>6</v>
      </c>
      <c r="AB97" s="1">
        <f>VLOOKUP(H8,M_REST_CAT[],2,FALSE)</f>
        <v>1</v>
      </c>
      <c r="AC97" s="1">
        <f>VLOOKUP(I8,M_FOOD_NAME[],2,FALSE)</f>
        <v>7</v>
      </c>
      <c r="AD97" s="1">
        <f>VLOOKUP(J8,M_FOOD_TYPE[],2,FALSE)</f>
        <v>4</v>
      </c>
      <c r="AE97" s="1">
        <f>VLOOKUP(K8,M_PAYMENT_TYPE[],2,FALSE)</f>
        <v>1</v>
      </c>
      <c r="AF97" s="1">
        <v>2</v>
      </c>
      <c r="AG97" s="1">
        <v>200</v>
      </c>
      <c r="AH97" s="11">
        <v>45664</v>
      </c>
      <c r="AI97" s="1">
        <f>VLOOKUP(O8,M_AGENT_NAME[],2,FALSE)</f>
        <v>7</v>
      </c>
      <c r="AJ97" s="1">
        <f>VLOOKUP(P8,M_AGENT_VEH_TYPE[],2,FALSE)</f>
        <v>7</v>
      </c>
    </row>
    <row r="98" spans="21:36" x14ac:dyDescent="0.25">
      <c r="U98" s="1">
        <v>8</v>
      </c>
      <c r="V98" s="1" t="s">
        <v>438</v>
      </c>
      <c r="W98" s="1">
        <f>VLOOKUP(C9,M_Customer_Name[],2,FALSE)</f>
        <v>3</v>
      </c>
      <c r="X98" s="1">
        <f>VLOOKUP(D9,M_CUST_MOB[],2,FALSE)</f>
        <v>3</v>
      </c>
      <c r="Y98" s="1">
        <f>VLOOKUP(E9,M_CUST_EMAIL[],2,FALSE)</f>
        <v>3</v>
      </c>
      <c r="Z98" s="1">
        <f>VLOOKUP(F9,M_CUST_LOC[],2,FALSE)</f>
        <v>2</v>
      </c>
      <c r="AA98" s="1">
        <f>VLOOKUP(G9,M_REST_NAME[],2,FALSE)</f>
        <v>2</v>
      </c>
      <c r="AB98" s="1">
        <f>VLOOKUP(H9,M_REST_CAT[],2,FALSE)</f>
        <v>2</v>
      </c>
      <c r="AC98" s="1">
        <f>VLOOKUP(I9,M_FOOD_NAME[],2,FALSE)</f>
        <v>8</v>
      </c>
      <c r="AD98" s="1">
        <f>VLOOKUP(J9,M_FOOD_TYPE[],2,FALSE)</f>
        <v>2</v>
      </c>
      <c r="AE98" s="1">
        <f>VLOOKUP(K9,M_PAYMENT_TYPE[],2,FALSE)</f>
        <v>1</v>
      </c>
      <c r="AF98" s="1">
        <v>1</v>
      </c>
      <c r="AG98" s="1">
        <v>299</v>
      </c>
      <c r="AH98" s="11">
        <v>45666</v>
      </c>
      <c r="AI98" s="1">
        <f>VLOOKUP(O9,M_AGENT_NAME[],2,FALSE)</f>
        <v>1</v>
      </c>
      <c r="AJ98" s="1">
        <f>VLOOKUP(P9,M_AGENT_VEH_TYPE[],2,FALSE)</f>
        <v>1</v>
      </c>
    </row>
    <row r="99" spans="21:36" x14ac:dyDescent="0.25">
      <c r="U99" s="1">
        <v>9</v>
      </c>
      <c r="V99" s="1" t="s">
        <v>439</v>
      </c>
      <c r="W99" s="1">
        <f>VLOOKUP(C10,M_Customer_Name[],2,FALSE)</f>
        <v>4</v>
      </c>
      <c r="X99" s="1">
        <f>VLOOKUP(D10,M_CUST_MOB[],2,FALSE)</f>
        <v>4</v>
      </c>
      <c r="Y99" s="1">
        <f>VLOOKUP(E10,M_CUST_EMAIL[],2,FALSE)</f>
        <v>4</v>
      </c>
      <c r="Z99" s="1">
        <f>VLOOKUP(F10,M_CUST_LOC[],2,FALSE)</f>
        <v>3</v>
      </c>
      <c r="AA99" s="1">
        <f>VLOOKUP(G10,M_REST_NAME[],2,FALSE)</f>
        <v>7</v>
      </c>
      <c r="AB99" s="1">
        <f>VLOOKUP(H10,M_REST_CAT[],2,FALSE)</f>
        <v>4</v>
      </c>
      <c r="AC99" s="1">
        <f>VLOOKUP(I10,M_FOOD_NAME[],2,FALSE)</f>
        <v>9</v>
      </c>
      <c r="AD99" s="1">
        <f>VLOOKUP(J10,M_FOOD_TYPE[],2,FALSE)</f>
        <v>3</v>
      </c>
      <c r="AE99" s="1">
        <f>VLOOKUP(K10,M_PAYMENT_TYPE[],2,FALSE)</f>
        <v>2</v>
      </c>
      <c r="AF99" s="1">
        <v>1</v>
      </c>
      <c r="AG99" s="1">
        <v>280</v>
      </c>
      <c r="AH99" s="11">
        <v>45667</v>
      </c>
      <c r="AI99" s="1">
        <f>VLOOKUP(O10,M_AGENT_NAME[],2,FALSE)</f>
        <v>2</v>
      </c>
      <c r="AJ99" s="1">
        <f>VLOOKUP(P10,M_AGENT_VEH_TYPE[],2,FALSE)</f>
        <v>2</v>
      </c>
    </row>
    <row r="100" spans="21:36" x14ac:dyDescent="0.25">
      <c r="U100" s="1">
        <v>10</v>
      </c>
      <c r="V100" s="1" t="s">
        <v>440</v>
      </c>
      <c r="W100" s="1">
        <f>VLOOKUP(C11,M_Customer_Name[],2,FALSE)</f>
        <v>5</v>
      </c>
      <c r="X100" s="1">
        <f>VLOOKUP(D11,M_CUST_MOB[],2,FALSE)</f>
        <v>5</v>
      </c>
      <c r="Y100" s="1">
        <f>VLOOKUP(E11,M_CUST_EMAIL[],2,FALSE)</f>
        <v>5</v>
      </c>
      <c r="Z100" s="1">
        <f>VLOOKUP(F11,M_CUST_LOC[],2,FALSE)</f>
        <v>4</v>
      </c>
      <c r="AA100" s="1">
        <f>VLOOKUP(G11,M_REST_NAME[],2,FALSE)</f>
        <v>8</v>
      </c>
      <c r="AB100" s="1">
        <f>VLOOKUP(H11,M_REST_CAT[],2,FALSE)</f>
        <v>1</v>
      </c>
      <c r="AC100" s="1">
        <f>VLOOKUP(I11,M_FOOD_NAME[],2,FALSE)</f>
        <v>10</v>
      </c>
      <c r="AD100" s="1">
        <f>VLOOKUP(J11,M_FOOD_TYPE[],2,FALSE)</f>
        <v>4</v>
      </c>
      <c r="AE100" s="1">
        <f>VLOOKUP(K11,M_PAYMENT_TYPE[],2,FALSE)</f>
        <v>3</v>
      </c>
      <c r="AF100" s="1">
        <v>2</v>
      </c>
      <c r="AG100" s="1">
        <v>180</v>
      </c>
      <c r="AH100" s="11">
        <v>45668</v>
      </c>
      <c r="AI100" s="1">
        <f>VLOOKUP(O11,M_AGENT_NAME[],2,FALSE)</f>
        <v>3</v>
      </c>
      <c r="AJ100" s="1">
        <f>VLOOKUP(P11,M_AGENT_VEH_TYPE[],2,FALSE)</f>
        <v>3</v>
      </c>
    </row>
    <row r="101" spans="21:36" x14ac:dyDescent="0.25">
      <c r="U101" s="1">
        <v>11</v>
      </c>
      <c r="V101" s="1" t="s">
        <v>437</v>
      </c>
      <c r="W101" s="1">
        <f>VLOOKUP(C12,M_Customer_Name[],2,FALSE)</f>
        <v>2</v>
      </c>
      <c r="X101" s="1">
        <f>VLOOKUP(D12,M_CUST_MOB[],2,FALSE)</f>
        <v>2</v>
      </c>
      <c r="Y101" s="1">
        <f>VLOOKUP(E12,M_CUST_EMAIL[],2,FALSE)</f>
        <v>2</v>
      </c>
      <c r="Z101" s="1">
        <f>VLOOKUP(F12,M_CUST_LOC[],2,FALSE)</f>
        <v>5</v>
      </c>
      <c r="AA101" s="1">
        <f>VLOOKUP(G12,M_REST_NAME[],2,FALSE)</f>
        <v>1</v>
      </c>
      <c r="AB101" s="1">
        <f>VLOOKUP(H12,M_REST_CAT[],2,FALSE)</f>
        <v>1</v>
      </c>
      <c r="AC101" s="1">
        <f>VLOOKUP(I12,M_FOOD_NAME[],2,FALSE)</f>
        <v>11</v>
      </c>
      <c r="AD101" s="1">
        <f>VLOOKUP(J12,M_FOOD_TYPE[],2,FALSE)</f>
        <v>1</v>
      </c>
      <c r="AE101" s="1">
        <f>VLOOKUP(K12,M_PAYMENT_TYPE[],2,FALSE)</f>
        <v>1</v>
      </c>
      <c r="AF101" s="1">
        <v>1</v>
      </c>
      <c r="AG101" s="1">
        <v>250</v>
      </c>
      <c r="AH101" s="11">
        <v>45669</v>
      </c>
      <c r="AI101" s="1">
        <f>VLOOKUP(O12,M_AGENT_NAME[],2,FALSE)</f>
        <v>4</v>
      </c>
      <c r="AJ101" s="1">
        <f>VLOOKUP(P12,M_AGENT_VEH_TYPE[],2,FALSE)</f>
        <v>4</v>
      </c>
    </row>
    <row r="102" spans="21:36" x14ac:dyDescent="0.25">
      <c r="U102" s="1">
        <v>12</v>
      </c>
      <c r="V102" s="1" t="s">
        <v>436</v>
      </c>
      <c r="W102" s="1">
        <f>VLOOKUP(C13,M_Customer_Name[],2,FALSE)</f>
        <v>1</v>
      </c>
      <c r="X102" s="1">
        <f>VLOOKUP(D13,M_CUST_MOB[],2,FALSE)</f>
        <v>1</v>
      </c>
      <c r="Y102" s="1">
        <f>VLOOKUP(E13,M_CUST_EMAIL[],2,FALSE)</f>
        <v>1</v>
      </c>
      <c r="Z102" s="1">
        <f>VLOOKUP(F13,M_CUST_LOC[],2,FALSE)</f>
        <v>6</v>
      </c>
      <c r="AA102" s="1">
        <f>VLOOKUP(G13,M_REST_NAME[],2,FALSE)</f>
        <v>4</v>
      </c>
      <c r="AB102" s="1">
        <f>VLOOKUP(H13,M_REST_CAT[],2,FALSE)</f>
        <v>3</v>
      </c>
      <c r="AC102" s="1">
        <f>VLOOKUP(I13,M_FOOD_NAME[],2,FALSE)</f>
        <v>12</v>
      </c>
      <c r="AD102" s="1">
        <f>VLOOKUP(J13,M_FOOD_TYPE[],2,FALSE)</f>
        <v>4</v>
      </c>
      <c r="AE102" s="1">
        <f>VLOOKUP(K13,M_PAYMENT_TYPE[],2,FALSE)</f>
        <v>2</v>
      </c>
      <c r="AF102" s="1">
        <v>1</v>
      </c>
      <c r="AG102" s="1">
        <v>190</v>
      </c>
      <c r="AH102" s="11">
        <v>45671</v>
      </c>
      <c r="AI102" s="1">
        <f>VLOOKUP(O13,M_AGENT_NAME[],2,FALSE)</f>
        <v>5</v>
      </c>
      <c r="AJ102" s="1">
        <f>VLOOKUP(P13,M_AGENT_VEH_TYPE[],2,FALSE)</f>
        <v>5</v>
      </c>
    </row>
    <row r="103" spans="21:36" x14ac:dyDescent="0.25">
      <c r="U103" s="1">
        <v>13</v>
      </c>
      <c r="V103" s="1" t="s">
        <v>440</v>
      </c>
      <c r="W103" s="1">
        <f>VLOOKUP(C14,M_Customer_Name[],2,FALSE)</f>
        <v>5</v>
      </c>
      <c r="X103" s="1">
        <f>VLOOKUP(D14,M_CUST_MOB[],2,FALSE)</f>
        <v>5</v>
      </c>
      <c r="Y103" s="1">
        <f>VLOOKUP(E14,M_CUST_EMAIL[],2,FALSE)</f>
        <v>5</v>
      </c>
      <c r="Z103" s="1">
        <f>VLOOKUP(F14,M_CUST_LOC[],2,FALSE)</f>
        <v>5</v>
      </c>
      <c r="AA103" s="1">
        <f>VLOOKUP(G14,M_REST_NAME[],2,FALSE)</f>
        <v>3</v>
      </c>
      <c r="AB103" s="1">
        <f>VLOOKUP(H14,M_REST_CAT[],2,FALSE)</f>
        <v>1</v>
      </c>
      <c r="AC103" s="1">
        <f>VLOOKUP(I14,M_FOOD_NAME[],2,FALSE)</f>
        <v>13</v>
      </c>
      <c r="AD103" s="1">
        <f>VLOOKUP(J14,M_FOOD_TYPE[],2,FALSE)</f>
        <v>1</v>
      </c>
      <c r="AE103" s="1">
        <f>VLOOKUP(K14,M_PAYMENT_TYPE[],2,FALSE)</f>
        <v>1</v>
      </c>
      <c r="AF103" s="1">
        <v>1</v>
      </c>
      <c r="AG103" s="1">
        <v>220</v>
      </c>
      <c r="AH103" s="11">
        <v>45672</v>
      </c>
      <c r="AI103" s="1">
        <f>VLOOKUP(O14,M_AGENT_NAME[],2,FALSE)</f>
        <v>6</v>
      </c>
      <c r="AJ103" s="1">
        <f>VLOOKUP(P14,M_AGENT_VEH_TYPE[],2,FALSE)</f>
        <v>6</v>
      </c>
    </row>
    <row r="104" spans="21:36" x14ac:dyDescent="0.25">
      <c r="U104" s="1">
        <v>14</v>
      </c>
      <c r="V104" s="1" t="s">
        <v>438</v>
      </c>
      <c r="W104" s="1">
        <f>VLOOKUP(C15,M_Customer_Name[],2,FALSE)</f>
        <v>3</v>
      </c>
      <c r="X104" s="1">
        <f>VLOOKUP(D15,M_CUST_MOB[],2,FALSE)</f>
        <v>3</v>
      </c>
      <c r="Y104" s="1">
        <f>VLOOKUP(E15,M_CUST_EMAIL[],2,FALSE)</f>
        <v>3</v>
      </c>
      <c r="Z104" s="1">
        <f>VLOOKUP(F15,M_CUST_LOC[],2,FALSE)</f>
        <v>6</v>
      </c>
      <c r="AA104" s="1">
        <f>VLOOKUP(G15,M_REST_NAME[],2,FALSE)</f>
        <v>2</v>
      </c>
      <c r="AB104" s="1">
        <f>VLOOKUP(H15,M_REST_CAT[],2,FALSE)</f>
        <v>2</v>
      </c>
      <c r="AC104" s="1">
        <f>VLOOKUP(I15,M_FOOD_NAME[],2,FALSE)</f>
        <v>14</v>
      </c>
      <c r="AD104" s="1">
        <f>VLOOKUP(J15,M_FOOD_TYPE[],2,FALSE)</f>
        <v>4</v>
      </c>
      <c r="AE104" s="1">
        <f>VLOOKUP(K15,M_PAYMENT_TYPE[],2,FALSE)</f>
        <v>3</v>
      </c>
      <c r="AF104" s="1">
        <v>2</v>
      </c>
      <c r="AG104" s="1">
        <v>240</v>
      </c>
      <c r="AH104" s="11">
        <v>45674</v>
      </c>
      <c r="AI104" s="1">
        <f>VLOOKUP(O15,M_AGENT_NAME[],2,FALSE)</f>
        <v>7</v>
      </c>
      <c r="AJ104" s="1">
        <f>VLOOKUP(P15,M_AGENT_VEH_TYPE[],2,FALSE)</f>
        <v>7</v>
      </c>
    </row>
    <row r="105" spans="21:36" x14ac:dyDescent="0.25">
      <c r="U105" s="1">
        <v>15</v>
      </c>
      <c r="V105" s="1" t="s">
        <v>439</v>
      </c>
      <c r="W105" s="1">
        <f>VLOOKUP(C16,M_Customer_Name[],2,FALSE)</f>
        <v>4</v>
      </c>
      <c r="X105" s="1">
        <f>VLOOKUP(D16,M_CUST_MOB[],2,FALSE)</f>
        <v>4</v>
      </c>
      <c r="Y105" s="1">
        <f>VLOOKUP(E16,M_CUST_EMAIL[],2,FALSE)</f>
        <v>4</v>
      </c>
      <c r="Z105" s="1">
        <f>VLOOKUP(F16,M_CUST_LOC[],2,FALSE)</f>
        <v>2</v>
      </c>
      <c r="AA105" s="1">
        <f>VLOOKUP(G16,M_REST_NAME[],2,FALSE)</f>
        <v>9</v>
      </c>
      <c r="AB105" s="1">
        <f>VLOOKUP(H16,M_REST_CAT[],2,FALSE)</f>
        <v>5</v>
      </c>
      <c r="AC105" s="1">
        <f>VLOOKUP(I16,M_FOOD_NAME[],2,FALSE)</f>
        <v>15</v>
      </c>
      <c r="AD105" s="1">
        <f>VLOOKUP(J16,M_FOOD_TYPE[],2,FALSE)</f>
        <v>5</v>
      </c>
      <c r="AE105" s="1">
        <f>VLOOKUP(K16,M_PAYMENT_TYPE[],2,FALSE)</f>
        <v>1</v>
      </c>
      <c r="AF105" s="1">
        <v>1</v>
      </c>
      <c r="AG105" s="1">
        <v>160</v>
      </c>
      <c r="AH105" s="11">
        <v>45675</v>
      </c>
      <c r="AI105" s="1">
        <f>VLOOKUP(O16,M_AGENT_NAME[],2,FALSE)</f>
        <v>8</v>
      </c>
      <c r="AJ105" s="1">
        <f>VLOOKUP(P16,M_AGENT_VEH_TYPE[],2,FALSE)</f>
        <v>4</v>
      </c>
    </row>
  </sheetData>
  <sortState xmlns:xlrd2="http://schemas.microsoft.com/office/spreadsheetml/2017/richdata2" ref="U3:U17">
    <sortCondition ref="U3:U17"/>
  </sortState>
  <mergeCells count="2">
    <mergeCell ref="U87:AJ88"/>
    <mergeCell ref="C20:M21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CECE3C9-35A2-47DE-9655-C2E775BFEE28}">
  <ds:schemaRefs/>
</ds:datastoreItem>
</file>

<file path=customXml/itemProps2.xml><?xml version="1.0" encoding="utf-8"?>
<ds:datastoreItem xmlns:ds="http://schemas.openxmlformats.org/officeDocument/2006/customXml" ds:itemID="{E9A5A714-CBA5-458B-B5B9-A91C9A93F184}">
  <ds:schemaRefs/>
</ds:datastoreItem>
</file>

<file path=customXml/itemProps3.xml><?xml version="1.0" encoding="utf-8"?>
<ds:datastoreItem xmlns:ds="http://schemas.openxmlformats.org/officeDocument/2006/customXml" ds:itemID="{6931E9E0-75BF-4AC5-94A1-04A1AFD374B8}">
  <ds:schemaRefs/>
</ds:datastoreItem>
</file>

<file path=customXml/itemProps4.xml><?xml version="1.0" encoding="utf-8"?>
<ds:datastoreItem xmlns:ds="http://schemas.openxmlformats.org/officeDocument/2006/customXml" ds:itemID="{60026E70-CED0-41BD-B357-8856DD31BA41}">
  <ds:schemaRefs/>
</ds:datastoreItem>
</file>

<file path=customXml/itemProps5.xml><?xml version="1.0" encoding="utf-8"?>
<ds:datastoreItem xmlns:ds="http://schemas.openxmlformats.org/officeDocument/2006/customXml" ds:itemID="{7E15563A-F106-4A4A-8B05-F67457A25607}">
  <ds:schemaRefs/>
</ds:datastoreItem>
</file>

<file path=customXml/itemProps6.xml><?xml version="1.0" encoding="utf-8"?>
<ds:datastoreItem xmlns:ds="http://schemas.openxmlformats.org/officeDocument/2006/customXml" ds:itemID="{F356F4FB-8471-4D5F-89AC-FF82DF562D82}">
  <ds:schemaRefs/>
</ds:datastoreItem>
</file>

<file path=customXml/itemProps7.xml><?xml version="1.0" encoding="utf-8"?>
<ds:datastoreItem xmlns:ds="http://schemas.openxmlformats.org/officeDocument/2006/customXml" ds:itemID="{871CFD6E-67B3-4D25-8387-A76EA463942C}">
  <ds:schemaRefs/>
</ds:datastoreItem>
</file>

<file path=customXml/itemProps8.xml><?xml version="1.0" encoding="utf-8"?>
<ds:datastoreItem xmlns:ds="http://schemas.openxmlformats.org/officeDocument/2006/customXml" ds:itemID="{1F031611-B408-4E74-BDC5-2016CBA6CCB4}">
  <ds:schemaRefs/>
</ds:datastoreItem>
</file>

<file path=customXml/itemProps9.xml><?xml version="1.0" encoding="utf-8"?>
<ds:datastoreItem xmlns:ds="http://schemas.openxmlformats.org/officeDocument/2006/customXml" ds:itemID="{3FD0C86A-B04D-44C1-B78D-BF8D5E661DF4}">
  <ds:schemaRefs/>
</ds:datastoreItem>
</file>

<file path=customXml/itemProps10.xml><?xml version="1.0" encoding="utf-8"?>
<ds:datastoreItem xmlns:ds="http://schemas.openxmlformats.org/officeDocument/2006/customXml" ds:itemID="{DC5BA571-DE42-486C-8D33-0EFD91071FC1}">
  <ds:schemaRefs/>
</ds:datastoreItem>
</file>

<file path=customXml/itemProps11.xml><?xml version="1.0" encoding="utf-8"?>
<ds:datastoreItem xmlns:ds="http://schemas.openxmlformats.org/officeDocument/2006/customXml" ds:itemID="{7758720E-8CD3-4F72-8429-280BD09A3B26}">
  <ds:schemaRefs/>
</ds:datastoreItem>
</file>

<file path=customXml/itemProps12.xml><?xml version="1.0" encoding="utf-8"?>
<ds:datastoreItem xmlns:ds="http://schemas.openxmlformats.org/officeDocument/2006/customXml" ds:itemID="{9D961BFA-AB0F-4609-A03A-083556B73BBB}">
  <ds:schemaRefs/>
</ds:datastoreItem>
</file>

<file path=customXml/itemProps13.xml><?xml version="1.0" encoding="utf-8"?>
<ds:datastoreItem xmlns:ds="http://schemas.openxmlformats.org/officeDocument/2006/customXml" ds:itemID="{A4C57EA2-49DE-4D92-8A7C-24FF57FD5065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6A92A947-4830-4A4B-BDE3-BDD84546D341}">
  <ds:schemaRefs/>
</ds:datastoreItem>
</file>

<file path=customXml/itemProps15.xml><?xml version="1.0" encoding="utf-8"?>
<ds:datastoreItem xmlns:ds="http://schemas.openxmlformats.org/officeDocument/2006/customXml" ds:itemID="{A39B77CD-186F-483C-B5F0-9A2ABC54B71C}">
  <ds:schemaRefs/>
</ds:datastoreItem>
</file>

<file path=customXml/itemProps16.xml><?xml version="1.0" encoding="utf-8"?>
<ds:datastoreItem xmlns:ds="http://schemas.openxmlformats.org/officeDocument/2006/customXml" ds:itemID="{0905E628-D4A3-46EA-A606-081518447DF0}">
  <ds:schemaRefs/>
</ds:datastoreItem>
</file>

<file path=customXml/itemProps17.xml><?xml version="1.0" encoding="utf-8"?>
<ds:datastoreItem xmlns:ds="http://schemas.openxmlformats.org/officeDocument/2006/customXml" ds:itemID="{0692A447-30B2-468D-ACB3-1AF376F99FED}">
  <ds:schemaRefs/>
</ds:datastoreItem>
</file>

<file path=customXml/itemProps18.xml><?xml version="1.0" encoding="utf-8"?>
<ds:datastoreItem xmlns:ds="http://schemas.openxmlformats.org/officeDocument/2006/customXml" ds:itemID="{399F1873-CFC0-4284-9238-25B6A8A05C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SWIGGY</vt:lpstr>
      <vt:lpstr>Swiggy_Sales_Data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Sriman sree</cp:lastModifiedBy>
  <dcterms:created xsi:type="dcterms:W3CDTF">2025-11-21T14:06:07Z</dcterms:created>
  <dcterms:modified xsi:type="dcterms:W3CDTF">2025-11-21T17:27:50Z</dcterms:modified>
</cp:coreProperties>
</file>