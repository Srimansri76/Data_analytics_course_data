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Data Analyst\"/>
    </mc:Choice>
  </mc:AlternateContent>
  <xr:revisionPtr revIDLastSave="0" documentId="13_ncr:1_{C75AAA2D-9CEF-4B1C-9C1B-0F5DAFB8F839}" xr6:coauthVersionLast="47" xr6:coauthVersionMax="47" xr10:uidLastSave="{00000000-0000-0000-0000-000000000000}"/>
  <bookViews>
    <workbookView xWindow="-120" yWindow="-120" windowWidth="29040" windowHeight="15720" xr2:uid="{1D633358-1825-429D-A18B-CF51BC324F53}"/>
  </bookViews>
  <sheets>
    <sheet name="SALES_DATA" sheetId="1" r:id="rId1"/>
    <sheet name="DATA_MODEL" sheetId="2" r:id="rId2"/>
  </sheets>
  <definedNames>
    <definedName name="_xlnm._FilterDatabase" localSheetId="0" hidden="1">SALES_DATA!$B$1:$I$161</definedName>
    <definedName name="_xlcn.WorksheetConnection_DataModel.xlsxM_Brand1" hidden="1">M_Brand[]</definedName>
    <definedName name="_xlcn.WorksheetConnection_DataModel.xlsxM_City1" hidden="1">M_City[]</definedName>
    <definedName name="_xlcn.WorksheetConnection_DataModel.xlsxM_Product_cat1" hidden="1">M_Product_cat[]</definedName>
    <definedName name="_xlcn.WorksheetConnection_DataModel.xlsxM_Product_Model1" hidden="1">M_Product_Model[]</definedName>
    <definedName name="_xlcn.WorksheetConnection_DataModel.xlsxM_State1" hidden="1">M_State[]</definedName>
    <definedName name="_xlcn.WorksheetConnection_DataModel.xlsxTRANS1" hidden="1">TRANS[]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" name="TRANS" connection="WorksheetConnection_Data Model.xlsx!TRANS"/>
          <x15:modelTable id="M_State" name="M_State" connection="WorksheetConnection_Data Model.xlsx!M_State"/>
          <x15:modelTable id="M_Product_Model" name="M_Product_Model" connection="WorksheetConnection_Data Model.xlsx!M_Product_Model"/>
          <x15:modelTable id="M_Product_cat" name="M_Product_cat" connection="WorksheetConnection_Data Model.xlsx!M_Product_cat"/>
          <x15:modelTable id="M_City" name="M_City" connection="WorksheetConnection_Data Model.xlsx!M_City"/>
          <x15:modelTable id="M_Brand" name="M_Brand" connection="WorksheetConnection_Data Model.xlsx!M_Brand"/>
        </x15:modelTables>
        <x15:modelRelationships>
          <x15:modelRelationship fromTable="TRANS" fromColumn="PRODUCT_CATEGORY" toTable="M_Product_cat" toColumn="Product_Id"/>
          <x15:modelRelationship fromTable="TRANS" fromColumn="BRAND" toTable="M_Brand" toColumn="Brand_Id"/>
          <x15:modelRelationship fromTable="TRANS" fromColumn="PRODUCT_MODEL" toTable="M_Product_Model" toColumn="Model_Id"/>
          <x15:modelRelationship fromTable="TRANS" fromColumn="CITY" toTable="M_City" toColumn="City_Id"/>
          <x15:modelRelationship fromTable="TRANS" fromColumn="STATE" toTable="M_State" toColumn="State_Id"/>
        </x15:modelRelationships>
      </x15:dataModel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CE850-A269-4345-89DB-152F346F1BC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F94844E-9B62-4396-87C7-1071E576E66D}" name="WorksheetConnection_Data Model.xlsx!M_Brand" type="102" refreshedVersion="8" minRefreshableVersion="5">
    <extLst>
      <ext xmlns:x15="http://schemas.microsoft.com/office/spreadsheetml/2010/11/main" uri="{DE250136-89BD-433C-8126-D09CA5730AF9}">
        <x15:connection id="M_Brand">
          <x15:rangePr sourceName="_xlcn.WorksheetConnection_DataModel.xlsxM_Brand1"/>
        </x15:connection>
      </ext>
    </extLst>
  </connection>
  <connection id="3" xr16:uid="{2C5AF169-9D60-4DE0-B349-8BB8B4ECE094}" name="WorksheetConnection_Data Model.xlsx!M_City" type="102" refreshedVersion="8" minRefreshableVersion="5">
    <extLst>
      <ext xmlns:x15="http://schemas.microsoft.com/office/spreadsheetml/2010/11/main" uri="{DE250136-89BD-433C-8126-D09CA5730AF9}">
        <x15:connection id="M_City">
          <x15:rangePr sourceName="_xlcn.WorksheetConnection_DataModel.xlsxM_City1"/>
        </x15:connection>
      </ext>
    </extLst>
  </connection>
  <connection id="4" xr16:uid="{3CBFF114-D0C3-40AE-B0D8-8BF99C07A9B6}" name="WorksheetConnection_Data Model.xlsx!M_Product_cat" type="102" refreshedVersion="8" minRefreshableVersion="5">
    <extLst>
      <ext xmlns:x15="http://schemas.microsoft.com/office/spreadsheetml/2010/11/main" uri="{DE250136-89BD-433C-8126-D09CA5730AF9}">
        <x15:connection id="M_Product_cat">
          <x15:rangePr sourceName="_xlcn.WorksheetConnection_DataModel.xlsxM_Product_cat1"/>
        </x15:connection>
      </ext>
    </extLst>
  </connection>
  <connection id="5" xr16:uid="{CC27A308-28B6-4192-9AE1-47CFE1405A49}" name="WorksheetConnection_Data Model.xlsx!M_Product_Model" type="102" refreshedVersion="8" minRefreshableVersion="5">
    <extLst>
      <ext xmlns:x15="http://schemas.microsoft.com/office/spreadsheetml/2010/11/main" uri="{DE250136-89BD-433C-8126-D09CA5730AF9}">
        <x15:connection id="M_Product_Model">
          <x15:rangePr sourceName="_xlcn.WorksheetConnection_DataModel.xlsxM_Product_Model1"/>
        </x15:connection>
      </ext>
    </extLst>
  </connection>
  <connection id="6" xr16:uid="{1A308A4F-FD70-46F0-9A24-9DD9E43444CB}" name="WorksheetConnection_Data Model.xlsx!M_State" type="102" refreshedVersion="8" minRefreshableVersion="5">
    <extLst>
      <ext xmlns:x15="http://schemas.microsoft.com/office/spreadsheetml/2010/11/main" uri="{DE250136-89BD-433C-8126-D09CA5730AF9}">
        <x15:connection id="M_State">
          <x15:rangePr sourceName="_xlcn.WorksheetConnection_DataModel.xlsxM_State1"/>
        </x15:connection>
      </ext>
    </extLst>
  </connection>
  <connection id="7" xr16:uid="{3484CE69-5FCF-49B4-BFD0-5CB0F5DCA81F}" name="WorksheetConnection_Data Model.xlsx!TRANS" type="102" refreshedVersion="8" minRefreshableVersion="5">
    <extLst>
      <ext xmlns:x15="http://schemas.microsoft.com/office/spreadsheetml/2010/11/main" uri="{DE250136-89BD-433C-8126-D09CA5730AF9}">
        <x15:connection id="TRANS">
          <x15:rangePr sourceName="_xlcn.WorksheetConnection_DataModel.xlsxTRANS1"/>
        </x15:connection>
      </ext>
    </extLst>
  </connection>
</connections>
</file>

<file path=xl/sharedStrings.xml><?xml version="1.0" encoding="utf-8"?>
<sst xmlns="http://schemas.openxmlformats.org/spreadsheetml/2006/main" count="1307" uniqueCount="320">
  <si>
    <t>SALEID</t>
  </si>
  <si>
    <t>PRODUCT_CTG</t>
  </si>
  <si>
    <t>BRAND_NAME</t>
  </si>
  <si>
    <t>PRODUCT_NAME</t>
  </si>
  <si>
    <t>QUANTITY</t>
  </si>
  <si>
    <t>PRICE_PER_UNIT</t>
  </si>
  <si>
    <t>CITY</t>
  </si>
  <si>
    <t>STATE</t>
  </si>
  <si>
    <t>DATE</t>
  </si>
  <si>
    <t>Laptop</t>
  </si>
  <si>
    <t>ACER</t>
  </si>
  <si>
    <t>Predator Helios</t>
  </si>
  <si>
    <t>Trivandrum</t>
  </si>
  <si>
    <t>Kerala</t>
  </si>
  <si>
    <t>Aspire 5</t>
  </si>
  <si>
    <t>Madurai</t>
  </si>
  <si>
    <t>Tamil Nadu</t>
  </si>
  <si>
    <t>S1003</t>
  </si>
  <si>
    <t>HP</t>
  </si>
  <si>
    <t>Omen 16</t>
  </si>
  <si>
    <t>5/16/2024</t>
  </si>
  <si>
    <t>S1004</t>
  </si>
  <si>
    <t>DELL</t>
  </si>
  <si>
    <t>Inspiron 15</t>
  </si>
  <si>
    <t>S1005</t>
  </si>
  <si>
    <t>Pavilion 14</t>
  </si>
  <si>
    <t>Visakhapatnam</t>
  </si>
  <si>
    <t>Andhra Pradesh</t>
  </si>
  <si>
    <t>S1006</t>
  </si>
  <si>
    <t>ASUS</t>
  </si>
  <si>
    <t>Vivobook 15</t>
  </si>
  <si>
    <t>12/29/2024</t>
  </si>
  <si>
    <t>S1007</t>
  </si>
  <si>
    <t>Chennai</t>
  </si>
  <si>
    <t>1/15/2024</t>
  </si>
  <si>
    <t>S1008</t>
  </si>
  <si>
    <t>Mysore</t>
  </si>
  <si>
    <t>Karnataka</t>
  </si>
  <si>
    <t>9/26/2025</t>
  </si>
  <si>
    <t>S1009</t>
  </si>
  <si>
    <t>ROG Zephyrus</t>
  </si>
  <si>
    <t>Coimbatore</t>
  </si>
  <si>
    <t>S1010</t>
  </si>
  <si>
    <t>MSI</t>
  </si>
  <si>
    <t>Modern 14</t>
  </si>
  <si>
    <t>Kochi</t>
  </si>
  <si>
    <t>S1011</t>
  </si>
  <si>
    <t>6/26/2025</t>
  </si>
  <si>
    <t>S1012</t>
  </si>
  <si>
    <t>12/25/2023</t>
  </si>
  <si>
    <t>S1013</t>
  </si>
  <si>
    <t>LENOVO</t>
  </si>
  <si>
    <t>IdeaPad Slim 5</t>
  </si>
  <si>
    <t>S1014</t>
  </si>
  <si>
    <t>Bangalore</t>
  </si>
  <si>
    <t>S1015</t>
  </si>
  <si>
    <t>8/24/2025</t>
  </si>
  <si>
    <t>S1016</t>
  </si>
  <si>
    <t>S1017</t>
  </si>
  <si>
    <t>12/17/2024</t>
  </si>
  <si>
    <t>S1018</t>
  </si>
  <si>
    <t>Vijayawada</t>
  </si>
  <si>
    <t>1/17/2025</t>
  </si>
  <si>
    <t>S1019</t>
  </si>
  <si>
    <t>1/25/2025</t>
  </si>
  <si>
    <t>S1020</t>
  </si>
  <si>
    <t>XPS 13</t>
  </si>
  <si>
    <t>Hyderabad</t>
  </si>
  <si>
    <t>Telangana</t>
  </si>
  <si>
    <t>6/21/2025</t>
  </si>
  <si>
    <t>S1021</t>
  </si>
  <si>
    <t>GF63 Thin</t>
  </si>
  <si>
    <t>S1022</t>
  </si>
  <si>
    <t>5/23/2025</t>
  </si>
  <si>
    <t>S1023</t>
  </si>
  <si>
    <t>8/29/2024</t>
  </si>
  <si>
    <t>S1024</t>
  </si>
  <si>
    <t>7/13/2024</t>
  </si>
  <si>
    <t>S1025</t>
  </si>
  <si>
    <t>S1026</t>
  </si>
  <si>
    <t>1/14/2024</t>
  </si>
  <si>
    <t>S1027</t>
  </si>
  <si>
    <t>6/15/2025</t>
  </si>
  <si>
    <t>S1028</t>
  </si>
  <si>
    <t>S1029</t>
  </si>
  <si>
    <t>4/18/2024</t>
  </si>
  <si>
    <t>S1030</t>
  </si>
  <si>
    <t>ThinkPad E14</t>
  </si>
  <si>
    <t>3/21/2024</t>
  </si>
  <si>
    <t>S1031</t>
  </si>
  <si>
    <t>9/27/2024</t>
  </si>
  <si>
    <t>S1032</t>
  </si>
  <si>
    <t>10/24/2025</t>
  </si>
  <si>
    <t>S1033</t>
  </si>
  <si>
    <t>8/18/2024</t>
  </si>
  <si>
    <t>S1034</t>
  </si>
  <si>
    <t>4/21/2024</t>
  </si>
  <si>
    <t>S1035</t>
  </si>
  <si>
    <t>1/29/2025</t>
  </si>
  <si>
    <t>S1036</t>
  </si>
  <si>
    <t>S1037</t>
  </si>
  <si>
    <t>3/16/2025</t>
  </si>
  <si>
    <t>S1038</t>
  </si>
  <si>
    <t>9/19/2024</t>
  </si>
  <si>
    <t>S1039</t>
  </si>
  <si>
    <t>S1040</t>
  </si>
  <si>
    <t>S1041</t>
  </si>
  <si>
    <t>S1042</t>
  </si>
  <si>
    <t>4/25/2024</t>
  </si>
  <si>
    <t>S1043</t>
  </si>
  <si>
    <t>S1044</t>
  </si>
  <si>
    <t>S1045</t>
  </si>
  <si>
    <t>S1046</t>
  </si>
  <si>
    <t>2/17/2025</t>
  </si>
  <si>
    <t>S1047</t>
  </si>
  <si>
    <t>10/23/2024</t>
  </si>
  <si>
    <t>S1048</t>
  </si>
  <si>
    <t>S1049</t>
  </si>
  <si>
    <t>S1050</t>
  </si>
  <si>
    <t>5/22/2025</t>
  </si>
  <si>
    <t>S1051</t>
  </si>
  <si>
    <t>S1052</t>
  </si>
  <si>
    <t>S1053</t>
  </si>
  <si>
    <t>S1054</t>
  </si>
  <si>
    <t>12/23/2024</t>
  </si>
  <si>
    <t>S1055</t>
  </si>
  <si>
    <t>12/22/2024</t>
  </si>
  <si>
    <t>S1056</t>
  </si>
  <si>
    <t>2/28/2025</t>
  </si>
  <si>
    <t>S1057</t>
  </si>
  <si>
    <t>3/25/2024</t>
  </si>
  <si>
    <t>S1058</t>
  </si>
  <si>
    <t>7/17/2024</t>
  </si>
  <si>
    <t>S1059</t>
  </si>
  <si>
    <t>S1060</t>
  </si>
  <si>
    <t>4/26/2024</t>
  </si>
  <si>
    <t>S1061</t>
  </si>
  <si>
    <t>S1062</t>
  </si>
  <si>
    <t>S1063</t>
  </si>
  <si>
    <t>S1064</t>
  </si>
  <si>
    <t>S1065</t>
  </si>
  <si>
    <t>S1066</t>
  </si>
  <si>
    <t>5/18/2024</t>
  </si>
  <si>
    <t>S1067</t>
  </si>
  <si>
    <t>1/24/2025</t>
  </si>
  <si>
    <t>S1068</t>
  </si>
  <si>
    <t>2/27/2025</t>
  </si>
  <si>
    <t>S1069</t>
  </si>
  <si>
    <t>S1070</t>
  </si>
  <si>
    <t>7/20/2024</t>
  </si>
  <si>
    <t>S1071</t>
  </si>
  <si>
    <t>S1072</t>
  </si>
  <si>
    <t>4/13/2024</t>
  </si>
  <si>
    <t>S1073</t>
  </si>
  <si>
    <t>3/24/2024</t>
  </si>
  <si>
    <t>S1074</t>
  </si>
  <si>
    <t>S1075</t>
  </si>
  <si>
    <t>S1076</t>
  </si>
  <si>
    <t>S1077</t>
  </si>
  <si>
    <t>3/28/2024</t>
  </si>
  <si>
    <t>S1078</t>
  </si>
  <si>
    <t>11/19/2023</t>
  </si>
  <si>
    <t>S1079</t>
  </si>
  <si>
    <t>7/29/2025</t>
  </si>
  <si>
    <t>S1080</t>
  </si>
  <si>
    <t>10/15/2024</t>
  </si>
  <si>
    <t>S1081</t>
  </si>
  <si>
    <t>4/15/2025</t>
  </si>
  <si>
    <t>S1082</t>
  </si>
  <si>
    <t>S1083</t>
  </si>
  <si>
    <t>S1084</t>
  </si>
  <si>
    <t>S1085</t>
  </si>
  <si>
    <t>S1086</t>
  </si>
  <si>
    <t>2/18/2024</t>
  </si>
  <si>
    <t>S1087</t>
  </si>
  <si>
    <t>S1088</t>
  </si>
  <si>
    <t>7/26/2025</t>
  </si>
  <si>
    <t>S1089</t>
  </si>
  <si>
    <t>S1090</t>
  </si>
  <si>
    <t>8/25/2025</t>
  </si>
  <si>
    <t>S1091</t>
  </si>
  <si>
    <t>S1092</t>
  </si>
  <si>
    <t>11/23/2023</t>
  </si>
  <si>
    <t>S1093</t>
  </si>
  <si>
    <t>S1094</t>
  </si>
  <si>
    <t>S1095</t>
  </si>
  <si>
    <t>S1096</t>
  </si>
  <si>
    <t>S1097</t>
  </si>
  <si>
    <t>S1098</t>
  </si>
  <si>
    <t>7/31/2024</t>
  </si>
  <si>
    <t>S1099</t>
  </si>
  <si>
    <t>S1100</t>
  </si>
  <si>
    <t>6/16/2024</t>
  </si>
  <si>
    <t>S1101</t>
  </si>
  <si>
    <t>Smartphone</t>
  </si>
  <si>
    <t>Nothing</t>
  </si>
  <si>
    <t>Nothing Phone 2</t>
  </si>
  <si>
    <t>3/18/2025</t>
  </si>
  <si>
    <t>S1102</t>
  </si>
  <si>
    <t>Vivo</t>
  </si>
  <si>
    <t>Vivo V27</t>
  </si>
  <si>
    <t>3/28/2025</t>
  </si>
  <si>
    <t>S1103</t>
  </si>
  <si>
    <t>Motorola</t>
  </si>
  <si>
    <t>Moto Edge 40</t>
  </si>
  <si>
    <t>S1104</t>
  </si>
  <si>
    <t>Samsung</t>
  </si>
  <si>
    <t>Galaxy S23</t>
  </si>
  <si>
    <t>S1105</t>
  </si>
  <si>
    <t>Apple</t>
  </si>
  <si>
    <t>iPhone 14</t>
  </si>
  <si>
    <t>S1106</t>
  </si>
  <si>
    <t>S1107</t>
  </si>
  <si>
    <t>Realme</t>
  </si>
  <si>
    <t>Realme GT Neo 3</t>
  </si>
  <si>
    <t>S1108</t>
  </si>
  <si>
    <t>9/28/2025</t>
  </si>
  <si>
    <t>S1109</t>
  </si>
  <si>
    <t>9/24/2025</t>
  </si>
  <si>
    <t>S1110</t>
  </si>
  <si>
    <t>10/27/2025</t>
  </si>
  <si>
    <t>S1111</t>
  </si>
  <si>
    <t>OnePlus</t>
  </si>
  <si>
    <t>OnePlus 11</t>
  </si>
  <si>
    <t>10/14/2025</t>
  </si>
  <si>
    <t>S1112</t>
  </si>
  <si>
    <t>S1113</t>
  </si>
  <si>
    <t>Google</t>
  </si>
  <si>
    <t>Pixel 7</t>
  </si>
  <si>
    <t>10/29/2025</t>
  </si>
  <si>
    <t>S1114</t>
  </si>
  <si>
    <t>7/25/2025</t>
  </si>
  <si>
    <t>S1115</t>
  </si>
  <si>
    <t>S1116</t>
  </si>
  <si>
    <t>S1117</t>
  </si>
  <si>
    <t>9/23/2025</t>
  </si>
  <si>
    <t>S1118</t>
  </si>
  <si>
    <t>S1119</t>
  </si>
  <si>
    <t>10/21/2025</t>
  </si>
  <si>
    <t>S1120</t>
  </si>
  <si>
    <t>9/15/2025</t>
  </si>
  <si>
    <t>S1121</t>
  </si>
  <si>
    <t>Oppo</t>
  </si>
  <si>
    <t>Oppo Reno 10</t>
  </si>
  <si>
    <t>S1122</t>
  </si>
  <si>
    <t>11/23/2024</t>
  </si>
  <si>
    <t>S1123</t>
  </si>
  <si>
    <t>S1124</t>
  </si>
  <si>
    <t>11/26/2024</t>
  </si>
  <si>
    <t>S1125</t>
  </si>
  <si>
    <t>9/22/2025</t>
  </si>
  <si>
    <t>S1126</t>
  </si>
  <si>
    <t>S1127</t>
  </si>
  <si>
    <t>Xiaomi</t>
  </si>
  <si>
    <t>Redmi Note 12</t>
  </si>
  <si>
    <t>S1128</t>
  </si>
  <si>
    <t>S1129</t>
  </si>
  <si>
    <t>12/21/2024</t>
  </si>
  <si>
    <t>S1130</t>
  </si>
  <si>
    <t>S1131</t>
  </si>
  <si>
    <t>3/19/2025</t>
  </si>
  <si>
    <t>S1132</t>
  </si>
  <si>
    <t>1/26/2025</t>
  </si>
  <si>
    <t>S1133</t>
  </si>
  <si>
    <t>S1134</t>
  </si>
  <si>
    <t>9/14/2025</t>
  </si>
  <si>
    <t>S1135</t>
  </si>
  <si>
    <t>10/25/2025</t>
  </si>
  <si>
    <t>S1136</t>
  </si>
  <si>
    <t>S1137</t>
  </si>
  <si>
    <t>S1138</t>
  </si>
  <si>
    <t>4/23/2025</t>
  </si>
  <si>
    <t>S1139</t>
  </si>
  <si>
    <t>6/19/2025</t>
  </si>
  <si>
    <t>S1140</t>
  </si>
  <si>
    <t>2/18/2025</t>
  </si>
  <si>
    <t>S1141</t>
  </si>
  <si>
    <t>S1142</t>
  </si>
  <si>
    <t>S1143</t>
  </si>
  <si>
    <t>S1144</t>
  </si>
  <si>
    <t>1/14/2025</t>
  </si>
  <si>
    <t>S1145</t>
  </si>
  <si>
    <t>6/17/2025</t>
  </si>
  <si>
    <t>S1146</t>
  </si>
  <si>
    <t>4/18/2025</t>
  </si>
  <si>
    <t>S1147</t>
  </si>
  <si>
    <t>S1148</t>
  </si>
  <si>
    <t>2/26/2025</t>
  </si>
  <si>
    <t>S1149</t>
  </si>
  <si>
    <t>10/31/2025</t>
  </si>
  <si>
    <t>S1150</t>
  </si>
  <si>
    <t>S1151</t>
  </si>
  <si>
    <t>2/19/2025</t>
  </si>
  <si>
    <t>S1152</t>
  </si>
  <si>
    <t>12/24/2024</t>
  </si>
  <si>
    <t>S1153</t>
  </si>
  <si>
    <t>3/23/2025</t>
  </si>
  <si>
    <t>S1154</t>
  </si>
  <si>
    <t>S1155</t>
  </si>
  <si>
    <t>S1156</t>
  </si>
  <si>
    <t>S1157</t>
  </si>
  <si>
    <t>S1158</t>
  </si>
  <si>
    <t>S1159</t>
  </si>
  <si>
    <t>S1160</t>
  </si>
  <si>
    <t>BRAND</t>
  </si>
  <si>
    <t xml:space="preserve">Table Demo Design </t>
  </si>
  <si>
    <t>Master Data</t>
  </si>
  <si>
    <t>YEAR</t>
  </si>
  <si>
    <t>Product_Model</t>
  </si>
  <si>
    <t>Product_Category</t>
  </si>
  <si>
    <t>PRODUCT_CATEGORY</t>
  </si>
  <si>
    <t>PRODUCT_MODEL</t>
  </si>
  <si>
    <t>Product_Id</t>
  </si>
  <si>
    <t>Brand_Id</t>
  </si>
  <si>
    <t>Model_Id</t>
  </si>
  <si>
    <t>State_Id</t>
  </si>
  <si>
    <t>City_Id</t>
  </si>
  <si>
    <t>Brand_Name</t>
  </si>
  <si>
    <t>State_Name</t>
  </si>
  <si>
    <t>City_Name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</si>
</sst>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DEBF7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rgb="FFDDEBF7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14" fontId="0" fillId="0" borderId="0" xfId="0" applyNumberFormat="1" applyAlignment="1">
      <alignment horizontal="left"/>
    </xf>
    <xf numFmtId="0" fontId="3" fillId="10" borderId="1" xfId="0" applyFont="1" applyFill="1" applyBorder="1" applyAlignment="1">
      <alignment horizontal="left"/>
    </xf>
    <xf numFmtId="14" fontId="0" fillId="11" borderId="1" xfId="0" applyNumberForma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3" fillId="13" borderId="2" xfId="0" applyFont="1" applyFill="1" applyBorder="1" applyAlignment="1">
      <alignment horizontal="left"/>
    </xf>
    <xf numFmtId="0" fontId="3" fillId="10" borderId="3" xfId="0" applyFont="1" applyFill="1" applyBorder="1" applyAlignment="1">
      <alignment horizontal="left"/>
    </xf>
    <xf numFmtId="0" fontId="3" fillId="11" borderId="3" xfId="0" applyFont="1" applyFill="1" applyBorder="1" applyAlignment="1">
      <alignment horizontal="left"/>
    </xf>
    <xf numFmtId="0" fontId="0" fillId="11" borderId="4" xfId="0" applyFill="1" applyBorder="1" applyAlignment="1">
      <alignment horizontal="left"/>
    </xf>
    <xf numFmtId="0" fontId="3" fillId="11" borderId="8" xfId="0" applyFont="1" applyFill="1" applyBorder="1" applyAlignment="1">
      <alignment horizontal="left"/>
    </xf>
    <xf numFmtId="0" fontId="3" fillId="11" borderId="9" xfId="0" applyFont="1" applyFill="1" applyBorder="1" applyAlignment="1">
      <alignment horizontal="left"/>
    </xf>
    <xf numFmtId="0" fontId="0" fillId="11" borderId="9" xfId="0" applyFill="1" applyBorder="1" applyAlignment="1">
      <alignment horizontal="left"/>
    </xf>
    <xf numFmtId="14" fontId="0" fillId="11" borderId="9" xfId="0" applyNumberFormat="1" applyFill="1" applyBorder="1" applyAlignment="1">
      <alignment horizontal="left"/>
    </xf>
    <xf numFmtId="0" fontId="0" fillId="11" borderId="10" xfId="0" applyFill="1" applyBorder="1" applyAlignment="1">
      <alignment horizontal="left"/>
    </xf>
    <xf numFmtId="0" fontId="6" fillId="12" borderId="5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left" vertical="center"/>
    </xf>
    <xf numFmtId="0" fontId="6" fillId="12" borderId="6" xfId="0" applyFont="1" applyFill="1" applyBorder="1" applyAlignment="1">
      <alignment horizontal="left" vertical="center"/>
    </xf>
    <xf numFmtId="0" fontId="6" fillId="12" borderId="7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0" fontId="1" fillId="6" borderId="10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7" borderId="8" xfId="0" applyFont="1" applyFill="1" applyBorder="1" applyAlignment="1">
      <alignment horizontal="left"/>
    </xf>
    <xf numFmtId="0" fontId="7" fillId="6" borderId="10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6" borderId="8" xfId="0" applyFont="1" applyFill="1" applyBorder="1" applyAlignment="1">
      <alignment horizontal="left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</cellXfs>
  <cellStyles count="1">
    <cellStyle name="Normal" xfId="0" builtinId="0"/>
  </cellStyles>
  <dxfs count="5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rgb="FFDDEBF7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Calibri"/>
        <family val="2"/>
        <scheme val="minor"/>
      </font>
      <fill>
        <patternFill patternType="solid">
          <fgColor rgb="FF5B9BD5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rgb="FF5B9BD5"/>
          <bgColor rgb="FF5B9BD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93AC3-091E-49A7-995D-074193BC812C}" name="SALES" displayName="SALES" ref="A1:J161" totalsRowShown="0" headerRowDxfId="57" dataDxfId="56">
  <autoFilter ref="A1:J161" xr:uid="{26793AC3-091E-49A7-995D-074193BC812C}"/>
  <tableColumns count="10">
    <tableColumn id="1" xr3:uid="{D7C63F08-AB00-4A66-8170-39910CC9EB93}" name="SALEID" dataDxfId="55"/>
    <tableColumn id="2" xr3:uid="{ACDD292F-5F60-4F72-812F-0322F8B291E1}" name="PRODUCT_CTG" dataDxfId="54"/>
    <tableColumn id="3" xr3:uid="{AD4413CA-5E4F-4857-93AC-27EAC9E9D00E}" name="BRAND_NAME" dataDxfId="53"/>
    <tableColumn id="4" xr3:uid="{F9EDB9E0-355E-4B3D-AE2F-ADDD2C570DE4}" name="PRODUCT_NAME" dataDxfId="52"/>
    <tableColumn id="5" xr3:uid="{E1FEACDB-2BF1-4238-92DD-2186A5AC581D}" name="QUANTITY" dataDxfId="51"/>
    <tableColumn id="6" xr3:uid="{EA5F2ED4-8AE2-43CF-AF2D-05F05FD2DD79}" name="PRICE_PER_UNIT" dataDxfId="50"/>
    <tableColumn id="7" xr3:uid="{16641CC4-682C-48F7-AD54-C1C1291E7729}" name="CITY" dataDxfId="49"/>
    <tableColumn id="8" xr3:uid="{E1B882FC-4596-4D80-AD9E-EDD05C8C67E9}" name="STATE" dataDxfId="48"/>
    <tableColumn id="9" xr3:uid="{53F27824-E1DD-44A1-BA52-FC17A8D927CD}" name="DATE" dataDxfId="47"/>
    <tableColumn id="15" xr3:uid="{372780E1-CCDB-4A20-95D1-BD408064D925}" name="YEAR" dataDxfId="46">
      <calculatedColumnFormula>YEAR(SALES[[#This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C071E6-E219-43FB-A323-735392E8796C}" name="TRANS" displayName="TRANS" ref="F35:O195" totalsRowShown="0" headerRowDxfId="45" dataDxfId="43" headerRowBorderDxfId="44" tableBorderDxfId="42" totalsRowBorderDxfId="41">
  <autoFilter ref="F35:O195" xr:uid="{5FC071E6-E219-43FB-A323-735392E8796C}"/>
  <tableColumns count="10">
    <tableColumn id="1" xr3:uid="{21B97510-A467-4532-9AE0-CA17B274ACDE}" name="SALEID" dataDxfId="40"/>
    <tableColumn id="2" xr3:uid="{61F83096-A303-4665-B2F5-5A92A9857B18}" name="PRODUCT_CATEGORY" dataDxfId="39"/>
    <tableColumn id="3" xr3:uid="{06A86EB2-5C1F-44D9-99E1-6B23E1F0A7B7}" name="BRAND" dataDxfId="38"/>
    <tableColumn id="4" xr3:uid="{945BB95F-7482-4623-8B1A-321FC3C14334}" name="PRODUCT_MODEL" dataDxfId="37"/>
    <tableColumn id="5" xr3:uid="{324F9D54-32BA-46AD-BE60-731D3F2A347C}" name="QUANTITY" dataDxfId="36"/>
    <tableColumn id="6" xr3:uid="{8453373E-0185-4789-92A3-36E5949E52FC}" name="PRICE_PER_UNIT" dataDxfId="35"/>
    <tableColumn id="7" xr3:uid="{07AAD315-D9E4-4030-9853-FB8036E052F7}" name="CITY" dataDxfId="34"/>
    <tableColumn id="8" xr3:uid="{8055A68F-6701-4C12-AA6C-12683E89983F}" name="STATE" dataDxfId="33"/>
    <tableColumn id="9" xr3:uid="{6F92A312-6CEF-43B1-9F8B-71934E5EC663}" name="DATE" dataDxfId="32"/>
    <tableColumn id="10" xr3:uid="{D6642C81-6C54-4CAB-875B-D45BE257A12A}" name="YEAR" dataDxfId="31"/>
  </tableColumns>
  <tableStyleInfo name="TableStyleDark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DEB46C-B6AC-4F46-BAAF-E189E3844277}" name="M_Product_cat" displayName="M_Product_cat" ref="D9:E11" totalsRowShown="0" headerRowDxfId="30" dataDxfId="28" headerRowBorderDxfId="29" tableBorderDxfId="27" totalsRowBorderDxfId="26">
  <autoFilter ref="D9:E11" xr:uid="{3CDEB46C-B6AC-4F46-BAAF-E189E3844277}"/>
  <tableColumns count="2">
    <tableColumn id="1" xr3:uid="{598D0115-AE80-480F-82C2-7D484FC4DC0C}" name="Product_Category" dataDxfId="25"/>
    <tableColumn id="2" xr3:uid="{E5837BC4-7387-4DBF-998E-02813D55F8D5}" name="Product_Id" dataDxfId="2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AE7146-6AD3-45A4-8870-0790D9380AC4}" name="M_Brand" displayName="M_Brand" ref="G4:H20" totalsRowShown="0" headerRowDxfId="23" headerRowBorderDxfId="22" tableBorderDxfId="21" totalsRowBorderDxfId="20">
  <autoFilter ref="G4:H20" xr:uid="{38AE7146-6AD3-45A4-8870-0790D9380AC4}"/>
  <tableColumns count="2">
    <tableColumn id="1" xr3:uid="{893B4277-C9DE-4C38-A25C-802B189797EC}" name="Brand_Name" dataDxfId="19"/>
    <tableColumn id="2" xr3:uid="{A8D99CAB-4B58-46E7-B6CA-73F4B91F4C93}" name="Brand_Id" dataDxfId="1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BFC950-2B67-4EED-AF5C-615F53625DFA}" name="M_Product_Model" displayName="M_Product_Model" ref="J4:K26" totalsRowShown="0" headerRowDxfId="17" headerRowBorderDxfId="16" tableBorderDxfId="15" totalsRowBorderDxfId="14">
  <autoFilter ref="J4:K26" xr:uid="{53BFC950-2B67-4EED-AF5C-615F53625DFA}"/>
  <tableColumns count="2">
    <tableColumn id="1" xr3:uid="{DE4FF800-F13A-4BCA-BA53-E74837F6740E}" name="Product_Model" dataDxfId="13"/>
    <tableColumn id="2" xr3:uid="{9951A521-35C2-4463-8BC4-663B8C8F6801}" name="Model_Id" dataDxfId="12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C1A442C-3C34-42F0-B59A-63ACD6332171}" name="M_State" displayName="M_State" ref="M4:N9" totalsRowShown="0" headerRowDxfId="11" headerRowBorderDxfId="10" tableBorderDxfId="9" totalsRowBorderDxfId="8">
  <autoFilter ref="M4:N9" xr:uid="{FC1A442C-3C34-42F0-B59A-63ACD6332171}"/>
  <tableColumns count="2">
    <tableColumn id="1" xr3:uid="{EA5F5AEC-075B-4B8E-9A4C-F5CF911A966B}" name="State_Name" dataDxfId="7"/>
    <tableColumn id="2" xr3:uid="{5A871ADA-6C61-4226-BA04-E809E360172F}" name="State_Id" dataDxfId="6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F37B6C-7066-4F03-AF3E-C8C3B39B55A8}" name="M_City" displayName="M_City" ref="P4:Q14" totalsRowShown="0" headerRowDxfId="5" headerRowBorderDxfId="4" tableBorderDxfId="3" totalsRowBorderDxfId="2">
  <autoFilter ref="P4:Q14" xr:uid="{AEF37B6C-7066-4F03-AF3E-C8C3B39B55A8}"/>
  <tableColumns count="2">
    <tableColumn id="1" xr3:uid="{A6107554-18EE-4CA7-8BF8-3EED1665DEB2}" name="City_Name" dataDxfId="1"/>
    <tableColumn id="2" xr3:uid="{5702C4EF-6163-4298-8498-2A9D1D8D2CAB}" name="City_Id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C793-219C-426C-AD19-2F648AF207C9}">
  <sheetPr>
    <tabColor theme="9" tint="-0.249977111117893"/>
  </sheetPr>
  <dimension ref="A1:J161"/>
  <sheetViews>
    <sheetView tabSelected="1" topLeftCell="I1" zoomScale="179" workbookViewId="0">
      <selection activeCell="K8" sqref="K8"/>
    </sheetView>
  </sheetViews>
  <sheetFormatPr defaultRowHeight="15" x14ac:dyDescent="0.25"/>
  <cols>
    <col min="1" max="1" width="9.140625" style="2" customWidth="1"/>
    <col min="2" max="2" width="16.28515625" style="2" customWidth="1"/>
    <col min="3" max="3" width="16" style="2" customWidth="1"/>
    <col min="4" max="4" width="18.28515625" style="2" customWidth="1"/>
    <col min="5" max="5" width="12.42578125" style="2" customWidth="1"/>
    <col min="6" max="6" width="17.85546875" style="2" customWidth="1"/>
    <col min="7" max="7" width="14.7109375" style="2" bestFit="1" customWidth="1"/>
    <col min="8" max="8" width="15.140625" style="2" bestFit="1" customWidth="1"/>
    <col min="9" max="9" width="23.85546875" style="9" customWidth="1"/>
    <col min="10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4" t="s">
        <v>8</v>
      </c>
      <c r="J1" s="1" t="s">
        <v>307</v>
      </c>
    </row>
    <row r="2" spans="1:10" x14ac:dyDescent="0.25">
      <c r="A2" s="3" t="s">
        <v>0</v>
      </c>
      <c r="B2" s="3" t="s">
        <v>9</v>
      </c>
      <c r="C2" s="3" t="s">
        <v>10</v>
      </c>
      <c r="D2" s="3" t="s">
        <v>11</v>
      </c>
      <c r="E2" s="3">
        <v>5</v>
      </c>
      <c r="F2" s="3">
        <v>62011</v>
      </c>
      <c r="G2" s="3" t="s">
        <v>12</v>
      </c>
      <c r="H2" s="3" t="s">
        <v>13</v>
      </c>
      <c r="I2" s="4">
        <v>45931</v>
      </c>
      <c r="J2" s="15">
        <f>YEAR(SALES[[#This Row],[DATE]])</f>
        <v>2025</v>
      </c>
    </row>
    <row r="3" spans="1:10" x14ac:dyDescent="0.25">
      <c r="A3" s="5" t="s">
        <v>0</v>
      </c>
      <c r="B3" s="5" t="s">
        <v>9</v>
      </c>
      <c r="C3" s="5" t="s">
        <v>10</v>
      </c>
      <c r="D3" s="5" t="s">
        <v>14</v>
      </c>
      <c r="E3" s="5">
        <v>3</v>
      </c>
      <c r="F3" s="5">
        <v>98041</v>
      </c>
      <c r="G3" s="5" t="s">
        <v>15</v>
      </c>
      <c r="H3" s="5" t="s">
        <v>16</v>
      </c>
      <c r="I3" s="6">
        <v>45902</v>
      </c>
      <c r="J3" s="15">
        <f>YEAR(SALES[[#This Row],[DATE]])</f>
        <v>2025</v>
      </c>
    </row>
    <row r="4" spans="1:10" x14ac:dyDescent="0.25">
      <c r="A4" s="3" t="s">
        <v>17</v>
      </c>
      <c r="B4" s="3" t="s">
        <v>9</v>
      </c>
      <c r="C4" s="3" t="s">
        <v>18</v>
      </c>
      <c r="D4" s="3" t="s">
        <v>19</v>
      </c>
      <c r="E4" s="3">
        <v>1</v>
      </c>
      <c r="F4" s="3">
        <v>88403</v>
      </c>
      <c r="G4" s="3" t="s">
        <v>15</v>
      </c>
      <c r="H4" s="3" t="s">
        <v>16</v>
      </c>
      <c r="I4" s="4">
        <v>45428</v>
      </c>
      <c r="J4" s="15">
        <f>YEAR(SALES[[#This Row],[DATE]])</f>
        <v>2024</v>
      </c>
    </row>
    <row r="5" spans="1:10" x14ac:dyDescent="0.25">
      <c r="A5" s="5" t="s">
        <v>21</v>
      </c>
      <c r="B5" s="5" t="s">
        <v>9</v>
      </c>
      <c r="C5" s="5" t="s">
        <v>22</v>
      </c>
      <c r="D5" s="5" t="s">
        <v>23</v>
      </c>
      <c r="E5" s="5">
        <v>3</v>
      </c>
      <c r="F5" s="5">
        <v>96072</v>
      </c>
      <c r="G5" s="5" t="s">
        <v>12</v>
      </c>
      <c r="H5" s="5" t="s">
        <v>13</v>
      </c>
      <c r="I5" s="6">
        <v>45597</v>
      </c>
      <c r="J5" s="15">
        <f>YEAR(SALES[[#This Row],[DATE]])</f>
        <v>2024</v>
      </c>
    </row>
    <row r="6" spans="1:10" x14ac:dyDescent="0.25">
      <c r="A6" s="3" t="s">
        <v>24</v>
      </c>
      <c r="B6" s="3" t="s">
        <v>9</v>
      </c>
      <c r="C6" s="3" t="s">
        <v>18</v>
      </c>
      <c r="D6" s="3" t="s">
        <v>25</v>
      </c>
      <c r="E6" s="3">
        <v>2</v>
      </c>
      <c r="F6" s="3">
        <v>100311</v>
      </c>
      <c r="G6" s="3" t="s">
        <v>26</v>
      </c>
      <c r="H6" s="3" t="s">
        <v>27</v>
      </c>
      <c r="I6" s="4">
        <v>45752</v>
      </c>
      <c r="J6" s="15">
        <f>YEAR(SALES[[#This Row],[DATE]])</f>
        <v>2025</v>
      </c>
    </row>
    <row r="7" spans="1:10" x14ac:dyDescent="0.25">
      <c r="A7" s="5" t="s">
        <v>28</v>
      </c>
      <c r="B7" s="5" t="s">
        <v>9</v>
      </c>
      <c r="C7" s="5" t="s">
        <v>29</v>
      </c>
      <c r="D7" s="5" t="s">
        <v>30</v>
      </c>
      <c r="E7" s="5">
        <v>4</v>
      </c>
      <c r="F7" s="5">
        <v>87672</v>
      </c>
      <c r="G7" s="5" t="s">
        <v>15</v>
      </c>
      <c r="H7" s="5" t="s">
        <v>16</v>
      </c>
      <c r="I7" s="6">
        <v>45655</v>
      </c>
      <c r="J7" s="5">
        <f>YEAR(SALES[[#This Row],[DATE]])</f>
        <v>2024</v>
      </c>
    </row>
    <row r="8" spans="1:10" x14ac:dyDescent="0.25">
      <c r="A8" s="3" t="s">
        <v>32</v>
      </c>
      <c r="B8" s="3" t="s">
        <v>9</v>
      </c>
      <c r="C8" s="3" t="s">
        <v>18</v>
      </c>
      <c r="D8" s="3" t="s">
        <v>25</v>
      </c>
      <c r="E8" s="3">
        <v>4</v>
      </c>
      <c r="F8" s="3">
        <v>84444</v>
      </c>
      <c r="G8" s="3" t="s">
        <v>33</v>
      </c>
      <c r="H8" s="3" t="s">
        <v>16</v>
      </c>
      <c r="I8" s="4">
        <v>45306</v>
      </c>
      <c r="J8" s="5">
        <f>YEAR(SALES[[#This Row],[DATE]])</f>
        <v>2024</v>
      </c>
    </row>
    <row r="9" spans="1:10" x14ac:dyDescent="0.25">
      <c r="A9" s="5" t="s">
        <v>35</v>
      </c>
      <c r="B9" s="5" t="s">
        <v>9</v>
      </c>
      <c r="C9" s="5" t="s">
        <v>18</v>
      </c>
      <c r="D9" s="5" t="s">
        <v>25</v>
      </c>
      <c r="E9" s="5">
        <v>4</v>
      </c>
      <c r="F9" s="5">
        <v>96499</v>
      </c>
      <c r="G9" s="5" t="s">
        <v>36</v>
      </c>
      <c r="H9" s="5" t="s">
        <v>37</v>
      </c>
      <c r="I9" s="6">
        <v>45926</v>
      </c>
      <c r="J9" s="5">
        <f>YEAR(SALES[[#This Row],[DATE]])</f>
        <v>2025</v>
      </c>
    </row>
    <row r="10" spans="1:10" x14ac:dyDescent="0.25">
      <c r="A10" s="3" t="s">
        <v>39</v>
      </c>
      <c r="B10" s="3" t="s">
        <v>9</v>
      </c>
      <c r="C10" s="3" t="s">
        <v>29</v>
      </c>
      <c r="D10" s="3" t="s">
        <v>40</v>
      </c>
      <c r="E10" s="3">
        <v>5</v>
      </c>
      <c r="F10" s="3">
        <v>91084</v>
      </c>
      <c r="G10" s="3" t="s">
        <v>41</v>
      </c>
      <c r="H10" s="3" t="s">
        <v>16</v>
      </c>
      <c r="I10" s="4">
        <v>45542</v>
      </c>
      <c r="J10" s="5">
        <f>YEAR(SALES[[#This Row],[DATE]])</f>
        <v>2024</v>
      </c>
    </row>
    <row r="11" spans="1:10" x14ac:dyDescent="0.25">
      <c r="A11" s="5" t="s">
        <v>42</v>
      </c>
      <c r="B11" s="5" t="s">
        <v>9</v>
      </c>
      <c r="C11" s="5" t="s">
        <v>43</v>
      </c>
      <c r="D11" s="5" t="s">
        <v>44</v>
      </c>
      <c r="E11" s="5">
        <v>5</v>
      </c>
      <c r="F11" s="5">
        <v>100663</v>
      </c>
      <c r="G11" s="5" t="s">
        <v>45</v>
      </c>
      <c r="H11" s="5" t="s">
        <v>13</v>
      </c>
      <c r="I11" s="6">
        <v>45999</v>
      </c>
      <c r="J11" s="5">
        <f>YEAR(SALES[[#This Row],[DATE]])</f>
        <v>2025</v>
      </c>
    </row>
    <row r="12" spans="1:10" x14ac:dyDescent="0.25">
      <c r="A12" s="3" t="s">
        <v>46</v>
      </c>
      <c r="B12" s="3" t="s">
        <v>9</v>
      </c>
      <c r="C12" s="3" t="s">
        <v>18</v>
      </c>
      <c r="D12" s="3" t="s">
        <v>19</v>
      </c>
      <c r="E12" s="3">
        <v>5</v>
      </c>
      <c r="F12" s="3">
        <v>116551</v>
      </c>
      <c r="G12" s="3" t="s">
        <v>26</v>
      </c>
      <c r="H12" s="3" t="s">
        <v>27</v>
      </c>
      <c r="I12" s="4">
        <v>45834</v>
      </c>
      <c r="J12" s="5">
        <f>YEAR(SALES[[#This Row],[DATE]])</f>
        <v>2025</v>
      </c>
    </row>
    <row r="13" spans="1:10" x14ac:dyDescent="0.25">
      <c r="A13" s="5" t="s">
        <v>48</v>
      </c>
      <c r="B13" s="5" t="s">
        <v>9</v>
      </c>
      <c r="C13" s="5" t="s">
        <v>10</v>
      </c>
      <c r="D13" s="5" t="s">
        <v>14</v>
      </c>
      <c r="E13" s="5">
        <v>5</v>
      </c>
      <c r="F13" s="5">
        <v>62573</v>
      </c>
      <c r="G13" s="5" t="s">
        <v>15</v>
      </c>
      <c r="H13" s="5" t="s">
        <v>16</v>
      </c>
      <c r="I13" s="6">
        <v>45285</v>
      </c>
      <c r="J13" s="5">
        <f>YEAR(SALES[[#This Row],[DATE]])</f>
        <v>2023</v>
      </c>
    </row>
    <row r="14" spans="1:10" x14ac:dyDescent="0.25">
      <c r="A14" s="3" t="s">
        <v>50</v>
      </c>
      <c r="B14" s="3" t="s">
        <v>9</v>
      </c>
      <c r="C14" s="3" t="s">
        <v>51</v>
      </c>
      <c r="D14" s="3" t="s">
        <v>52</v>
      </c>
      <c r="E14" s="3">
        <v>2</v>
      </c>
      <c r="F14" s="3">
        <v>85445</v>
      </c>
      <c r="G14" s="3" t="s">
        <v>15</v>
      </c>
      <c r="H14" s="3" t="s">
        <v>16</v>
      </c>
      <c r="I14" s="4">
        <v>45569</v>
      </c>
      <c r="J14" s="5">
        <f>YEAR(SALES[[#This Row],[DATE]])</f>
        <v>2024</v>
      </c>
    </row>
    <row r="15" spans="1:10" x14ac:dyDescent="0.25">
      <c r="A15" s="5" t="s">
        <v>53</v>
      </c>
      <c r="B15" s="5" t="s">
        <v>9</v>
      </c>
      <c r="C15" s="5" t="s">
        <v>22</v>
      </c>
      <c r="D15" s="5" t="s">
        <v>23</v>
      </c>
      <c r="E15" s="5">
        <v>5</v>
      </c>
      <c r="F15" s="5">
        <v>67954</v>
      </c>
      <c r="G15" s="5" t="s">
        <v>54</v>
      </c>
      <c r="H15" s="5" t="s">
        <v>37</v>
      </c>
      <c r="I15" s="6">
        <v>45540</v>
      </c>
      <c r="J15" s="5">
        <f>YEAR(SALES[[#This Row],[DATE]])</f>
        <v>2024</v>
      </c>
    </row>
    <row r="16" spans="1:10" x14ac:dyDescent="0.25">
      <c r="A16" s="3" t="s">
        <v>55</v>
      </c>
      <c r="B16" s="3" t="s">
        <v>9</v>
      </c>
      <c r="C16" s="3" t="s">
        <v>29</v>
      </c>
      <c r="D16" s="3" t="s">
        <v>30</v>
      </c>
      <c r="E16" s="3">
        <v>2</v>
      </c>
      <c r="F16" s="3">
        <v>72979</v>
      </c>
      <c r="G16" s="3" t="s">
        <v>26</v>
      </c>
      <c r="H16" s="3" t="s">
        <v>27</v>
      </c>
      <c r="I16" s="4">
        <v>45893</v>
      </c>
      <c r="J16" s="5">
        <f>YEAR(SALES[[#This Row],[DATE]])</f>
        <v>2025</v>
      </c>
    </row>
    <row r="17" spans="1:10" x14ac:dyDescent="0.25">
      <c r="A17" s="5" t="s">
        <v>57</v>
      </c>
      <c r="B17" s="5" t="s">
        <v>9</v>
      </c>
      <c r="C17" s="5" t="s">
        <v>18</v>
      </c>
      <c r="D17" s="5" t="s">
        <v>19</v>
      </c>
      <c r="E17" s="5">
        <v>4</v>
      </c>
      <c r="F17" s="5">
        <v>95618</v>
      </c>
      <c r="G17" s="5" t="s">
        <v>33</v>
      </c>
      <c r="H17" s="5" t="s">
        <v>16</v>
      </c>
      <c r="I17" s="6">
        <v>45450</v>
      </c>
      <c r="J17" s="5">
        <f>YEAR(SALES[[#This Row],[DATE]])</f>
        <v>2024</v>
      </c>
    </row>
    <row r="18" spans="1:10" x14ac:dyDescent="0.25">
      <c r="A18" s="3" t="s">
        <v>58</v>
      </c>
      <c r="B18" s="3" t="s">
        <v>9</v>
      </c>
      <c r="C18" s="3" t="s">
        <v>22</v>
      </c>
      <c r="D18" s="3" t="s">
        <v>23</v>
      </c>
      <c r="E18" s="3">
        <v>1</v>
      </c>
      <c r="F18" s="3">
        <v>73160</v>
      </c>
      <c r="G18" s="3" t="s">
        <v>12</v>
      </c>
      <c r="H18" s="3" t="s">
        <v>13</v>
      </c>
      <c r="I18" s="4">
        <v>45643</v>
      </c>
      <c r="J18" s="5">
        <f>YEAR(SALES[[#This Row],[DATE]])</f>
        <v>2024</v>
      </c>
    </row>
    <row r="19" spans="1:10" x14ac:dyDescent="0.25">
      <c r="A19" s="5" t="s">
        <v>60</v>
      </c>
      <c r="B19" s="5" t="s">
        <v>9</v>
      </c>
      <c r="C19" s="5" t="s">
        <v>10</v>
      </c>
      <c r="D19" s="5" t="s">
        <v>14</v>
      </c>
      <c r="E19" s="5">
        <v>3</v>
      </c>
      <c r="F19" s="5">
        <v>70126</v>
      </c>
      <c r="G19" s="5" t="s">
        <v>61</v>
      </c>
      <c r="H19" s="5" t="s">
        <v>27</v>
      </c>
      <c r="I19" s="6">
        <v>45674</v>
      </c>
      <c r="J19" s="5">
        <f>YEAR(SALES[[#This Row],[DATE]])</f>
        <v>2025</v>
      </c>
    </row>
    <row r="20" spans="1:10" x14ac:dyDescent="0.25">
      <c r="A20" s="3" t="s">
        <v>63</v>
      </c>
      <c r="B20" s="3" t="s">
        <v>9</v>
      </c>
      <c r="C20" s="3" t="s">
        <v>10</v>
      </c>
      <c r="D20" s="3" t="s">
        <v>11</v>
      </c>
      <c r="E20" s="3">
        <v>2</v>
      </c>
      <c r="F20" s="3">
        <v>57240</v>
      </c>
      <c r="G20" s="3" t="s">
        <v>26</v>
      </c>
      <c r="H20" s="3" t="s">
        <v>27</v>
      </c>
      <c r="I20" s="4">
        <v>45682</v>
      </c>
      <c r="J20" s="5">
        <f>YEAR(SALES[[#This Row],[DATE]])</f>
        <v>2025</v>
      </c>
    </row>
    <row r="21" spans="1:10" x14ac:dyDescent="0.25">
      <c r="A21" s="5" t="s">
        <v>65</v>
      </c>
      <c r="B21" s="5" t="s">
        <v>9</v>
      </c>
      <c r="C21" s="5" t="s">
        <v>22</v>
      </c>
      <c r="D21" s="5" t="s">
        <v>66</v>
      </c>
      <c r="E21" s="5">
        <v>1</v>
      </c>
      <c r="F21" s="5">
        <v>119905</v>
      </c>
      <c r="G21" s="5" t="s">
        <v>67</v>
      </c>
      <c r="H21" s="5" t="s">
        <v>68</v>
      </c>
      <c r="I21" s="6">
        <v>45829</v>
      </c>
      <c r="J21" s="5">
        <f>YEAR(SALES[[#This Row],[DATE]])</f>
        <v>2025</v>
      </c>
    </row>
    <row r="22" spans="1:10" x14ac:dyDescent="0.25">
      <c r="A22" s="3" t="s">
        <v>70</v>
      </c>
      <c r="B22" s="3" t="s">
        <v>9</v>
      </c>
      <c r="C22" s="3" t="s">
        <v>43</v>
      </c>
      <c r="D22" s="3" t="s">
        <v>71</v>
      </c>
      <c r="E22" s="3">
        <v>5</v>
      </c>
      <c r="F22" s="3">
        <v>107793</v>
      </c>
      <c r="G22" s="3" t="s">
        <v>15</v>
      </c>
      <c r="H22" s="3" t="s">
        <v>16</v>
      </c>
      <c r="I22" s="4">
        <v>45964</v>
      </c>
      <c r="J22" s="5">
        <f>YEAR(SALES[[#This Row],[DATE]])</f>
        <v>2025</v>
      </c>
    </row>
    <row r="23" spans="1:10" x14ac:dyDescent="0.25">
      <c r="A23" s="5" t="s">
        <v>72</v>
      </c>
      <c r="B23" s="5" t="s">
        <v>9</v>
      </c>
      <c r="C23" s="5" t="s">
        <v>43</v>
      </c>
      <c r="D23" s="5" t="s">
        <v>71</v>
      </c>
      <c r="E23" s="5">
        <v>1</v>
      </c>
      <c r="F23" s="5">
        <v>57087</v>
      </c>
      <c r="G23" s="5" t="s">
        <v>61</v>
      </c>
      <c r="H23" s="5" t="s">
        <v>27</v>
      </c>
      <c r="I23" s="6">
        <v>45800</v>
      </c>
      <c r="J23" s="5">
        <f>YEAR(SALES[[#This Row],[DATE]])</f>
        <v>2025</v>
      </c>
    </row>
    <row r="24" spans="1:10" x14ac:dyDescent="0.25">
      <c r="A24" s="3" t="s">
        <v>74</v>
      </c>
      <c r="B24" s="3" t="s">
        <v>9</v>
      </c>
      <c r="C24" s="3" t="s">
        <v>10</v>
      </c>
      <c r="D24" s="3" t="s">
        <v>14</v>
      </c>
      <c r="E24" s="3">
        <v>2</v>
      </c>
      <c r="F24" s="3">
        <v>56557</v>
      </c>
      <c r="G24" s="3" t="s">
        <v>61</v>
      </c>
      <c r="H24" s="3" t="s">
        <v>27</v>
      </c>
      <c r="I24" s="4">
        <v>45533</v>
      </c>
      <c r="J24" s="5">
        <f>YEAR(SALES[[#This Row],[DATE]])</f>
        <v>2024</v>
      </c>
    </row>
    <row r="25" spans="1:10" x14ac:dyDescent="0.25">
      <c r="A25" s="5" t="s">
        <v>76</v>
      </c>
      <c r="B25" s="5" t="s">
        <v>9</v>
      </c>
      <c r="C25" s="5" t="s">
        <v>22</v>
      </c>
      <c r="D25" s="5" t="s">
        <v>23</v>
      </c>
      <c r="E25" s="5">
        <v>3</v>
      </c>
      <c r="F25" s="5">
        <v>69461</v>
      </c>
      <c r="G25" s="5" t="s">
        <v>33</v>
      </c>
      <c r="H25" s="5" t="s">
        <v>16</v>
      </c>
      <c r="I25" s="6">
        <v>45486</v>
      </c>
      <c r="J25" s="5">
        <f>YEAR(SALES[[#This Row],[DATE]])</f>
        <v>2024</v>
      </c>
    </row>
    <row r="26" spans="1:10" x14ac:dyDescent="0.25">
      <c r="A26" s="3" t="s">
        <v>78</v>
      </c>
      <c r="B26" s="3" t="s">
        <v>9</v>
      </c>
      <c r="C26" s="3" t="s">
        <v>10</v>
      </c>
      <c r="D26" s="3" t="s">
        <v>11</v>
      </c>
      <c r="E26" s="3">
        <v>4</v>
      </c>
      <c r="F26" s="3">
        <v>54984</v>
      </c>
      <c r="G26" s="3" t="s">
        <v>12</v>
      </c>
      <c r="H26" s="3" t="s">
        <v>13</v>
      </c>
      <c r="I26" s="4">
        <v>45689</v>
      </c>
      <c r="J26" s="5">
        <f>YEAR(SALES[[#This Row],[DATE]])</f>
        <v>2025</v>
      </c>
    </row>
    <row r="27" spans="1:10" x14ac:dyDescent="0.25">
      <c r="A27" s="5" t="s">
        <v>79</v>
      </c>
      <c r="B27" s="5" t="s">
        <v>9</v>
      </c>
      <c r="C27" s="5" t="s">
        <v>43</v>
      </c>
      <c r="D27" s="5" t="s">
        <v>71</v>
      </c>
      <c r="E27" s="5">
        <v>2</v>
      </c>
      <c r="F27" s="5">
        <v>77624</v>
      </c>
      <c r="G27" s="5" t="s">
        <v>33</v>
      </c>
      <c r="H27" s="5" t="s">
        <v>16</v>
      </c>
      <c r="I27" s="6">
        <v>45305</v>
      </c>
      <c r="J27" s="5">
        <f>YEAR(SALES[[#This Row],[DATE]])</f>
        <v>2024</v>
      </c>
    </row>
    <row r="28" spans="1:10" x14ac:dyDescent="0.25">
      <c r="A28" s="3" t="s">
        <v>81</v>
      </c>
      <c r="B28" s="3" t="s">
        <v>9</v>
      </c>
      <c r="C28" s="3" t="s">
        <v>29</v>
      </c>
      <c r="D28" s="3" t="s">
        <v>40</v>
      </c>
      <c r="E28" s="3">
        <v>3</v>
      </c>
      <c r="F28" s="3">
        <v>67976</v>
      </c>
      <c r="G28" s="3" t="s">
        <v>26</v>
      </c>
      <c r="H28" s="3" t="s">
        <v>27</v>
      </c>
      <c r="I28" s="4">
        <v>45823</v>
      </c>
      <c r="J28" s="5">
        <f>YEAR(SALES[[#This Row],[DATE]])</f>
        <v>2025</v>
      </c>
    </row>
    <row r="29" spans="1:10" x14ac:dyDescent="0.25">
      <c r="A29" s="5" t="s">
        <v>83</v>
      </c>
      <c r="B29" s="5" t="s">
        <v>9</v>
      </c>
      <c r="C29" s="5" t="s">
        <v>29</v>
      </c>
      <c r="D29" s="5" t="s">
        <v>30</v>
      </c>
      <c r="E29" s="5">
        <v>2</v>
      </c>
      <c r="F29" s="5">
        <v>108534</v>
      </c>
      <c r="G29" s="5" t="s">
        <v>61</v>
      </c>
      <c r="H29" s="5" t="s">
        <v>27</v>
      </c>
      <c r="I29" s="6">
        <v>45605</v>
      </c>
      <c r="J29" s="5">
        <f>YEAR(SALES[[#This Row],[DATE]])</f>
        <v>2024</v>
      </c>
    </row>
    <row r="30" spans="1:10" x14ac:dyDescent="0.25">
      <c r="A30" s="3" t="s">
        <v>84</v>
      </c>
      <c r="B30" s="3" t="s">
        <v>9</v>
      </c>
      <c r="C30" s="3" t="s">
        <v>29</v>
      </c>
      <c r="D30" s="3" t="s">
        <v>40</v>
      </c>
      <c r="E30" s="3">
        <v>2</v>
      </c>
      <c r="F30" s="3">
        <v>82353</v>
      </c>
      <c r="G30" s="3" t="s">
        <v>67</v>
      </c>
      <c r="H30" s="3" t="s">
        <v>68</v>
      </c>
      <c r="I30" s="4">
        <v>45400</v>
      </c>
      <c r="J30" s="5">
        <f>YEAR(SALES[[#This Row],[DATE]])</f>
        <v>2024</v>
      </c>
    </row>
    <row r="31" spans="1:10" x14ac:dyDescent="0.25">
      <c r="A31" s="5" t="s">
        <v>86</v>
      </c>
      <c r="B31" s="5" t="s">
        <v>9</v>
      </c>
      <c r="C31" s="5" t="s">
        <v>51</v>
      </c>
      <c r="D31" s="5" t="s">
        <v>87</v>
      </c>
      <c r="E31" s="5">
        <v>2</v>
      </c>
      <c r="F31" s="5">
        <v>65285</v>
      </c>
      <c r="G31" s="5" t="s">
        <v>33</v>
      </c>
      <c r="H31" s="5" t="s">
        <v>16</v>
      </c>
      <c r="I31" s="6">
        <v>45372</v>
      </c>
      <c r="J31" s="5">
        <f>YEAR(SALES[[#This Row],[DATE]])</f>
        <v>2024</v>
      </c>
    </row>
    <row r="32" spans="1:10" x14ac:dyDescent="0.25">
      <c r="A32" s="3" t="s">
        <v>89</v>
      </c>
      <c r="B32" s="3" t="s">
        <v>9</v>
      </c>
      <c r="C32" s="3" t="s">
        <v>29</v>
      </c>
      <c r="D32" s="3" t="s">
        <v>40</v>
      </c>
      <c r="E32" s="3">
        <v>5</v>
      </c>
      <c r="F32" s="3">
        <v>104901</v>
      </c>
      <c r="G32" s="3" t="s">
        <v>61</v>
      </c>
      <c r="H32" s="3" t="s">
        <v>27</v>
      </c>
      <c r="I32" s="4">
        <v>45562</v>
      </c>
      <c r="J32" s="5">
        <f>YEAR(SALES[[#This Row],[DATE]])</f>
        <v>2024</v>
      </c>
    </row>
    <row r="33" spans="1:10" x14ac:dyDescent="0.25">
      <c r="A33" s="5" t="s">
        <v>91</v>
      </c>
      <c r="B33" s="5" t="s">
        <v>9</v>
      </c>
      <c r="C33" s="5" t="s">
        <v>29</v>
      </c>
      <c r="D33" s="5" t="s">
        <v>30</v>
      </c>
      <c r="E33" s="5">
        <v>3</v>
      </c>
      <c r="F33" s="5">
        <v>83539</v>
      </c>
      <c r="G33" s="5" t="s">
        <v>41</v>
      </c>
      <c r="H33" s="5" t="s">
        <v>16</v>
      </c>
      <c r="I33" s="6">
        <v>45954</v>
      </c>
      <c r="J33" s="5">
        <f>YEAR(SALES[[#This Row],[DATE]])</f>
        <v>2025</v>
      </c>
    </row>
    <row r="34" spans="1:10" x14ac:dyDescent="0.25">
      <c r="A34" s="3" t="s">
        <v>93</v>
      </c>
      <c r="B34" s="3" t="s">
        <v>9</v>
      </c>
      <c r="C34" s="3" t="s">
        <v>18</v>
      </c>
      <c r="D34" s="3" t="s">
        <v>25</v>
      </c>
      <c r="E34" s="3">
        <v>2</v>
      </c>
      <c r="F34" s="3">
        <v>102302</v>
      </c>
      <c r="G34" s="3" t="s">
        <v>33</v>
      </c>
      <c r="H34" s="3" t="s">
        <v>16</v>
      </c>
      <c r="I34" s="4">
        <v>45522</v>
      </c>
      <c r="J34" s="5">
        <f>YEAR(SALES[[#This Row],[DATE]])</f>
        <v>2024</v>
      </c>
    </row>
    <row r="35" spans="1:10" x14ac:dyDescent="0.25">
      <c r="A35" s="5" t="s">
        <v>95</v>
      </c>
      <c r="B35" s="5" t="s">
        <v>9</v>
      </c>
      <c r="C35" s="5" t="s">
        <v>43</v>
      </c>
      <c r="D35" s="5" t="s">
        <v>71</v>
      </c>
      <c r="E35" s="5">
        <v>3</v>
      </c>
      <c r="F35" s="5">
        <v>45613</v>
      </c>
      <c r="G35" s="5" t="s">
        <v>33</v>
      </c>
      <c r="H35" s="5" t="s">
        <v>16</v>
      </c>
      <c r="I35" s="6">
        <v>45403</v>
      </c>
      <c r="J35" s="5">
        <f>YEAR(SALES[[#This Row],[DATE]])</f>
        <v>2024</v>
      </c>
    </row>
    <row r="36" spans="1:10" x14ac:dyDescent="0.25">
      <c r="A36" s="3" t="s">
        <v>97</v>
      </c>
      <c r="B36" s="3" t="s">
        <v>9</v>
      </c>
      <c r="C36" s="3" t="s">
        <v>51</v>
      </c>
      <c r="D36" s="3" t="s">
        <v>87</v>
      </c>
      <c r="E36" s="3">
        <v>2</v>
      </c>
      <c r="F36" s="3">
        <v>68107</v>
      </c>
      <c r="G36" s="3" t="s">
        <v>67</v>
      </c>
      <c r="H36" s="3" t="s">
        <v>68</v>
      </c>
      <c r="I36" s="4">
        <v>45686</v>
      </c>
      <c r="J36" s="5">
        <f>YEAR(SALES[[#This Row],[DATE]])</f>
        <v>2025</v>
      </c>
    </row>
    <row r="37" spans="1:10" x14ac:dyDescent="0.25">
      <c r="A37" s="5" t="s">
        <v>99</v>
      </c>
      <c r="B37" s="5" t="s">
        <v>9</v>
      </c>
      <c r="C37" s="5" t="s">
        <v>18</v>
      </c>
      <c r="D37" s="5" t="s">
        <v>25</v>
      </c>
      <c r="E37" s="5">
        <v>1</v>
      </c>
      <c r="F37" s="5">
        <v>81879</v>
      </c>
      <c r="G37" s="5" t="s">
        <v>61</v>
      </c>
      <c r="H37" s="5" t="s">
        <v>27</v>
      </c>
      <c r="I37" s="6">
        <v>45486</v>
      </c>
      <c r="J37" s="5">
        <f>YEAR(SALES[[#This Row],[DATE]])</f>
        <v>2024</v>
      </c>
    </row>
    <row r="38" spans="1:10" x14ac:dyDescent="0.25">
      <c r="A38" s="3" t="s">
        <v>100</v>
      </c>
      <c r="B38" s="3" t="s">
        <v>9</v>
      </c>
      <c r="C38" s="3" t="s">
        <v>29</v>
      </c>
      <c r="D38" s="3" t="s">
        <v>30</v>
      </c>
      <c r="E38" s="3">
        <v>5</v>
      </c>
      <c r="F38" s="3">
        <v>95837</v>
      </c>
      <c r="G38" s="3" t="s">
        <v>26</v>
      </c>
      <c r="H38" s="3" t="s">
        <v>27</v>
      </c>
      <c r="I38" s="4">
        <v>45732</v>
      </c>
      <c r="J38" s="5">
        <f>YEAR(SALES[[#This Row],[DATE]])</f>
        <v>2025</v>
      </c>
    </row>
    <row r="39" spans="1:10" x14ac:dyDescent="0.25">
      <c r="A39" s="5" t="s">
        <v>102</v>
      </c>
      <c r="B39" s="5" t="s">
        <v>9</v>
      </c>
      <c r="C39" s="5" t="s">
        <v>10</v>
      </c>
      <c r="D39" s="5" t="s">
        <v>11</v>
      </c>
      <c r="E39" s="5">
        <v>3</v>
      </c>
      <c r="F39" s="5">
        <v>48970</v>
      </c>
      <c r="G39" s="5" t="s">
        <v>26</v>
      </c>
      <c r="H39" s="5" t="s">
        <v>27</v>
      </c>
      <c r="I39" s="6">
        <v>45554</v>
      </c>
      <c r="J39" s="5">
        <f>YEAR(SALES[[#This Row],[DATE]])</f>
        <v>2024</v>
      </c>
    </row>
    <row r="40" spans="1:10" x14ac:dyDescent="0.25">
      <c r="A40" s="3" t="s">
        <v>104</v>
      </c>
      <c r="B40" s="3" t="s">
        <v>9</v>
      </c>
      <c r="C40" s="3" t="s">
        <v>10</v>
      </c>
      <c r="D40" s="3" t="s">
        <v>11</v>
      </c>
      <c r="E40" s="3">
        <v>3</v>
      </c>
      <c r="F40" s="3">
        <v>99447</v>
      </c>
      <c r="G40" s="3" t="s">
        <v>36</v>
      </c>
      <c r="H40" s="3" t="s">
        <v>37</v>
      </c>
      <c r="I40" s="4">
        <v>45843</v>
      </c>
      <c r="J40" s="5">
        <f>YEAR(SALES[[#This Row],[DATE]])</f>
        <v>2025</v>
      </c>
    </row>
    <row r="41" spans="1:10" x14ac:dyDescent="0.25">
      <c r="A41" s="5" t="s">
        <v>105</v>
      </c>
      <c r="B41" s="5" t="s">
        <v>9</v>
      </c>
      <c r="C41" s="5" t="s">
        <v>51</v>
      </c>
      <c r="D41" s="5" t="s">
        <v>87</v>
      </c>
      <c r="E41" s="5">
        <v>5</v>
      </c>
      <c r="F41" s="5">
        <v>87400</v>
      </c>
      <c r="G41" s="5" t="s">
        <v>15</v>
      </c>
      <c r="H41" s="5" t="s">
        <v>16</v>
      </c>
      <c r="I41" s="6">
        <v>45541</v>
      </c>
      <c r="J41" s="5">
        <f>YEAR(SALES[[#This Row],[DATE]])</f>
        <v>2024</v>
      </c>
    </row>
    <row r="42" spans="1:10" x14ac:dyDescent="0.25">
      <c r="A42" s="3" t="s">
        <v>106</v>
      </c>
      <c r="B42" s="3" t="s">
        <v>9</v>
      </c>
      <c r="C42" s="3" t="s">
        <v>43</v>
      </c>
      <c r="D42" s="3" t="s">
        <v>71</v>
      </c>
      <c r="E42" s="3">
        <v>1</v>
      </c>
      <c r="F42" s="3">
        <v>94011</v>
      </c>
      <c r="G42" s="3" t="s">
        <v>41</v>
      </c>
      <c r="H42" s="3" t="s">
        <v>16</v>
      </c>
      <c r="I42" s="4">
        <v>45547</v>
      </c>
      <c r="J42" s="5">
        <f>YEAR(SALES[[#This Row],[DATE]])</f>
        <v>2024</v>
      </c>
    </row>
    <row r="43" spans="1:10" x14ac:dyDescent="0.25">
      <c r="A43" s="5" t="s">
        <v>107</v>
      </c>
      <c r="B43" s="5" t="s">
        <v>9</v>
      </c>
      <c r="C43" s="5" t="s">
        <v>22</v>
      </c>
      <c r="D43" s="5" t="s">
        <v>66</v>
      </c>
      <c r="E43" s="5">
        <v>5</v>
      </c>
      <c r="F43" s="5">
        <v>71406</v>
      </c>
      <c r="G43" s="5" t="s">
        <v>61</v>
      </c>
      <c r="H43" s="5" t="s">
        <v>27</v>
      </c>
      <c r="I43" s="6">
        <v>45407</v>
      </c>
      <c r="J43" s="5">
        <f>YEAR(SALES[[#This Row],[DATE]])</f>
        <v>2024</v>
      </c>
    </row>
    <row r="44" spans="1:10" x14ac:dyDescent="0.25">
      <c r="A44" s="3" t="s">
        <v>109</v>
      </c>
      <c r="B44" s="3" t="s">
        <v>9</v>
      </c>
      <c r="C44" s="3" t="s">
        <v>18</v>
      </c>
      <c r="D44" s="3" t="s">
        <v>19</v>
      </c>
      <c r="E44" s="3">
        <v>1</v>
      </c>
      <c r="F44" s="3">
        <v>72235</v>
      </c>
      <c r="G44" s="3" t="s">
        <v>36</v>
      </c>
      <c r="H44" s="3" t="s">
        <v>37</v>
      </c>
      <c r="I44" s="4">
        <v>45323</v>
      </c>
      <c r="J44" s="5">
        <f>YEAR(SALES[[#This Row],[DATE]])</f>
        <v>2024</v>
      </c>
    </row>
    <row r="45" spans="1:10" x14ac:dyDescent="0.25">
      <c r="A45" s="5" t="s">
        <v>110</v>
      </c>
      <c r="B45" s="5" t="s">
        <v>9</v>
      </c>
      <c r="C45" s="5" t="s">
        <v>10</v>
      </c>
      <c r="D45" s="5" t="s">
        <v>11</v>
      </c>
      <c r="E45" s="5">
        <v>3</v>
      </c>
      <c r="F45" s="5">
        <v>49573</v>
      </c>
      <c r="G45" s="5" t="s">
        <v>36</v>
      </c>
      <c r="H45" s="5" t="s">
        <v>37</v>
      </c>
      <c r="I45" s="6">
        <v>45384</v>
      </c>
      <c r="J45" s="5">
        <f>YEAR(SALES[[#This Row],[DATE]])</f>
        <v>2024</v>
      </c>
    </row>
    <row r="46" spans="1:10" x14ac:dyDescent="0.25">
      <c r="A46" s="3" t="s">
        <v>111</v>
      </c>
      <c r="B46" s="3" t="s">
        <v>9</v>
      </c>
      <c r="C46" s="3" t="s">
        <v>18</v>
      </c>
      <c r="D46" s="3" t="s">
        <v>25</v>
      </c>
      <c r="E46" s="3">
        <v>5</v>
      </c>
      <c r="F46" s="3">
        <v>55340</v>
      </c>
      <c r="G46" s="3" t="s">
        <v>15</v>
      </c>
      <c r="H46" s="3" t="s">
        <v>16</v>
      </c>
      <c r="I46" s="4">
        <v>45266</v>
      </c>
      <c r="J46" s="5">
        <f>YEAR(SALES[[#This Row],[DATE]])</f>
        <v>2023</v>
      </c>
    </row>
    <row r="47" spans="1:10" x14ac:dyDescent="0.25">
      <c r="A47" s="5" t="s">
        <v>112</v>
      </c>
      <c r="B47" s="5" t="s">
        <v>9</v>
      </c>
      <c r="C47" s="5" t="s">
        <v>29</v>
      </c>
      <c r="D47" s="5" t="s">
        <v>30</v>
      </c>
      <c r="E47" s="5">
        <v>5</v>
      </c>
      <c r="F47" s="5">
        <v>71100</v>
      </c>
      <c r="G47" s="5" t="s">
        <v>26</v>
      </c>
      <c r="H47" s="5" t="s">
        <v>27</v>
      </c>
      <c r="I47" s="6">
        <v>45705</v>
      </c>
      <c r="J47" s="5">
        <f>YEAR(SALES[[#This Row],[DATE]])</f>
        <v>2025</v>
      </c>
    </row>
    <row r="48" spans="1:10" x14ac:dyDescent="0.25">
      <c r="A48" s="3" t="s">
        <v>114</v>
      </c>
      <c r="B48" s="3" t="s">
        <v>9</v>
      </c>
      <c r="C48" s="3" t="s">
        <v>10</v>
      </c>
      <c r="D48" s="3" t="s">
        <v>14</v>
      </c>
      <c r="E48" s="3">
        <v>2</v>
      </c>
      <c r="F48" s="3">
        <v>79084</v>
      </c>
      <c r="G48" s="3" t="s">
        <v>61</v>
      </c>
      <c r="H48" s="3" t="s">
        <v>27</v>
      </c>
      <c r="I48" s="4">
        <v>45588</v>
      </c>
      <c r="J48" s="5">
        <f>YEAR(SALES[[#This Row],[DATE]])</f>
        <v>2024</v>
      </c>
    </row>
    <row r="49" spans="1:10" x14ac:dyDescent="0.25">
      <c r="A49" s="5" t="s">
        <v>116</v>
      </c>
      <c r="B49" s="5" t="s">
        <v>9</v>
      </c>
      <c r="C49" s="5" t="s">
        <v>29</v>
      </c>
      <c r="D49" s="5" t="s">
        <v>40</v>
      </c>
      <c r="E49" s="5">
        <v>2</v>
      </c>
      <c r="F49" s="5">
        <v>105836</v>
      </c>
      <c r="G49" s="5" t="s">
        <v>26</v>
      </c>
      <c r="H49" s="5" t="s">
        <v>27</v>
      </c>
      <c r="I49" s="6">
        <v>45686</v>
      </c>
      <c r="J49" s="5">
        <f>YEAR(SALES[[#This Row],[DATE]])</f>
        <v>2025</v>
      </c>
    </row>
    <row r="50" spans="1:10" x14ac:dyDescent="0.25">
      <c r="A50" s="3" t="s">
        <v>117</v>
      </c>
      <c r="B50" s="3" t="s">
        <v>9</v>
      </c>
      <c r="C50" s="3" t="s">
        <v>18</v>
      </c>
      <c r="D50" s="3" t="s">
        <v>25</v>
      </c>
      <c r="E50" s="3">
        <v>3</v>
      </c>
      <c r="F50" s="3">
        <v>100948</v>
      </c>
      <c r="G50" s="3" t="s">
        <v>36</v>
      </c>
      <c r="H50" s="3" t="s">
        <v>37</v>
      </c>
      <c r="I50" s="4">
        <v>45266</v>
      </c>
      <c r="J50" s="5">
        <f>YEAR(SALES[[#This Row],[DATE]])</f>
        <v>2023</v>
      </c>
    </row>
    <row r="51" spans="1:10" x14ac:dyDescent="0.25">
      <c r="A51" s="5" t="s">
        <v>118</v>
      </c>
      <c r="B51" s="5" t="s">
        <v>9</v>
      </c>
      <c r="C51" s="5" t="s">
        <v>22</v>
      </c>
      <c r="D51" s="5" t="s">
        <v>66</v>
      </c>
      <c r="E51" s="5">
        <v>1</v>
      </c>
      <c r="F51" s="5">
        <v>100493</v>
      </c>
      <c r="G51" s="5" t="s">
        <v>61</v>
      </c>
      <c r="H51" s="5" t="s">
        <v>27</v>
      </c>
      <c r="I51" s="6">
        <v>45799</v>
      </c>
      <c r="J51" s="5">
        <f>YEAR(SALES[[#This Row],[DATE]])</f>
        <v>2025</v>
      </c>
    </row>
    <row r="52" spans="1:10" x14ac:dyDescent="0.25">
      <c r="A52" s="3" t="s">
        <v>120</v>
      </c>
      <c r="B52" s="3" t="s">
        <v>9</v>
      </c>
      <c r="C52" s="3" t="s">
        <v>10</v>
      </c>
      <c r="D52" s="3" t="s">
        <v>14</v>
      </c>
      <c r="E52" s="3">
        <v>5</v>
      </c>
      <c r="F52" s="3">
        <v>87968</v>
      </c>
      <c r="G52" s="3" t="s">
        <v>54</v>
      </c>
      <c r="H52" s="3" t="s">
        <v>37</v>
      </c>
      <c r="I52" s="4">
        <v>45789</v>
      </c>
      <c r="J52" s="5">
        <f>YEAR(SALES[[#This Row],[DATE]])</f>
        <v>2025</v>
      </c>
    </row>
    <row r="53" spans="1:10" x14ac:dyDescent="0.25">
      <c r="A53" s="5" t="s">
        <v>121</v>
      </c>
      <c r="B53" s="5" t="s">
        <v>9</v>
      </c>
      <c r="C53" s="5" t="s">
        <v>43</v>
      </c>
      <c r="D53" s="5" t="s">
        <v>44</v>
      </c>
      <c r="E53" s="5">
        <v>4</v>
      </c>
      <c r="F53" s="5">
        <v>119589</v>
      </c>
      <c r="G53" s="5" t="s">
        <v>26</v>
      </c>
      <c r="H53" s="5" t="s">
        <v>27</v>
      </c>
      <c r="I53" s="6">
        <v>45819</v>
      </c>
      <c r="J53" s="5">
        <f>YEAR(SALES[[#This Row],[DATE]])</f>
        <v>2025</v>
      </c>
    </row>
    <row r="54" spans="1:10" x14ac:dyDescent="0.25">
      <c r="A54" s="3" t="s">
        <v>122</v>
      </c>
      <c r="B54" s="3" t="s">
        <v>9</v>
      </c>
      <c r="C54" s="3" t="s">
        <v>18</v>
      </c>
      <c r="D54" s="3" t="s">
        <v>25</v>
      </c>
      <c r="E54" s="3">
        <v>5</v>
      </c>
      <c r="F54" s="3">
        <v>113267</v>
      </c>
      <c r="G54" s="3" t="s">
        <v>15</v>
      </c>
      <c r="H54" s="3" t="s">
        <v>16</v>
      </c>
      <c r="I54" s="4">
        <v>45758</v>
      </c>
      <c r="J54" s="5">
        <f>YEAR(SALES[[#This Row],[DATE]])</f>
        <v>2025</v>
      </c>
    </row>
    <row r="55" spans="1:10" x14ac:dyDescent="0.25">
      <c r="A55" s="5" t="s">
        <v>123</v>
      </c>
      <c r="B55" s="5" t="s">
        <v>9</v>
      </c>
      <c r="C55" s="5" t="s">
        <v>43</v>
      </c>
      <c r="D55" s="5" t="s">
        <v>44</v>
      </c>
      <c r="E55" s="5">
        <v>1</v>
      </c>
      <c r="F55" s="5">
        <v>113879</v>
      </c>
      <c r="G55" s="5" t="s">
        <v>41</v>
      </c>
      <c r="H55" s="5" t="s">
        <v>16</v>
      </c>
      <c r="I55" s="6">
        <v>45649</v>
      </c>
      <c r="J55" s="5">
        <f>YEAR(SALES[[#This Row],[DATE]])</f>
        <v>2024</v>
      </c>
    </row>
    <row r="56" spans="1:10" x14ac:dyDescent="0.25">
      <c r="A56" s="3" t="s">
        <v>125</v>
      </c>
      <c r="B56" s="3" t="s">
        <v>9</v>
      </c>
      <c r="C56" s="3" t="s">
        <v>22</v>
      </c>
      <c r="D56" s="3" t="s">
        <v>66</v>
      </c>
      <c r="E56" s="3">
        <v>4</v>
      </c>
      <c r="F56" s="3">
        <v>53632</v>
      </c>
      <c r="G56" s="3" t="s">
        <v>26</v>
      </c>
      <c r="H56" s="3" t="s">
        <v>27</v>
      </c>
      <c r="I56" s="4">
        <v>45648</v>
      </c>
      <c r="J56" s="5">
        <f>YEAR(SALES[[#This Row],[DATE]])</f>
        <v>2024</v>
      </c>
    </row>
    <row r="57" spans="1:10" x14ac:dyDescent="0.25">
      <c r="A57" s="5" t="s">
        <v>127</v>
      </c>
      <c r="B57" s="5" t="s">
        <v>9</v>
      </c>
      <c r="C57" s="5" t="s">
        <v>43</v>
      </c>
      <c r="D57" s="5" t="s">
        <v>71</v>
      </c>
      <c r="E57" s="5">
        <v>5</v>
      </c>
      <c r="F57" s="5">
        <v>95552</v>
      </c>
      <c r="G57" s="5" t="s">
        <v>45</v>
      </c>
      <c r="H57" s="5" t="s">
        <v>13</v>
      </c>
      <c r="I57" s="6">
        <v>45716</v>
      </c>
      <c r="J57" s="5">
        <f>YEAR(SALES[[#This Row],[DATE]])</f>
        <v>2025</v>
      </c>
    </row>
    <row r="58" spans="1:10" x14ac:dyDescent="0.25">
      <c r="A58" s="3" t="s">
        <v>129</v>
      </c>
      <c r="B58" s="3" t="s">
        <v>9</v>
      </c>
      <c r="C58" s="3" t="s">
        <v>18</v>
      </c>
      <c r="D58" s="3" t="s">
        <v>19</v>
      </c>
      <c r="E58" s="3">
        <v>3</v>
      </c>
      <c r="F58" s="3">
        <v>81687</v>
      </c>
      <c r="G58" s="3" t="s">
        <v>12</v>
      </c>
      <c r="H58" s="3" t="s">
        <v>13</v>
      </c>
      <c r="I58" s="4">
        <v>45376</v>
      </c>
      <c r="J58" s="5">
        <f>YEAR(SALES[[#This Row],[DATE]])</f>
        <v>2024</v>
      </c>
    </row>
    <row r="59" spans="1:10" x14ac:dyDescent="0.25">
      <c r="A59" s="5" t="s">
        <v>131</v>
      </c>
      <c r="B59" s="5" t="s">
        <v>9</v>
      </c>
      <c r="C59" s="5" t="s">
        <v>10</v>
      </c>
      <c r="D59" s="5" t="s">
        <v>11</v>
      </c>
      <c r="E59" s="5">
        <v>2</v>
      </c>
      <c r="F59" s="5">
        <v>63680</v>
      </c>
      <c r="G59" s="5" t="s">
        <v>26</v>
      </c>
      <c r="H59" s="5" t="s">
        <v>27</v>
      </c>
      <c r="I59" s="6">
        <v>45490</v>
      </c>
      <c r="J59" s="5">
        <f>YEAR(SALES[[#This Row],[DATE]])</f>
        <v>2024</v>
      </c>
    </row>
    <row r="60" spans="1:10" x14ac:dyDescent="0.25">
      <c r="A60" s="3" t="s">
        <v>133</v>
      </c>
      <c r="B60" s="3" t="s">
        <v>9</v>
      </c>
      <c r="C60" s="3" t="s">
        <v>10</v>
      </c>
      <c r="D60" s="3" t="s">
        <v>14</v>
      </c>
      <c r="E60" s="3">
        <v>2</v>
      </c>
      <c r="F60" s="3">
        <v>97934</v>
      </c>
      <c r="G60" s="3" t="s">
        <v>67</v>
      </c>
      <c r="H60" s="3" t="s">
        <v>68</v>
      </c>
      <c r="I60" s="4">
        <v>45445</v>
      </c>
      <c r="J60" s="5">
        <f>YEAR(SALES[[#This Row],[DATE]])</f>
        <v>2024</v>
      </c>
    </row>
    <row r="61" spans="1:10" x14ac:dyDescent="0.25">
      <c r="A61" s="5" t="s">
        <v>134</v>
      </c>
      <c r="B61" s="5" t="s">
        <v>9</v>
      </c>
      <c r="C61" s="5" t="s">
        <v>51</v>
      </c>
      <c r="D61" s="5" t="s">
        <v>87</v>
      </c>
      <c r="E61" s="5">
        <v>4</v>
      </c>
      <c r="F61" s="5">
        <v>95916</v>
      </c>
      <c r="G61" s="5" t="s">
        <v>67</v>
      </c>
      <c r="H61" s="5" t="s">
        <v>68</v>
      </c>
      <c r="I61" s="6">
        <v>45408</v>
      </c>
      <c r="J61" s="5">
        <f>YEAR(SALES[[#This Row],[DATE]])</f>
        <v>2024</v>
      </c>
    </row>
    <row r="62" spans="1:10" x14ac:dyDescent="0.25">
      <c r="A62" s="3" t="s">
        <v>136</v>
      </c>
      <c r="B62" s="3" t="s">
        <v>9</v>
      </c>
      <c r="C62" s="3" t="s">
        <v>43</v>
      </c>
      <c r="D62" s="3" t="s">
        <v>44</v>
      </c>
      <c r="E62" s="3">
        <v>5</v>
      </c>
      <c r="F62" s="3">
        <v>89611</v>
      </c>
      <c r="G62" s="3" t="s">
        <v>36</v>
      </c>
      <c r="H62" s="3" t="s">
        <v>37</v>
      </c>
      <c r="I62" s="4">
        <v>45454</v>
      </c>
      <c r="J62" s="5">
        <f>YEAR(SALES[[#This Row],[DATE]])</f>
        <v>2024</v>
      </c>
    </row>
    <row r="63" spans="1:10" x14ac:dyDescent="0.25">
      <c r="A63" s="5" t="s">
        <v>137</v>
      </c>
      <c r="B63" s="5" t="s">
        <v>9</v>
      </c>
      <c r="C63" s="5" t="s">
        <v>43</v>
      </c>
      <c r="D63" s="5" t="s">
        <v>71</v>
      </c>
      <c r="E63" s="5">
        <v>4</v>
      </c>
      <c r="F63" s="5">
        <v>117107</v>
      </c>
      <c r="G63" s="5" t="s">
        <v>67</v>
      </c>
      <c r="H63" s="5" t="s">
        <v>68</v>
      </c>
      <c r="I63" s="6">
        <v>45694</v>
      </c>
      <c r="J63" s="5">
        <f>YEAR(SALES[[#This Row],[DATE]])</f>
        <v>2025</v>
      </c>
    </row>
    <row r="64" spans="1:10" x14ac:dyDescent="0.25">
      <c r="A64" s="3" t="s">
        <v>138</v>
      </c>
      <c r="B64" s="3" t="s">
        <v>9</v>
      </c>
      <c r="C64" s="3" t="s">
        <v>22</v>
      </c>
      <c r="D64" s="3" t="s">
        <v>66</v>
      </c>
      <c r="E64" s="3">
        <v>4</v>
      </c>
      <c r="F64" s="3">
        <v>63622</v>
      </c>
      <c r="G64" s="3" t="s">
        <v>33</v>
      </c>
      <c r="H64" s="3" t="s">
        <v>16</v>
      </c>
      <c r="I64" s="4">
        <v>45877</v>
      </c>
      <c r="J64" s="5">
        <f>YEAR(SALES[[#This Row],[DATE]])</f>
        <v>2025</v>
      </c>
    </row>
    <row r="65" spans="1:10" x14ac:dyDescent="0.25">
      <c r="A65" s="5" t="s">
        <v>139</v>
      </c>
      <c r="B65" s="5" t="s">
        <v>9</v>
      </c>
      <c r="C65" s="5" t="s">
        <v>29</v>
      </c>
      <c r="D65" s="5" t="s">
        <v>30</v>
      </c>
      <c r="E65" s="5">
        <v>3</v>
      </c>
      <c r="F65" s="5">
        <v>93983</v>
      </c>
      <c r="G65" s="5" t="s">
        <v>36</v>
      </c>
      <c r="H65" s="5" t="s">
        <v>37</v>
      </c>
      <c r="I65" s="6">
        <v>45655</v>
      </c>
      <c r="J65" s="5">
        <f>YEAR(SALES[[#This Row],[DATE]])</f>
        <v>2024</v>
      </c>
    </row>
    <row r="66" spans="1:10" x14ac:dyDescent="0.25">
      <c r="A66" s="3" t="s">
        <v>140</v>
      </c>
      <c r="B66" s="3" t="s">
        <v>9</v>
      </c>
      <c r="C66" s="3" t="s">
        <v>51</v>
      </c>
      <c r="D66" s="3" t="s">
        <v>52</v>
      </c>
      <c r="E66" s="3">
        <v>3</v>
      </c>
      <c r="F66" s="3">
        <v>49533</v>
      </c>
      <c r="G66" s="3" t="s">
        <v>36</v>
      </c>
      <c r="H66" s="3" t="s">
        <v>37</v>
      </c>
      <c r="I66" s="4">
        <v>45454</v>
      </c>
      <c r="J66" s="5">
        <f>YEAR(SALES[[#This Row],[DATE]])</f>
        <v>2024</v>
      </c>
    </row>
    <row r="67" spans="1:10" x14ac:dyDescent="0.25">
      <c r="A67" s="5" t="s">
        <v>141</v>
      </c>
      <c r="B67" s="5" t="s">
        <v>9</v>
      </c>
      <c r="C67" s="5" t="s">
        <v>51</v>
      </c>
      <c r="D67" s="5" t="s">
        <v>52</v>
      </c>
      <c r="E67" s="5">
        <v>4</v>
      </c>
      <c r="F67" s="5">
        <v>65659</v>
      </c>
      <c r="G67" s="5" t="s">
        <v>67</v>
      </c>
      <c r="H67" s="5" t="s">
        <v>68</v>
      </c>
      <c r="I67" s="6">
        <v>45430</v>
      </c>
      <c r="J67" s="5">
        <f>YEAR(SALES[[#This Row],[DATE]])</f>
        <v>2024</v>
      </c>
    </row>
    <row r="68" spans="1:10" x14ac:dyDescent="0.25">
      <c r="A68" s="3" t="s">
        <v>143</v>
      </c>
      <c r="B68" s="3" t="s">
        <v>9</v>
      </c>
      <c r="C68" s="3" t="s">
        <v>29</v>
      </c>
      <c r="D68" s="3" t="s">
        <v>30</v>
      </c>
      <c r="E68" s="3">
        <v>5</v>
      </c>
      <c r="F68" s="3">
        <v>110308</v>
      </c>
      <c r="G68" s="3" t="s">
        <v>12</v>
      </c>
      <c r="H68" s="3" t="s">
        <v>13</v>
      </c>
      <c r="I68" s="4">
        <v>45681</v>
      </c>
      <c r="J68" s="5">
        <f>YEAR(SALES[[#This Row],[DATE]])</f>
        <v>2025</v>
      </c>
    </row>
    <row r="69" spans="1:10" x14ac:dyDescent="0.25">
      <c r="A69" s="5" t="s">
        <v>145</v>
      </c>
      <c r="B69" s="5" t="s">
        <v>9</v>
      </c>
      <c r="C69" s="5" t="s">
        <v>29</v>
      </c>
      <c r="D69" s="5" t="s">
        <v>40</v>
      </c>
      <c r="E69" s="5">
        <v>4</v>
      </c>
      <c r="F69" s="5">
        <v>66725</v>
      </c>
      <c r="G69" s="5" t="s">
        <v>54</v>
      </c>
      <c r="H69" s="5" t="s">
        <v>37</v>
      </c>
      <c r="I69" s="6">
        <v>45715</v>
      </c>
      <c r="J69" s="5">
        <f>YEAR(SALES[[#This Row],[DATE]])</f>
        <v>2025</v>
      </c>
    </row>
    <row r="70" spans="1:10" x14ac:dyDescent="0.25">
      <c r="A70" s="3" t="s">
        <v>147</v>
      </c>
      <c r="B70" s="3" t="s">
        <v>9</v>
      </c>
      <c r="C70" s="3" t="s">
        <v>43</v>
      </c>
      <c r="D70" s="3" t="s">
        <v>71</v>
      </c>
      <c r="E70" s="3">
        <v>2</v>
      </c>
      <c r="F70" s="3">
        <v>102776</v>
      </c>
      <c r="G70" s="3" t="s">
        <v>12</v>
      </c>
      <c r="H70" s="3" t="s">
        <v>13</v>
      </c>
      <c r="I70" s="4">
        <v>45817</v>
      </c>
      <c r="J70" s="5">
        <f>YEAR(SALES[[#This Row],[DATE]])</f>
        <v>2025</v>
      </c>
    </row>
    <row r="71" spans="1:10" x14ac:dyDescent="0.25">
      <c r="A71" s="5" t="s">
        <v>148</v>
      </c>
      <c r="B71" s="5" t="s">
        <v>9</v>
      </c>
      <c r="C71" s="5" t="s">
        <v>18</v>
      </c>
      <c r="D71" s="5" t="s">
        <v>19</v>
      </c>
      <c r="E71" s="5">
        <v>2</v>
      </c>
      <c r="F71" s="5">
        <v>89014</v>
      </c>
      <c r="G71" s="5" t="s">
        <v>67</v>
      </c>
      <c r="H71" s="5" t="s">
        <v>68</v>
      </c>
      <c r="I71" s="6">
        <v>45493</v>
      </c>
      <c r="J71" s="5">
        <f>YEAR(SALES[[#This Row],[DATE]])</f>
        <v>2024</v>
      </c>
    </row>
    <row r="72" spans="1:10" x14ac:dyDescent="0.25">
      <c r="A72" s="3" t="s">
        <v>150</v>
      </c>
      <c r="B72" s="3" t="s">
        <v>9</v>
      </c>
      <c r="C72" s="3" t="s">
        <v>22</v>
      </c>
      <c r="D72" s="3" t="s">
        <v>66</v>
      </c>
      <c r="E72" s="3">
        <v>1</v>
      </c>
      <c r="F72" s="3">
        <v>84305</v>
      </c>
      <c r="G72" s="3" t="s">
        <v>61</v>
      </c>
      <c r="H72" s="3" t="s">
        <v>27</v>
      </c>
      <c r="I72" s="4">
        <v>45778</v>
      </c>
      <c r="J72" s="5">
        <f>YEAR(SALES[[#This Row],[DATE]])</f>
        <v>2025</v>
      </c>
    </row>
    <row r="73" spans="1:10" x14ac:dyDescent="0.25">
      <c r="A73" s="5" t="s">
        <v>151</v>
      </c>
      <c r="B73" s="5" t="s">
        <v>9</v>
      </c>
      <c r="C73" s="5" t="s">
        <v>22</v>
      </c>
      <c r="D73" s="5" t="s">
        <v>66</v>
      </c>
      <c r="E73" s="5">
        <v>5</v>
      </c>
      <c r="F73" s="5">
        <v>68983</v>
      </c>
      <c r="G73" s="5" t="s">
        <v>67</v>
      </c>
      <c r="H73" s="5" t="s">
        <v>68</v>
      </c>
      <c r="I73" s="6">
        <v>45395</v>
      </c>
      <c r="J73" s="5">
        <f>YEAR(SALES[[#This Row],[DATE]])</f>
        <v>2024</v>
      </c>
    </row>
    <row r="74" spans="1:10" x14ac:dyDescent="0.25">
      <c r="A74" s="3" t="s">
        <v>153</v>
      </c>
      <c r="B74" s="3" t="s">
        <v>9</v>
      </c>
      <c r="C74" s="3" t="s">
        <v>43</v>
      </c>
      <c r="D74" s="3" t="s">
        <v>71</v>
      </c>
      <c r="E74" s="3">
        <v>4</v>
      </c>
      <c r="F74" s="3">
        <v>83072</v>
      </c>
      <c r="G74" s="3" t="s">
        <v>15</v>
      </c>
      <c r="H74" s="3" t="s">
        <v>16</v>
      </c>
      <c r="I74" s="4">
        <v>45375</v>
      </c>
      <c r="J74" s="5">
        <f>YEAR(SALES[[#This Row],[DATE]])</f>
        <v>2024</v>
      </c>
    </row>
    <row r="75" spans="1:10" x14ac:dyDescent="0.25">
      <c r="A75" s="5" t="s">
        <v>155</v>
      </c>
      <c r="B75" s="5" t="s">
        <v>9</v>
      </c>
      <c r="C75" s="5" t="s">
        <v>29</v>
      </c>
      <c r="D75" s="5" t="s">
        <v>30</v>
      </c>
      <c r="E75" s="5">
        <v>4</v>
      </c>
      <c r="F75" s="5">
        <v>92592</v>
      </c>
      <c r="G75" s="5" t="s">
        <v>15</v>
      </c>
      <c r="H75" s="5" t="s">
        <v>16</v>
      </c>
      <c r="I75" s="6">
        <v>45484</v>
      </c>
      <c r="J75" s="5">
        <f>YEAR(SALES[[#This Row],[DATE]])</f>
        <v>2024</v>
      </c>
    </row>
    <row r="76" spans="1:10" x14ac:dyDescent="0.25">
      <c r="A76" s="3" t="s">
        <v>156</v>
      </c>
      <c r="B76" s="3" t="s">
        <v>9</v>
      </c>
      <c r="C76" s="3" t="s">
        <v>18</v>
      </c>
      <c r="D76" s="3" t="s">
        <v>19</v>
      </c>
      <c r="E76" s="3">
        <v>4</v>
      </c>
      <c r="F76" s="3">
        <v>52476</v>
      </c>
      <c r="G76" s="3" t="s">
        <v>36</v>
      </c>
      <c r="H76" s="3" t="s">
        <v>37</v>
      </c>
      <c r="I76" s="4">
        <v>45871</v>
      </c>
      <c r="J76" s="5">
        <f>YEAR(SALES[[#This Row],[DATE]])</f>
        <v>2025</v>
      </c>
    </row>
    <row r="77" spans="1:10" x14ac:dyDescent="0.25">
      <c r="A77" s="5" t="s">
        <v>157</v>
      </c>
      <c r="B77" s="5" t="s">
        <v>9</v>
      </c>
      <c r="C77" s="5" t="s">
        <v>18</v>
      </c>
      <c r="D77" s="5" t="s">
        <v>25</v>
      </c>
      <c r="E77" s="5">
        <v>4</v>
      </c>
      <c r="F77" s="5">
        <v>65907</v>
      </c>
      <c r="G77" s="5" t="s">
        <v>12</v>
      </c>
      <c r="H77" s="5" t="s">
        <v>13</v>
      </c>
      <c r="I77" s="6">
        <v>45834</v>
      </c>
      <c r="J77" s="5">
        <f>YEAR(SALES[[#This Row],[DATE]])</f>
        <v>2025</v>
      </c>
    </row>
    <row r="78" spans="1:10" x14ac:dyDescent="0.25">
      <c r="A78" s="3" t="s">
        <v>158</v>
      </c>
      <c r="B78" s="3" t="s">
        <v>9</v>
      </c>
      <c r="C78" s="3" t="s">
        <v>29</v>
      </c>
      <c r="D78" s="3" t="s">
        <v>30</v>
      </c>
      <c r="E78" s="3">
        <v>2</v>
      </c>
      <c r="F78" s="3">
        <v>95160</v>
      </c>
      <c r="G78" s="3" t="s">
        <v>54</v>
      </c>
      <c r="H78" s="3" t="s">
        <v>37</v>
      </c>
      <c r="I78" s="4">
        <v>45379</v>
      </c>
      <c r="J78" s="5">
        <f>YEAR(SALES[[#This Row],[DATE]])</f>
        <v>2024</v>
      </c>
    </row>
    <row r="79" spans="1:10" x14ac:dyDescent="0.25">
      <c r="A79" s="5" t="s">
        <v>160</v>
      </c>
      <c r="B79" s="5" t="s">
        <v>9</v>
      </c>
      <c r="C79" s="5" t="s">
        <v>43</v>
      </c>
      <c r="D79" s="5" t="s">
        <v>71</v>
      </c>
      <c r="E79" s="5">
        <v>1</v>
      </c>
      <c r="F79" s="5">
        <v>45868</v>
      </c>
      <c r="G79" s="5" t="s">
        <v>41</v>
      </c>
      <c r="H79" s="5" t="s">
        <v>16</v>
      </c>
      <c r="I79" s="6">
        <v>45249</v>
      </c>
      <c r="J79" s="5">
        <f>YEAR(SALES[[#This Row],[DATE]])</f>
        <v>2023</v>
      </c>
    </row>
    <row r="80" spans="1:10" x14ac:dyDescent="0.25">
      <c r="A80" s="3" t="s">
        <v>162</v>
      </c>
      <c r="B80" s="3" t="s">
        <v>9</v>
      </c>
      <c r="C80" s="3" t="s">
        <v>51</v>
      </c>
      <c r="D80" s="3" t="s">
        <v>87</v>
      </c>
      <c r="E80" s="3">
        <v>3</v>
      </c>
      <c r="F80" s="3">
        <v>45942</v>
      </c>
      <c r="G80" s="3" t="s">
        <v>33</v>
      </c>
      <c r="H80" s="3" t="s">
        <v>16</v>
      </c>
      <c r="I80" s="4">
        <v>45867</v>
      </c>
      <c r="J80" s="5">
        <f>YEAR(SALES[[#This Row],[DATE]])</f>
        <v>2025</v>
      </c>
    </row>
    <row r="81" spans="1:10" x14ac:dyDescent="0.25">
      <c r="A81" s="5" t="s">
        <v>164</v>
      </c>
      <c r="B81" s="5" t="s">
        <v>9</v>
      </c>
      <c r="C81" s="5" t="s">
        <v>51</v>
      </c>
      <c r="D81" s="5" t="s">
        <v>52</v>
      </c>
      <c r="E81" s="5">
        <v>1</v>
      </c>
      <c r="F81" s="5">
        <v>56224</v>
      </c>
      <c r="G81" s="5" t="s">
        <v>12</v>
      </c>
      <c r="H81" s="5" t="s">
        <v>13</v>
      </c>
      <c r="I81" s="6">
        <v>45580</v>
      </c>
      <c r="J81" s="5">
        <f>YEAR(SALES[[#This Row],[DATE]])</f>
        <v>2024</v>
      </c>
    </row>
    <row r="82" spans="1:10" x14ac:dyDescent="0.25">
      <c r="A82" s="3" t="s">
        <v>166</v>
      </c>
      <c r="B82" s="3" t="s">
        <v>9</v>
      </c>
      <c r="C82" s="3" t="s">
        <v>43</v>
      </c>
      <c r="D82" s="3" t="s">
        <v>44</v>
      </c>
      <c r="E82" s="3">
        <v>2</v>
      </c>
      <c r="F82" s="3">
        <v>110876</v>
      </c>
      <c r="G82" s="3" t="s">
        <v>12</v>
      </c>
      <c r="H82" s="3" t="s">
        <v>13</v>
      </c>
      <c r="I82" s="4">
        <v>45762</v>
      </c>
      <c r="J82" s="5">
        <f>YEAR(SALES[[#This Row],[DATE]])</f>
        <v>2025</v>
      </c>
    </row>
    <row r="83" spans="1:10" x14ac:dyDescent="0.25">
      <c r="A83" s="5" t="s">
        <v>168</v>
      </c>
      <c r="B83" s="5" t="s">
        <v>9</v>
      </c>
      <c r="C83" s="5" t="s">
        <v>43</v>
      </c>
      <c r="D83" s="5" t="s">
        <v>71</v>
      </c>
      <c r="E83" s="5">
        <v>3</v>
      </c>
      <c r="F83" s="5">
        <v>100961</v>
      </c>
      <c r="G83" s="5" t="s">
        <v>26</v>
      </c>
      <c r="H83" s="5" t="s">
        <v>27</v>
      </c>
      <c r="I83" s="6">
        <v>45753</v>
      </c>
      <c r="J83" s="5">
        <f>YEAR(SALES[[#This Row],[DATE]])</f>
        <v>2025</v>
      </c>
    </row>
    <row r="84" spans="1:10" x14ac:dyDescent="0.25">
      <c r="A84" s="3" t="s">
        <v>169</v>
      </c>
      <c r="B84" s="3" t="s">
        <v>9</v>
      </c>
      <c r="C84" s="3" t="s">
        <v>51</v>
      </c>
      <c r="D84" s="3" t="s">
        <v>52</v>
      </c>
      <c r="E84" s="3">
        <v>3</v>
      </c>
      <c r="F84" s="3">
        <v>54509</v>
      </c>
      <c r="G84" s="3" t="s">
        <v>41</v>
      </c>
      <c r="H84" s="3" t="s">
        <v>16</v>
      </c>
      <c r="I84" s="4">
        <v>45893</v>
      </c>
      <c r="J84" s="5">
        <f>YEAR(SALES[[#This Row],[DATE]])</f>
        <v>2025</v>
      </c>
    </row>
    <row r="85" spans="1:10" x14ac:dyDescent="0.25">
      <c r="A85" s="5" t="s">
        <v>170</v>
      </c>
      <c r="B85" s="5" t="s">
        <v>9</v>
      </c>
      <c r="C85" s="5" t="s">
        <v>51</v>
      </c>
      <c r="D85" s="5" t="s">
        <v>87</v>
      </c>
      <c r="E85" s="5">
        <v>4</v>
      </c>
      <c r="F85" s="5">
        <v>79393</v>
      </c>
      <c r="G85" s="5" t="s">
        <v>54</v>
      </c>
      <c r="H85" s="5" t="s">
        <v>37</v>
      </c>
      <c r="I85" s="6">
        <v>45574</v>
      </c>
      <c r="J85" s="5">
        <f>YEAR(SALES[[#This Row],[DATE]])</f>
        <v>2024</v>
      </c>
    </row>
    <row r="86" spans="1:10" x14ac:dyDescent="0.25">
      <c r="A86" s="3" t="s">
        <v>171</v>
      </c>
      <c r="B86" s="3" t="s">
        <v>9</v>
      </c>
      <c r="C86" s="3" t="s">
        <v>22</v>
      </c>
      <c r="D86" s="3" t="s">
        <v>66</v>
      </c>
      <c r="E86" s="3">
        <v>4</v>
      </c>
      <c r="F86" s="3">
        <v>81670</v>
      </c>
      <c r="G86" s="3" t="s">
        <v>36</v>
      </c>
      <c r="H86" s="3" t="s">
        <v>37</v>
      </c>
      <c r="I86" s="4">
        <v>45844</v>
      </c>
      <c r="J86" s="5">
        <f>YEAR(SALES[[#This Row],[DATE]])</f>
        <v>2025</v>
      </c>
    </row>
    <row r="87" spans="1:10" x14ac:dyDescent="0.25">
      <c r="A87" s="5" t="s">
        <v>172</v>
      </c>
      <c r="B87" s="5" t="s">
        <v>9</v>
      </c>
      <c r="C87" s="5" t="s">
        <v>10</v>
      </c>
      <c r="D87" s="5" t="s">
        <v>14</v>
      </c>
      <c r="E87" s="5">
        <v>5</v>
      </c>
      <c r="F87" s="5">
        <v>58053</v>
      </c>
      <c r="G87" s="5" t="s">
        <v>33</v>
      </c>
      <c r="H87" s="5" t="s">
        <v>16</v>
      </c>
      <c r="I87" s="6">
        <v>45340</v>
      </c>
      <c r="J87" s="5">
        <f>YEAR(SALES[[#This Row],[DATE]])</f>
        <v>2024</v>
      </c>
    </row>
    <row r="88" spans="1:10" x14ac:dyDescent="0.25">
      <c r="A88" s="3" t="s">
        <v>174</v>
      </c>
      <c r="B88" s="3" t="s">
        <v>9</v>
      </c>
      <c r="C88" s="3" t="s">
        <v>29</v>
      </c>
      <c r="D88" s="3" t="s">
        <v>40</v>
      </c>
      <c r="E88" s="3">
        <v>3</v>
      </c>
      <c r="F88" s="3">
        <v>115336</v>
      </c>
      <c r="G88" s="3" t="s">
        <v>67</v>
      </c>
      <c r="H88" s="3" t="s">
        <v>68</v>
      </c>
      <c r="I88" s="4">
        <v>45963</v>
      </c>
      <c r="J88" s="5">
        <f>YEAR(SALES[[#This Row],[DATE]])</f>
        <v>2025</v>
      </c>
    </row>
    <row r="89" spans="1:10" x14ac:dyDescent="0.25">
      <c r="A89" s="5" t="s">
        <v>175</v>
      </c>
      <c r="B89" s="5" t="s">
        <v>9</v>
      </c>
      <c r="C89" s="5" t="s">
        <v>18</v>
      </c>
      <c r="D89" s="5" t="s">
        <v>25</v>
      </c>
      <c r="E89" s="5">
        <v>1</v>
      </c>
      <c r="F89" s="5">
        <v>77223</v>
      </c>
      <c r="G89" s="5" t="s">
        <v>36</v>
      </c>
      <c r="H89" s="5" t="s">
        <v>37</v>
      </c>
      <c r="I89" s="6">
        <v>45864</v>
      </c>
      <c r="J89" s="5">
        <f>YEAR(SALES[[#This Row],[DATE]])</f>
        <v>2025</v>
      </c>
    </row>
    <row r="90" spans="1:10" x14ac:dyDescent="0.25">
      <c r="A90" s="3" t="s">
        <v>177</v>
      </c>
      <c r="B90" s="3" t="s">
        <v>9</v>
      </c>
      <c r="C90" s="3" t="s">
        <v>18</v>
      </c>
      <c r="D90" s="3" t="s">
        <v>19</v>
      </c>
      <c r="E90" s="3">
        <v>1</v>
      </c>
      <c r="F90" s="3">
        <v>61574</v>
      </c>
      <c r="G90" s="3" t="s">
        <v>15</v>
      </c>
      <c r="H90" s="3" t="s">
        <v>16</v>
      </c>
      <c r="I90" s="4">
        <v>45969</v>
      </c>
      <c r="J90" s="5">
        <f>YEAR(SALES[[#This Row],[DATE]])</f>
        <v>2025</v>
      </c>
    </row>
    <row r="91" spans="1:10" x14ac:dyDescent="0.25">
      <c r="A91" s="5" t="s">
        <v>178</v>
      </c>
      <c r="B91" s="5" t="s">
        <v>9</v>
      </c>
      <c r="C91" s="5" t="s">
        <v>29</v>
      </c>
      <c r="D91" s="5" t="s">
        <v>40</v>
      </c>
      <c r="E91" s="5">
        <v>5</v>
      </c>
      <c r="F91" s="5">
        <v>79624</v>
      </c>
      <c r="G91" s="5" t="s">
        <v>67</v>
      </c>
      <c r="H91" s="5" t="s">
        <v>68</v>
      </c>
      <c r="I91" s="6">
        <v>45894</v>
      </c>
      <c r="J91" s="5">
        <f>YEAR(SALES[[#This Row],[DATE]])</f>
        <v>2025</v>
      </c>
    </row>
    <row r="92" spans="1:10" x14ac:dyDescent="0.25">
      <c r="A92" s="3" t="s">
        <v>180</v>
      </c>
      <c r="B92" s="3" t="s">
        <v>9</v>
      </c>
      <c r="C92" s="3" t="s">
        <v>22</v>
      </c>
      <c r="D92" s="3" t="s">
        <v>23</v>
      </c>
      <c r="E92" s="3">
        <v>5</v>
      </c>
      <c r="F92" s="3">
        <v>45458</v>
      </c>
      <c r="G92" s="3" t="s">
        <v>15</v>
      </c>
      <c r="H92" s="3" t="s">
        <v>16</v>
      </c>
      <c r="I92" s="4">
        <v>45632</v>
      </c>
      <c r="J92" s="5">
        <f>YEAR(SALES[[#This Row],[DATE]])</f>
        <v>2024</v>
      </c>
    </row>
    <row r="93" spans="1:10" x14ac:dyDescent="0.25">
      <c r="A93" s="5" t="s">
        <v>181</v>
      </c>
      <c r="B93" s="5" t="s">
        <v>9</v>
      </c>
      <c r="C93" s="5" t="s">
        <v>18</v>
      </c>
      <c r="D93" s="5" t="s">
        <v>25</v>
      </c>
      <c r="E93" s="5">
        <v>4</v>
      </c>
      <c r="F93" s="5">
        <v>60349</v>
      </c>
      <c r="G93" s="5" t="s">
        <v>61</v>
      </c>
      <c r="H93" s="5" t="s">
        <v>27</v>
      </c>
      <c r="I93" s="6">
        <v>45253</v>
      </c>
      <c r="J93" s="5">
        <f>YEAR(SALES[[#This Row],[DATE]])</f>
        <v>2023</v>
      </c>
    </row>
    <row r="94" spans="1:10" x14ac:dyDescent="0.25">
      <c r="A94" s="3" t="s">
        <v>183</v>
      </c>
      <c r="B94" s="3" t="s">
        <v>9</v>
      </c>
      <c r="C94" s="3" t="s">
        <v>51</v>
      </c>
      <c r="D94" s="3" t="s">
        <v>52</v>
      </c>
      <c r="E94" s="3">
        <v>4</v>
      </c>
      <c r="F94" s="3">
        <v>103163</v>
      </c>
      <c r="G94" s="3" t="s">
        <v>26</v>
      </c>
      <c r="H94" s="3" t="s">
        <v>27</v>
      </c>
      <c r="I94" s="4">
        <v>45383</v>
      </c>
      <c r="J94" s="5">
        <f>YEAR(SALES[[#This Row],[DATE]])</f>
        <v>2024</v>
      </c>
    </row>
    <row r="95" spans="1:10" x14ac:dyDescent="0.25">
      <c r="A95" s="5" t="s">
        <v>184</v>
      </c>
      <c r="B95" s="5" t="s">
        <v>9</v>
      </c>
      <c r="C95" s="5" t="s">
        <v>29</v>
      </c>
      <c r="D95" s="5" t="s">
        <v>30</v>
      </c>
      <c r="E95" s="5">
        <v>1</v>
      </c>
      <c r="F95" s="5">
        <v>52724</v>
      </c>
      <c r="G95" s="5" t="s">
        <v>15</v>
      </c>
      <c r="H95" s="5" t="s">
        <v>16</v>
      </c>
      <c r="I95" s="6">
        <v>45424</v>
      </c>
      <c r="J95" s="5">
        <f>YEAR(SALES[[#This Row],[DATE]])</f>
        <v>2024</v>
      </c>
    </row>
    <row r="96" spans="1:10" x14ac:dyDescent="0.25">
      <c r="A96" s="3" t="s">
        <v>185</v>
      </c>
      <c r="B96" s="3" t="s">
        <v>9</v>
      </c>
      <c r="C96" s="3" t="s">
        <v>10</v>
      </c>
      <c r="D96" s="3" t="s">
        <v>11</v>
      </c>
      <c r="E96" s="3">
        <v>1</v>
      </c>
      <c r="F96" s="3">
        <v>67281</v>
      </c>
      <c r="G96" s="3" t="s">
        <v>45</v>
      </c>
      <c r="H96" s="3" t="s">
        <v>13</v>
      </c>
      <c r="I96" s="4">
        <v>45666</v>
      </c>
      <c r="J96" s="5">
        <f>YEAR(SALES[[#This Row],[DATE]])</f>
        <v>2025</v>
      </c>
    </row>
    <row r="97" spans="1:10" x14ac:dyDescent="0.25">
      <c r="A97" s="5" t="s">
        <v>186</v>
      </c>
      <c r="B97" s="5" t="s">
        <v>9</v>
      </c>
      <c r="C97" s="5" t="s">
        <v>43</v>
      </c>
      <c r="D97" s="5" t="s">
        <v>71</v>
      </c>
      <c r="E97" s="5">
        <v>1</v>
      </c>
      <c r="F97" s="5">
        <v>47082</v>
      </c>
      <c r="G97" s="5" t="s">
        <v>33</v>
      </c>
      <c r="H97" s="5" t="s">
        <v>16</v>
      </c>
      <c r="I97" s="6">
        <v>45522</v>
      </c>
      <c r="J97" s="5">
        <f>YEAR(SALES[[#This Row],[DATE]])</f>
        <v>2024</v>
      </c>
    </row>
    <row r="98" spans="1:10" x14ac:dyDescent="0.25">
      <c r="A98" s="3" t="s">
        <v>187</v>
      </c>
      <c r="B98" s="3" t="s">
        <v>9</v>
      </c>
      <c r="C98" s="3" t="s">
        <v>29</v>
      </c>
      <c r="D98" s="3" t="s">
        <v>30</v>
      </c>
      <c r="E98" s="3">
        <v>4</v>
      </c>
      <c r="F98" s="3">
        <v>115162</v>
      </c>
      <c r="G98" s="3" t="s">
        <v>12</v>
      </c>
      <c r="H98" s="3" t="s">
        <v>13</v>
      </c>
      <c r="I98" s="4">
        <v>45845</v>
      </c>
      <c r="J98" s="5">
        <f>YEAR(SALES[[#This Row],[DATE]])</f>
        <v>2025</v>
      </c>
    </row>
    <row r="99" spans="1:10" x14ac:dyDescent="0.25">
      <c r="A99" s="5" t="s">
        <v>188</v>
      </c>
      <c r="B99" s="5" t="s">
        <v>9</v>
      </c>
      <c r="C99" s="5" t="s">
        <v>18</v>
      </c>
      <c r="D99" s="5" t="s">
        <v>19</v>
      </c>
      <c r="E99" s="5">
        <v>5</v>
      </c>
      <c r="F99" s="5">
        <v>62500</v>
      </c>
      <c r="G99" s="5" t="s">
        <v>33</v>
      </c>
      <c r="H99" s="5" t="s">
        <v>16</v>
      </c>
      <c r="I99" s="6">
        <v>45504</v>
      </c>
      <c r="J99" s="5">
        <f>YEAR(SALES[[#This Row],[DATE]])</f>
        <v>2024</v>
      </c>
    </row>
    <row r="100" spans="1:10" x14ac:dyDescent="0.25">
      <c r="A100" s="3" t="s">
        <v>190</v>
      </c>
      <c r="B100" s="3" t="s">
        <v>9</v>
      </c>
      <c r="C100" s="3" t="s">
        <v>29</v>
      </c>
      <c r="D100" s="3" t="s">
        <v>40</v>
      </c>
      <c r="E100" s="3">
        <v>1</v>
      </c>
      <c r="F100" s="3">
        <v>114507</v>
      </c>
      <c r="G100" s="3" t="s">
        <v>26</v>
      </c>
      <c r="H100" s="3" t="s">
        <v>27</v>
      </c>
      <c r="I100" s="4">
        <v>45384</v>
      </c>
      <c r="J100" s="5">
        <f>YEAR(SALES[[#This Row],[DATE]])</f>
        <v>2024</v>
      </c>
    </row>
    <row r="101" spans="1:10" x14ac:dyDescent="0.25">
      <c r="A101" s="5" t="s">
        <v>191</v>
      </c>
      <c r="B101" s="5" t="s">
        <v>9</v>
      </c>
      <c r="C101" s="5" t="s">
        <v>51</v>
      </c>
      <c r="D101" s="5" t="s">
        <v>87</v>
      </c>
      <c r="E101" s="5">
        <v>1</v>
      </c>
      <c r="F101" s="5">
        <v>105811</v>
      </c>
      <c r="G101" s="5" t="s">
        <v>41</v>
      </c>
      <c r="H101" s="5" t="s">
        <v>16</v>
      </c>
      <c r="I101" s="6">
        <v>45459</v>
      </c>
      <c r="J101" s="5">
        <f>YEAR(SALES[[#This Row],[DATE]])</f>
        <v>2024</v>
      </c>
    </row>
    <row r="102" spans="1:10" x14ac:dyDescent="0.25">
      <c r="A102" s="3" t="s">
        <v>193</v>
      </c>
      <c r="B102" s="3" t="s">
        <v>194</v>
      </c>
      <c r="C102" s="3" t="s">
        <v>195</v>
      </c>
      <c r="D102" s="3" t="s">
        <v>196</v>
      </c>
      <c r="E102" s="3">
        <v>1</v>
      </c>
      <c r="F102" s="3">
        <v>15624</v>
      </c>
      <c r="G102" s="3" t="s">
        <v>41</v>
      </c>
      <c r="H102" s="3" t="s">
        <v>68</v>
      </c>
      <c r="I102" s="4">
        <v>45734</v>
      </c>
      <c r="J102" s="5">
        <f>YEAR(SALES[[#This Row],[DATE]])</f>
        <v>2025</v>
      </c>
    </row>
    <row r="103" spans="1:10" x14ac:dyDescent="0.25">
      <c r="A103" s="5" t="s">
        <v>198</v>
      </c>
      <c r="B103" s="5" t="s">
        <v>194</v>
      </c>
      <c r="C103" s="5" t="s">
        <v>199</v>
      </c>
      <c r="D103" s="5" t="s">
        <v>200</v>
      </c>
      <c r="E103" s="5">
        <v>2</v>
      </c>
      <c r="F103" s="5">
        <v>66123</v>
      </c>
      <c r="G103" s="5" t="s">
        <v>33</v>
      </c>
      <c r="H103" s="5" t="s">
        <v>16</v>
      </c>
      <c r="I103" s="6">
        <v>45744</v>
      </c>
      <c r="J103" s="5">
        <f>YEAR(SALES[[#This Row],[DATE]])</f>
        <v>2025</v>
      </c>
    </row>
    <row r="104" spans="1:10" x14ac:dyDescent="0.25">
      <c r="A104" s="3" t="s">
        <v>202</v>
      </c>
      <c r="B104" s="3" t="s">
        <v>194</v>
      </c>
      <c r="C104" s="3" t="s">
        <v>203</v>
      </c>
      <c r="D104" s="3" t="s">
        <v>204</v>
      </c>
      <c r="E104" s="3">
        <v>4</v>
      </c>
      <c r="F104" s="3">
        <v>26124</v>
      </c>
      <c r="G104" s="3" t="s">
        <v>45</v>
      </c>
      <c r="H104" s="3" t="s">
        <v>68</v>
      </c>
      <c r="I104" s="4">
        <v>45926</v>
      </c>
      <c r="J104" s="5">
        <f>YEAR(SALES[[#This Row],[DATE]])</f>
        <v>2025</v>
      </c>
    </row>
    <row r="105" spans="1:10" x14ac:dyDescent="0.25">
      <c r="A105" s="5" t="s">
        <v>205</v>
      </c>
      <c r="B105" s="5" t="s">
        <v>194</v>
      </c>
      <c r="C105" s="5" t="s">
        <v>206</v>
      </c>
      <c r="D105" s="5" t="s">
        <v>207</v>
      </c>
      <c r="E105" s="5">
        <v>5</v>
      </c>
      <c r="F105" s="5">
        <v>57429</v>
      </c>
      <c r="G105" s="5" t="s">
        <v>33</v>
      </c>
      <c r="H105" s="5" t="s">
        <v>13</v>
      </c>
      <c r="I105" s="6">
        <v>45935</v>
      </c>
      <c r="J105" s="5">
        <f>YEAR(SALES[[#This Row],[DATE]])</f>
        <v>2025</v>
      </c>
    </row>
    <row r="106" spans="1:10" x14ac:dyDescent="0.25">
      <c r="A106" s="3" t="s">
        <v>208</v>
      </c>
      <c r="B106" s="3" t="s">
        <v>194</v>
      </c>
      <c r="C106" s="3" t="s">
        <v>209</v>
      </c>
      <c r="D106" s="3" t="s">
        <v>210</v>
      </c>
      <c r="E106" s="3">
        <v>2</v>
      </c>
      <c r="F106" s="3">
        <v>89091</v>
      </c>
      <c r="G106" s="3" t="s">
        <v>45</v>
      </c>
      <c r="H106" s="3" t="s">
        <v>37</v>
      </c>
      <c r="I106" s="4">
        <v>45734</v>
      </c>
      <c r="J106" s="5">
        <f>YEAR(SALES[[#This Row],[DATE]])</f>
        <v>2025</v>
      </c>
    </row>
    <row r="107" spans="1:10" x14ac:dyDescent="0.25">
      <c r="A107" s="5" t="s">
        <v>211</v>
      </c>
      <c r="B107" s="5" t="s">
        <v>194</v>
      </c>
      <c r="C107" s="5" t="s">
        <v>206</v>
      </c>
      <c r="D107" s="5" t="s">
        <v>207</v>
      </c>
      <c r="E107" s="5">
        <v>4</v>
      </c>
      <c r="F107" s="5">
        <v>30710</v>
      </c>
      <c r="G107" s="5" t="s">
        <v>33</v>
      </c>
      <c r="H107" s="5" t="s">
        <v>16</v>
      </c>
      <c r="I107" s="6">
        <v>45926</v>
      </c>
      <c r="J107" s="5">
        <f>YEAR(SALES[[#This Row],[DATE]])</f>
        <v>2025</v>
      </c>
    </row>
    <row r="108" spans="1:10" x14ac:dyDescent="0.25">
      <c r="A108" s="3" t="s">
        <v>212</v>
      </c>
      <c r="B108" s="3" t="s">
        <v>194</v>
      </c>
      <c r="C108" s="3" t="s">
        <v>213</v>
      </c>
      <c r="D108" s="3" t="s">
        <v>214</v>
      </c>
      <c r="E108" s="3">
        <v>2</v>
      </c>
      <c r="F108" s="3">
        <v>45254</v>
      </c>
      <c r="G108" s="3" t="s">
        <v>15</v>
      </c>
      <c r="H108" s="3" t="s">
        <v>13</v>
      </c>
      <c r="I108" s="4">
        <v>45931</v>
      </c>
      <c r="J108" s="5">
        <f>YEAR(SALES[[#This Row],[DATE]])</f>
        <v>2025</v>
      </c>
    </row>
    <row r="109" spans="1:10" x14ac:dyDescent="0.25">
      <c r="A109" s="5" t="s">
        <v>215</v>
      </c>
      <c r="B109" s="5" t="s">
        <v>194</v>
      </c>
      <c r="C109" s="5" t="s">
        <v>203</v>
      </c>
      <c r="D109" s="5" t="s">
        <v>204</v>
      </c>
      <c r="E109" s="5">
        <v>3</v>
      </c>
      <c r="F109" s="5">
        <v>41447</v>
      </c>
      <c r="G109" s="5" t="s">
        <v>45</v>
      </c>
      <c r="H109" s="5" t="s">
        <v>68</v>
      </c>
      <c r="I109" s="6">
        <v>45928</v>
      </c>
      <c r="J109" s="5">
        <f>YEAR(SALES[[#This Row],[DATE]])</f>
        <v>2025</v>
      </c>
    </row>
    <row r="110" spans="1:10" x14ac:dyDescent="0.25">
      <c r="A110" s="3" t="s">
        <v>217</v>
      </c>
      <c r="B110" s="3" t="s">
        <v>194</v>
      </c>
      <c r="C110" s="3" t="s">
        <v>213</v>
      </c>
      <c r="D110" s="3" t="s">
        <v>214</v>
      </c>
      <c r="E110" s="3">
        <v>2</v>
      </c>
      <c r="F110" s="3">
        <v>50220</v>
      </c>
      <c r="G110" s="3" t="s">
        <v>45</v>
      </c>
      <c r="H110" s="3" t="s">
        <v>13</v>
      </c>
      <c r="I110" s="4">
        <v>45924</v>
      </c>
      <c r="J110" s="5">
        <f>YEAR(SALES[[#This Row],[DATE]])</f>
        <v>2025</v>
      </c>
    </row>
    <row r="111" spans="1:10" x14ac:dyDescent="0.25">
      <c r="A111" s="5" t="s">
        <v>219</v>
      </c>
      <c r="B111" s="5" t="s">
        <v>194</v>
      </c>
      <c r="C111" s="5" t="s">
        <v>195</v>
      </c>
      <c r="D111" s="5" t="s">
        <v>196</v>
      </c>
      <c r="E111" s="5">
        <v>5</v>
      </c>
      <c r="F111" s="5">
        <v>56642</v>
      </c>
      <c r="G111" s="5" t="s">
        <v>54</v>
      </c>
      <c r="H111" s="5" t="s">
        <v>16</v>
      </c>
      <c r="I111" s="6">
        <v>45957</v>
      </c>
      <c r="J111" s="5">
        <f>YEAR(SALES[[#This Row],[DATE]])</f>
        <v>2025</v>
      </c>
    </row>
    <row r="112" spans="1:10" x14ac:dyDescent="0.25">
      <c r="A112" s="3" t="s">
        <v>221</v>
      </c>
      <c r="B112" s="3" t="s">
        <v>194</v>
      </c>
      <c r="C112" s="3" t="s">
        <v>222</v>
      </c>
      <c r="D112" s="3" t="s">
        <v>223</v>
      </c>
      <c r="E112" s="3">
        <v>2</v>
      </c>
      <c r="F112" s="3">
        <v>47995</v>
      </c>
      <c r="G112" s="3" t="s">
        <v>45</v>
      </c>
      <c r="H112" s="3" t="s">
        <v>37</v>
      </c>
      <c r="I112" s="4">
        <v>45944</v>
      </c>
      <c r="J112" s="5">
        <f>YEAR(SALES[[#This Row],[DATE]])</f>
        <v>2025</v>
      </c>
    </row>
    <row r="113" spans="1:10" x14ac:dyDescent="0.25">
      <c r="A113" s="5" t="s">
        <v>225</v>
      </c>
      <c r="B113" s="5" t="s">
        <v>194</v>
      </c>
      <c r="C113" s="5" t="s">
        <v>195</v>
      </c>
      <c r="D113" s="5" t="s">
        <v>196</v>
      </c>
      <c r="E113" s="5">
        <v>2</v>
      </c>
      <c r="F113" s="5">
        <v>41980</v>
      </c>
      <c r="G113" s="5" t="s">
        <v>67</v>
      </c>
      <c r="H113" s="5" t="s">
        <v>13</v>
      </c>
      <c r="I113" s="6">
        <v>45912</v>
      </c>
      <c r="J113" s="5">
        <f>YEAR(SALES[[#This Row],[DATE]])</f>
        <v>2025</v>
      </c>
    </row>
    <row r="114" spans="1:10" x14ac:dyDescent="0.25">
      <c r="A114" s="3" t="s">
        <v>226</v>
      </c>
      <c r="B114" s="3" t="s">
        <v>194</v>
      </c>
      <c r="C114" s="3" t="s">
        <v>227</v>
      </c>
      <c r="D114" s="3" t="s">
        <v>228</v>
      </c>
      <c r="E114" s="3">
        <v>4</v>
      </c>
      <c r="F114" s="3">
        <v>77679</v>
      </c>
      <c r="G114" s="3" t="s">
        <v>45</v>
      </c>
      <c r="H114" s="3" t="s">
        <v>68</v>
      </c>
      <c r="I114" s="4">
        <v>45959</v>
      </c>
      <c r="J114" s="5">
        <f>YEAR(SALES[[#This Row],[DATE]])</f>
        <v>2025</v>
      </c>
    </row>
    <row r="115" spans="1:10" x14ac:dyDescent="0.25">
      <c r="A115" s="5" t="s">
        <v>230</v>
      </c>
      <c r="B115" s="5" t="s">
        <v>194</v>
      </c>
      <c r="C115" s="5" t="s">
        <v>222</v>
      </c>
      <c r="D115" s="5" t="s">
        <v>223</v>
      </c>
      <c r="E115" s="5">
        <v>3</v>
      </c>
      <c r="F115" s="5">
        <v>15212</v>
      </c>
      <c r="G115" s="5" t="s">
        <v>15</v>
      </c>
      <c r="H115" s="5" t="s">
        <v>13</v>
      </c>
      <c r="I115" s="6">
        <v>45863</v>
      </c>
      <c r="J115" s="5">
        <f>YEAR(SALES[[#This Row],[DATE]])</f>
        <v>2025</v>
      </c>
    </row>
    <row r="116" spans="1:10" x14ac:dyDescent="0.25">
      <c r="A116" s="3" t="s">
        <v>232</v>
      </c>
      <c r="B116" s="3" t="s">
        <v>194</v>
      </c>
      <c r="C116" s="3" t="s">
        <v>195</v>
      </c>
      <c r="D116" s="3" t="s">
        <v>196</v>
      </c>
      <c r="E116" s="3">
        <v>4</v>
      </c>
      <c r="F116" s="3">
        <v>23594</v>
      </c>
      <c r="G116" s="3" t="s">
        <v>33</v>
      </c>
      <c r="H116" s="3" t="s">
        <v>16</v>
      </c>
      <c r="I116" s="4">
        <v>45780</v>
      </c>
      <c r="J116" s="5">
        <f>YEAR(SALES[[#This Row],[DATE]])</f>
        <v>2025</v>
      </c>
    </row>
    <row r="117" spans="1:10" x14ac:dyDescent="0.25">
      <c r="A117" s="5" t="s">
        <v>233</v>
      </c>
      <c r="B117" s="5" t="s">
        <v>194</v>
      </c>
      <c r="C117" s="5" t="s">
        <v>199</v>
      </c>
      <c r="D117" s="5" t="s">
        <v>200</v>
      </c>
      <c r="E117" s="5">
        <v>2</v>
      </c>
      <c r="F117" s="5">
        <v>39135</v>
      </c>
      <c r="G117" s="5" t="s">
        <v>15</v>
      </c>
      <c r="H117" s="5" t="s">
        <v>37</v>
      </c>
      <c r="I117" s="6">
        <v>45394</v>
      </c>
      <c r="J117" s="5">
        <f>YEAR(SALES[[#This Row],[DATE]])</f>
        <v>2024</v>
      </c>
    </row>
    <row r="118" spans="1:10" x14ac:dyDescent="0.25">
      <c r="A118" s="3" t="s">
        <v>234</v>
      </c>
      <c r="B118" s="3" t="s">
        <v>194</v>
      </c>
      <c r="C118" s="3" t="s">
        <v>213</v>
      </c>
      <c r="D118" s="3" t="s">
        <v>214</v>
      </c>
      <c r="E118" s="3">
        <v>1</v>
      </c>
      <c r="F118" s="3">
        <v>78139</v>
      </c>
      <c r="G118" s="3" t="s">
        <v>54</v>
      </c>
      <c r="H118" s="3" t="s">
        <v>13</v>
      </c>
      <c r="I118" s="4">
        <v>45923</v>
      </c>
      <c r="J118" s="5">
        <f>YEAR(SALES[[#This Row],[DATE]])</f>
        <v>2025</v>
      </c>
    </row>
    <row r="119" spans="1:10" x14ac:dyDescent="0.25">
      <c r="A119" s="5" t="s">
        <v>236</v>
      </c>
      <c r="B119" s="5" t="s">
        <v>194</v>
      </c>
      <c r="C119" s="5" t="s">
        <v>206</v>
      </c>
      <c r="D119" s="5" t="s">
        <v>207</v>
      </c>
      <c r="E119" s="5">
        <v>4</v>
      </c>
      <c r="F119" s="5">
        <v>22816</v>
      </c>
      <c r="G119" s="5" t="s">
        <v>41</v>
      </c>
      <c r="H119" s="5" t="s">
        <v>13</v>
      </c>
      <c r="I119" s="6">
        <v>45655</v>
      </c>
      <c r="J119" s="5">
        <f>YEAR(SALES[[#This Row],[DATE]])</f>
        <v>2024</v>
      </c>
    </row>
    <row r="120" spans="1:10" x14ac:dyDescent="0.25">
      <c r="A120" s="3" t="s">
        <v>237</v>
      </c>
      <c r="B120" s="3" t="s">
        <v>194</v>
      </c>
      <c r="C120" s="3" t="s">
        <v>213</v>
      </c>
      <c r="D120" s="3" t="s">
        <v>214</v>
      </c>
      <c r="E120" s="3">
        <v>3</v>
      </c>
      <c r="F120" s="3">
        <v>61792</v>
      </c>
      <c r="G120" s="3" t="s">
        <v>67</v>
      </c>
      <c r="H120" s="3" t="s">
        <v>16</v>
      </c>
      <c r="I120" s="4">
        <v>45951</v>
      </c>
      <c r="J120" s="5">
        <f>YEAR(SALES[[#This Row],[DATE]])</f>
        <v>2025</v>
      </c>
    </row>
    <row r="121" spans="1:10" x14ac:dyDescent="0.25">
      <c r="A121" s="5" t="s">
        <v>239</v>
      </c>
      <c r="B121" s="5" t="s">
        <v>194</v>
      </c>
      <c r="C121" s="5" t="s">
        <v>227</v>
      </c>
      <c r="D121" s="5" t="s">
        <v>228</v>
      </c>
      <c r="E121" s="5">
        <v>1</v>
      </c>
      <c r="F121" s="5">
        <v>57884</v>
      </c>
      <c r="G121" s="5" t="s">
        <v>15</v>
      </c>
      <c r="H121" s="5" t="s">
        <v>37</v>
      </c>
      <c r="I121" s="6">
        <v>45915</v>
      </c>
      <c r="J121" s="5">
        <f>YEAR(SALES[[#This Row],[DATE]])</f>
        <v>2025</v>
      </c>
    </row>
    <row r="122" spans="1:10" x14ac:dyDescent="0.25">
      <c r="A122" s="3" t="s">
        <v>241</v>
      </c>
      <c r="B122" s="3" t="s">
        <v>194</v>
      </c>
      <c r="C122" s="3" t="s">
        <v>242</v>
      </c>
      <c r="D122" s="3" t="s">
        <v>243</v>
      </c>
      <c r="E122" s="3">
        <v>2</v>
      </c>
      <c r="F122" s="3">
        <v>82795</v>
      </c>
      <c r="G122" s="3" t="s">
        <v>54</v>
      </c>
      <c r="H122" s="3" t="s">
        <v>68</v>
      </c>
      <c r="I122" s="4">
        <v>45876</v>
      </c>
      <c r="J122" s="5">
        <f>YEAR(SALES[[#This Row],[DATE]])</f>
        <v>2025</v>
      </c>
    </row>
    <row r="123" spans="1:10" x14ac:dyDescent="0.25">
      <c r="A123" s="5" t="s">
        <v>244</v>
      </c>
      <c r="B123" s="5" t="s">
        <v>194</v>
      </c>
      <c r="C123" s="5" t="s">
        <v>206</v>
      </c>
      <c r="D123" s="5" t="s">
        <v>207</v>
      </c>
      <c r="E123" s="5">
        <v>5</v>
      </c>
      <c r="F123" s="5">
        <v>33402</v>
      </c>
      <c r="G123" s="5" t="s">
        <v>45</v>
      </c>
      <c r="H123" s="5" t="s">
        <v>68</v>
      </c>
      <c r="I123" s="6">
        <v>45619</v>
      </c>
      <c r="J123" s="5">
        <f>YEAR(SALES[[#This Row],[DATE]])</f>
        <v>2024</v>
      </c>
    </row>
    <row r="124" spans="1:10" x14ac:dyDescent="0.25">
      <c r="A124" s="3" t="s">
        <v>246</v>
      </c>
      <c r="B124" s="3" t="s">
        <v>194</v>
      </c>
      <c r="C124" s="3" t="s">
        <v>242</v>
      </c>
      <c r="D124" s="3" t="s">
        <v>243</v>
      </c>
      <c r="E124" s="3">
        <v>4</v>
      </c>
      <c r="F124" s="3">
        <v>25166</v>
      </c>
      <c r="G124" s="3" t="s">
        <v>33</v>
      </c>
      <c r="H124" s="3" t="s">
        <v>13</v>
      </c>
      <c r="I124" s="6">
        <v>45620</v>
      </c>
      <c r="J124" s="5">
        <f>YEAR(SALES[[#This Row],[DATE]])</f>
        <v>2024</v>
      </c>
    </row>
    <row r="125" spans="1:10" x14ac:dyDescent="0.25">
      <c r="A125" s="5" t="s">
        <v>247</v>
      </c>
      <c r="B125" s="5" t="s">
        <v>194</v>
      </c>
      <c r="C125" s="5" t="s">
        <v>227</v>
      </c>
      <c r="D125" s="5" t="s">
        <v>228</v>
      </c>
      <c r="E125" s="5">
        <v>5</v>
      </c>
      <c r="F125" s="5">
        <v>13403</v>
      </c>
      <c r="G125" s="5" t="s">
        <v>54</v>
      </c>
      <c r="H125" s="5" t="s">
        <v>13</v>
      </c>
      <c r="I125" s="6">
        <v>45622</v>
      </c>
      <c r="J125" s="5">
        <f>YEAR(SALES[[#This Row],[DATE]])</f>
        <v>2024</v>
      </c>
    </row>
    <row r="126" spans="1:10" x14ac:dyDescent="0.25">
      <c r="A126" s="3" t="s">
        <v>249</v>
      </c>
      <c r="B126" s="3" t="s">
        <v>194</v>
      </c>
      <c r="C126" s="3" t="s">
        <v>227</v>
      </c>
      <c r="D126" s="3" t="s">
        <v>228</v>
      </c>
      <c r="E126" s="3">
        <v>3</v>
      </c>
      <c r="F126" s="3">
        <v>80420</v>
      </c>
      <c r="G126" s="3" t="s">
        <v>54</v>
      </c>
      <c r="H126" s="3" t="s">
        <v>37</v>
      </c>
      <c r="I126" s="4">
        <v>45922</v>
      </c>
      <c r="J126" s="5">
        <f>YEAR(SALES[[#This Row],[DATE]])</f>
        <v>2025</v>
      </c>
    </row>
    <row r="127" spans="1:10" x14ac:dyDescent="0.25">
      <c r="A127" s="5" t="s">
        <v>251</v>
      </c>
      <c r="B127" s="5" t="s">
        <v>194</v>
      </c>
      <c r="C127" s="5" t="s">
        <v>203</v>
      </c>
      <c r="D127" s="5" t="s">
        <v>204</v>
      </c>
      <c r="E127" s="5">
        <v>1</v>
      </c>
      <c r="F127" s="5">
        <v>42564</v>
      </c>
      <c r="G127" s="5" t="s">
        <v>33</v>
      </c>
      <c r="H127" s="5" t="s">
        <v>68</v>
      </c>
      <c r="I127" s="6">
        <v>45649</v>
      </c>
      <c r="J127" s="5">
        <f>YEAR(SALES[[#This Row],[DATE]])</f>
        <v>2024</v>
      </c>
    </row>
    <row r="128" spans="1:10" x14ac:dyDescent="0.25">
      <c r="A128" s="3" t="s">
        <v>252</v>
      </c>
      <c r="B128" s="3" t="s">
        <v>194</v>
      </c>
      <c r="C128" s="3" t="s">
        <v>253</v>
      </c>
      <c r="D128" s="3" t="s">
        <v>254</v>
      </c>
      <c r="E128" s="3">
        <v>4</v>
      </c>
      <c r="F128" s="3">
        <v>61702</v>
      </c>
      <c r="G128" s="3" t="s">
        <v>33</v>
      </c>
      <c r="H128" s="3" t="s">
        <v>68</v>
      </c>
      <c r="I128" s="4">
        <v>45485</v>
      </c>
      <c r="J128" s="5">
        <f>YEAR(SALES[[#This Row],[DATE]])</f>
        <v>2024</v>
      </c>
    </row>
    <row r="129" spans="1:10" x14ac:dyDescent="0.25">
      <c r="A129" s="5" t="s">
        <v>255</v>
      </c>
      <c r="B129" s="5" t="s">
        <v>194</v>
      </c>
      <c r="C129" s="5" t="s">
        <v>203</v>
      </c>
      <c r="D129" s="5" t="s">
        <v>204</v>
      </c>
      <c r="E129" s="5">
        <v>3</v>
      </c>
      <c r="F129" s="5">
        <v>87888</v>
      </c>
      <c r="G129" s="5" t="s">
        <v>67</v>
      </c>
      <c r="H129" s="5" t="s">
        <v>16</v>
      </c>
      <c r="I129" s="6">
        <v>45848</v>
      </c>
      <c r="J129" s="5">
        <f>YEAR(SALES[[#This Row],[DATE]])</f>
        <v>2025</v>
      </c>
    </row>
    <row r="130" spans="1:10" x14ac:dyDescent="0.25">
      <c r="A130" s="3" t="s">
        <v>256</v>
      </c>
      <c r="B130" s="3" t="s">
        <v>194</v>
      </c>
      <c r="C130" s="3" t="s">
        <v>209</v>
      </c>
      <c r="D130" s="3" t="s">
        <v>210</v>
      </c>
      <c r="E130" s="3">
        <v>2</v>
      </c>
      <c r="F130" s="3">
        <v>43797</v>
      </c>
      <c r="G130" s="3" t="s">
        <v>15</v>
      </c>
      <c r="H130" s="3" t="s">
        <v>37</v>
      </c>
      <c r="I130" s="4">
        <v>45647</v>
      </c>
      <c r="J130" s="5">
        <f>YEAR(SALES[[#This Row],[DATE]])</f>
        <v>2024</v>
      </c>
    </row>
    <row r="131" spans="1:10" x14ac:dyDescent="0.25">
      <c r="A131" s="5" t="s">
        <v>258</v>
      </c>
      <c r="B131" s="5" t="s">
        <v>194</v>
      </c>
      <c r="C131" s="5" t="s">
        <v>227</v>
      </c>
      <c r="D131" s="5" t="s">
        <v>228</v>
      </c>
      <c r="E131" s="5">
        <v>3</v>
      </c>
      <c r="F131" s="5">
        <v>68782</v>
      </c>
      <c r="G131" s="5" t="s">
        <v>33</v>
      </c>
      <c r="H131" s="5" t="s">
        <v>37</v>
      </c>
      <c r="I131" s="6">
        <v>45924</v>
      </c>
      <c r="J131" s="5">
        <f>YEAR(SALES[[#This Row],[DATE]])</f>
        <v>2025</v>
      </c>
    </row>
    <row r="132" spans="1:10" x14ac:dyDescent="0.25">
      <c r="A132" s="3" t="s">
        <v>259</v>
      </c>
      <c r="B132" s="3" t="s">
        <v>194</v>
      </c>
      <c r="C132" s="3" t="s">
        <v>253</v>
      </c>
      <c r="D132" s="3" t="s">
        <v>254</v>
      </c>
      <c r="E132" s="3">
        <v>5</v>
      </c>
      <c r="F132" s="3">
        <v>53967</v>
      </c>
      <c r="G132" s="3" t="s">
        <v>45</v>
      </c>
      <c r="H132" s="3" t="s">
        <v>13</v>
      </c>
      <c r="I132" s="4">
        <v>45735</v>
      </c>
      <c r="J132" s="5">
        <f>YEAR(SALES[[#This Row],[DATE]])</f>
        <v>2025</v>
      </c>
    </row>
    <row r="133" spans="1:10" x14ac:dyDescent="0.25">
      <c r="A133" s="5" t="s">
        <v>261</v>
      </c>
      <c r="B133" s="5" t="s">
        <v>194</v>
      </c>
      <c r="C133" s="5" t="s">
        <v>203</v>
      </c>
      <c r="D133" s="5" t="s">
        <v>204</v>
      </c>
      <c r="E133" s="5">
        <v>4</v>
      </c>
      <c r="F133" s="5">
        <v>87933</v>
      </c>
      <c r="G133" s="5" t="s">
        <v>54</v>
      </c>
      <c r="H133" s="5" t="s">
        <v>37</v>
      </c>
      <c r="I133" s="6">
        <v>45683</v>
      </c>
      <c r="J133" s="5">
        <f>YEAR(SALES[[#This Row],[DATE]])</f>
        <v>2025</v>
      </c>
    </row>
    <row r="134" spans="1:10" x14ac:dyDescent="0.25">
      <c r="A134" s="3" t="s">
        <v>263</v>
      </c>
      <c r="B134" s="3" t="s">
        <v>194</v>
      </c>
      <c r="C134" s="3" t="s">
        <v>222</v>
      </c>
      <c r="D134" s="3" t="s">
        <v>223</v>
      </c>
      <c r="E134" s="3">
        <v>2</v>
      </c>
      <c r="F134" s="3">
        <v>47277</v>
      </c>
      <c r="G134" s="3" t="s">
        <v>67</v>
      </c>
      <c r="H134" s="3" t="s">
        <v>37</v>
      </c>
      <c r="I134" s="4">
        <v>45658</v>
      </c>
      <c r="J134" s="5">
        <f>YEAR(SALES[[#This Row],[DATE]])</f>
        <v>2025</v>
      </c>
    </row>
    <row r="135" spans="1:10" x14ac:dyDescent="0.25">
      <c r="A135" s="5" t="s">
        <v>264</v>
      </c>
      <c r="B135" s="5" t="s">
        <v>194</v>
      </c>
      <c r="C135" s="5" t="s">
        <v>242</v>
      </c>
      <c r="D135" s="5" t="s">
        <v>243</v>
      </c>
      <c r="E135" s="5">
        <v>1</v>
      </c>
      <c r="F135" s="5">
        <v>17461</v>
      </c>
      <c r="G135" s="5" t="s">
        <v>15</v>
      </c>
      <c r="H135" s="5" t="s">
        <v>68</v>
      </c>
      <c r="I135" s="6">
        <v>45914</v>
      </c>
      <c r="J135" s="5">
        <f>YEAR(SALES[[#This Row],[DATE]])</f>
        <v>2025</v>
      </c>
    </row>
    <row r="136" spans="1:10" x14ac:dyDescent="0.25">
      <c r="A136" s="3" t="s">
        <v>266</v>
      </c>
      <c r="B136" s="3" t="s">
        <v>194</v>
      </c>
      <c r="C136" s="3" t="s">
        <v>195</v>
      </c>
      <c r="D136" s="3" t="s">
        <v>196</v>
      </c>
      <c r="E136" s="3">
        <v>1</v>
      </c>
      <c r="F136" s="3">
        <v>62355</v>
      </c>
      <c r="G136" s="3" t="s">
        <v>45</v>
      </c>
      <c r="H136" s="3" t="s">
        <v>68</v>
      </c>
      <c r="I136" s="4">
        <v>45955</v>
      </c>
      <c r="J136" s="5">
        <f>YEAR(SALES[[#This Row],[DATE]])</f>
        <v>2025</v>
      </c>
    </row>
    <row r="137" spans="1:10" x14ac:dyDescent="0.25">
      <c r="A137" s="5" t="s">
        <v>268</v>
      </c>
      <c r="B137" s="5" t="s">
        <v>194</v>
      </c>
      <c r="C137" s="5" t="s">
        <v>199</v>
      </c>
      <c r="D137" s="5" t="s">
        <v>200</v>
      </c>
      <c r="E137" s="5">
        <v>1</v>
      </c>
      <c r="F137" s="5">
        <v>31273</v>
      </c>
      <c r="G137" s="5" t="s">
        <v>45</v>
      </c>
      <c r="H137" s="5" t="s">
        <v>16</v>
      </c>
      <c r="I137" s="6">
        <v>45800</v>
      </c>
      <c r="J137" s="5">
        <f>YEAR(SALES[[#This Row],[DATE]])</f>
        <v>2025</v>
      </c>
    </row>
    <row r="138" spans="1:10" x14ac:dyDescent="0.25">
      <c r="A138" s="3" t="s">
        <v>269</v>
      </c>
      <c r="B138" s="3" t="s">
        <v>194</v>
      </c>
      <c r="C138" s="3" t="s">
        <v>209</v>
      </c>
      <c r="D138" s="3" t="s">
        <v>210</v>
      </c>
      <c r="E138" s="3">
        <v>1</v>
      </c>
      <c r="F138" s="3">
        <v>32893</v>
      </c>
      <c r="G138" s="3" t="s">
        <v>54</v>
      </c>
      <c r="H138" s="3" t="s">
        <v>16</v>
      </c>
      <c r="I138" s="4">
        <v>45686</v>
      </c>
      <c r="J138" s="5">
        <f>YEAR(SALES[[#This Row],[DATE]])</f>
        <v>2025</v>
      </c>
    </row>
    <row r="139" spans="1:10" x14ac:dyDescent="0.25">
      <c r="A139" s="5" t="s">
        <v>270</v>
      </c>
      <c r="B139" s="5" t="s">
        <v>194</v>
      </c>
      <c r="C139" s="5" t="s">
        <v>195</v>
      </c>
      <c r="D139" s="5" t="s">
        <v>196</v>
      </c>
      <c r="E139" s="5">
        <v>1</v>
      </c>
      <c r="F139" s="5">
        <v>67121</v>
      </c>
      <c r="G139" s="5" t="s">
        <v>67</v>
      </c>
      <c r="H139" s="5" t="s">
        <v>16</v>
      </c>
      <c r="I139" s="6">
        <v>45770</v>
      </c>
      <c r="J139" s="5">
        <f>YEAR(SALES[[#This Row],[DATE]])</f>
        <v>2025</v>
      </c>
    </row>
    <row r="140" spans="1:10" x14ac:dyDescent="0.25">
      <c r="A140" s="3" t="s">
        <v>272</v>
      </c>
      <c r="B140" s="3" t="s">
        <v>194</v>
      </c>
      <c r="C140" s="3" t="s">
        <v>253</v>
      </c>
      <c r="D140" s="3" t="s">
        <v>254</v>
      </c>
      <c r="E140" s="3">
        <v>2</v>
      </c>
      <c r="F140" s="3">
        <v>69619</v>
      </c>
      <c r="G140" s="3" t="s">
        <v>45</v>
      </c>
      <c r="H140" s="3" t="s">
        <v>37</v>
      </c>
      <c r="I140" s="4">
        <v>45827</v>
      </c>
      <c r="J140" s="5">
        <f>YEAR(SALES[[#This Row],[DATE]])</f>
        <v>2025</v>
      </c>
    </row>
    <row r="141" spans="1:10" x14ac:dyDescent="0.25">
      <c r="A141" s="5" t="s">
        <v>274</v>
      </c>
      <c r="B141" s="5" t="s">
        <v>194</v>
      </c>
      <c r="C141" s="5" t="s">
        <v>199</v>
      </c>
      <c r="D141" s="5" t="s">
        <v>200</v>
      </c>
      <c r="E141" s="5">
        <v>1</v>
      </c>
      <c r="F141" s="5">
        <v>69307</v>
      </c>
      <c r="G141" s="5" t="s">
        <v>15</v>
      </c>
      <c r="H141" s="5" t="s">
        <v>16</v>
      </c>
      <c r="I141" s="6">
        <v>45706</v>
      </c>
      <c r="J141" s="5">
        <f>YEAR(SALES[[#This Row],[DATE]])</f>
        <v>2025</v>
      </c>
    </row>
    <row r="142" spans="1:10" x14ac:dyDescent="0.25">
      <c r="A142" s="3" t="s">
        <v>276</v>
      </c>
      <c r="B142" s="3" t="s">
        <v>194</v>
      </c>
      <c r="C142" s="3" t="s">
        <v>195</v>
      </c>
      <c r="D142" s="3" t="s">
        <v>196</v>
      </c>
      <c r="E142" s="3">
        <v>3</v>
      </c>
      <c r="F142" s="3">
        <v>44283</v>
      </c>
      <c r="G142" s="3" t="s">
        <v>33</v>
      </c>
      <c r="H142" s="3" t="s">
        <v>37</v>
      </c>
      <c r="I142" s="4">
        <v>45634</v>
      </c>
      <c r="J142" s="5">
        <f>YEAR(SALES[[#This Row],[DATE]])</f>
        <v>2024</v>
      </c>
    </row>
    <row r="143" spans="1:10" x14ac:dyDescent="0.25">
      <c r="A143" s="5" t="s">
        <v>277</v>
      </c>
      <c r="B143" s="5" t="s">
        <v>194</v>
      </c>
      <c r="C143" s="5" t="s">
        <v>203</v>
      </c>
      <c r="D143" s="5" t="s">
        <v>204</v>
      </c>
      <c r="E143" s="5">
        <v>4</v>
      </c>
      <c r="F143" s="5">
        <v>23297</v>
      </c>
      <c r="G143" s="5" t="s">
        <v>33</v>
      </c>
      <c r="H143" s="5" t="s">
        <v>37</v>
      </c>
      <c r="I143" s="6">
        <v>45870</v>
      </c>
      <c r="J143" s="5">
        <f>YEAR(SALES[[#This Row],[DATE]])</f>
        <v>2025</v>
      </c>
    </row>
    <row r="144" spans="1:10" x14ac:dyDescent="0.25">
      <c r="A144" s="3" t="s">
        <v>278</v>
      </c>
      <c r="B144" s="3" t="s">
        <v>194</v>
      </c>
      <c r="C144" s="3" t="s">
        <v>242</v>
      </c>
      <c r="D144" s="3" t="s">
        <v>243</v>
      </c>
      <c r="E144" s="3">
        <v>5</v>
      </c>
      <c r="F144" s="3">
        <v>26045</v>
      </c>
      <c r="G144" s="3" t="s">
        <v>54</v>
      </c>
      <c r="H144" s="3" t="s">
        <v>37</v>
      </c>
      <c r="I144" s="4">
        <v>45634</v>
      </c>
      <c r="J144" s="5">
        <f>YEAR(SALES[[#This Row],[DATE]])</f>
        <v>2024</v>
      </c>
    </row>
    <row r="145" spans="1:10" x14ac:dyDescent="0.25">
      <c r="A145" s="5" t="s">
        <v>279</v>
      </c>
      <c r="B145" s="5" t="s">
        <v>194</v>
      </c>
      <c r="C145" s="5" t="s">
        <v>253</v>
      </c>
      <c r="D145" s="5" t="s">
        <v>254</v>
      </c>
      <c r="E145" s="5">
        <v>2</v>
      </c>
      <c r="F145" s="5">
        <v>33125</v>
      </c>
      <c r="G145" s="5" t="s">
        <v>54</v>
      </c>
      <c r="H145" s="5" t="s">
        <v>37</v>
      </c>
      <c r="I145" s="6">
        <v>45671</v>
      </c>
      <c r="J145" s="5">
        <f>YEAR(SALES[[#This Row],[DATE]])</f>
        <v>2025</v>
      </c>
    </row>
    <row r="146" spans="1:10" x14ac:dyDescent="0.25">
      <c r="A146" s="3" t="s">
        <v>281</v>
      </c>
      <c r="B146" s="3" t="s">
        <v>194</v>
      </c>
      <c r="C146" s="3" t="s">
        <v>206</v>
      </c>
      <c r="D146" s="3" t="s">
        <v>207</v>
      </c>
      <c r="E146" s="3">
        <v>1</v>
      </c>
      <c r="F146" s="3">
        <v>51361</v>
      </c>
      <c r="G146" s="3" t="s">
        <v>54</v>
      </c>
      <c r="H146" s="3" t="s">
        <v>68</v>
      </c>
      <c r="I146" s="4">
        <v>45825</v>
      </c>
      <c r="J146" s="5">
        <f>YEAR(SALES[[#This Row],[DATE]])</f>
        <v>2025</v>
      </c>
    </row>
    <row r="147" spans="1:10" x14ac:dyDescent="0.25">
      <c r="A147" s="5" t="s">
        <v>283</v>
      </c>
      <c r="B147" s="5" t="s">
        <v>194</v>
      </c>
      <c r="C147" s="5" t="s">
        <v>195</v>
      </c>
      <c r="D147" s="5" t="s">
        <v>196</v>
      </c>
      <c r="E147" s="5">
        <v>3</v>
      </c>
      <c r="F147" s="5">
        <v>44188</v>
      </c>
      <c r="G147" s="5" t="s">
        <v>45</v>
      </c>
      <c r="H147" s="5" t="s">
        <v>13</v>
      </c>
      <c r="I147" s="6">
        <v>45765</v>
      </c>
      <c r="J147" s="5">
        <f>YEAR(SALES[[#This Row],[DATE]])</f>
        <v>2025</v>
      </c>
    </row>
    <row r="148" spans="1:10" x14ac:dyDescent="0.25">
      <c r="A148" s="3" t="s">
        <v>285</v>
      </c>
      <c r="B148" s="3" t="s">
        <v>194</v>
      </c>
      <c r="C148" s="3" t="s">
        <v>203</v>
      </c>
      <c r="D148" s="3" t="s">
        <v>204</v>
      </c>
      <c r="E148" s="3">
        <v>1</v>
      </c>
      <c r="F148" s="3">
        <v>26059</v>
      </c>
      <c r="G148" s="3" t="s">
        <v>15</v>
      </c>
      <c r="H148" s="3" t="s">
        <v>13</v>
      </c>
      <c r="I148" s="4">
        <v>45631</v>
      </c>
      <c r="J148" s="5">
        <f>YEAR(SALES[[#This Row],[DATE]])</f>
        <v>2024</v>
      </c>
    </row>
    <row r="149" spans="1:10" x14ac:dyDescent="0.25">
      <c r="A149" s="5" t="s">
        <v>286</v>
      </c>
      <c r="B149" s="5" t="s">
        <v>194</v>
      </c>
      <c r="C149" s="5" t="s">
        <v>209</v>
      </c>
      <c r="D149" s="5" t="s">
        <v>210</v>
      </c>
      <c r="E149" s="5">
        <v>2</v>
      </c>
      <c r="F149" s="5">
        <v>81376</v>
      </c>
      <c r="G149" s="5" t="s">
        <v>54</v>
      </c>
      <c r="H149" s="5" t="s">
        <v>13</v>
      </c>
      <c r="I149" s="6">
        <v>45714</v>
      </c>
      <c r="J149" s="5">
        <f>YEAR(SALES[[#This Row],[DATE]])</f>
        <v>2025</v>
      </c>
    </row>
    <row r="150" spans="1:10" x14ac:dyDescent="0.25">
      <c r="A150" s="3" t="s">
        <v>288</v>
      </c>
      <c r="B150" s="3" t="s">
        <v>194</v>
      </c>
      <c r="C150" s="3" t="s">
        <v>213</v>
      </c>
      <c r="D150" s="3" t="s">
        <v>214</v>
      </c>
      <c r="E150" s="3">
        <v>3</v>
      </c>
      <c r="F150" s="3">
        <v>50840</v>
      </c>
      <c r="G150" s="3" t="s">
        <v>45</v>
      </c>
      <c r="H150" s="3" t="s">
        <v>37</v>
      </c>
      <c r="I150" s="4">
        <v>45961</v>
      </c>
      <c r="J150" s="5">
        <f>YEAR(SALES[[#This Row],[DATE]])</f>
        <v>2025</v>
      </c>
    </row>
    <row r="151" spans="1:10" x14ac:dyDescent="0.25">
      <c r="A151" s="5" t="s">
        <v>290</v>
      </c>
      <c r="B151" s="5" t="s">
        <v>194</v>
      </c>
      <c r="C151" s="5" t="s">
        <v>222</v>
      </c>
      <c r="D151" s="5" t="s">
        <v>223</v>
      </c>
      <c r="E151" s="5">
        <v>5</v>
      </c>
      <c r="F151" s="5">
        <v>57381</v>
      </c>
      <c r="G151" s="5" t="s">
        <v>67</v>
      </c>
      <c r="H151" s="5" t="s">
        <v>37</v>
      </c>
      <c r="I151" s="6">
        <v>45734</v>
      </c>
      <c r="J151" s="5">
        <f>YEAR(SALES[[#This Row],[DATE]])</f>
        <v>2025</v>
      </c>
    </row>
    <row r="152" spans="1:10" x14ac:dyDescent="0.25">
      <c r="A152" s="3" t="s">
        <v>291</v>
      </c>
      <c r="B152" s="3" t="s">
        <v>194</v>
      </c>
      <c r="C152" s="3" t="s">
        <v>253</v>
      </c>
      <c r="D152" s="3" t="s">
        <v>254</v>
      </c>
      <c r="E152" s="3">
        <v>2</v>
      </c>
      <c r="F152" s="3">
        <v>19109</v>
      </c>
      <c r="G152" s="3" t="s">
        <v>41</v>
      </c>
      <c r="H152" s="3" t="s">
        <v>37</v>
      </c>
      <c r="I152" s="4">
        <v>45707</v>
      </c>
      <c r="J152" s="5">
        <f>YEAR(SALES[[#This Row],[DATE]])</f>
        <v>2025</v>
      </c>
    </row>
    <row r="153" spans="1:10" x14ac:dyDescent="0.25">
      <c r="A153" s="5" t="s">
        <v>293</v>
      </c>
      <c r="B153" s="5" t="s">
        <v>194</v>
      </c>
      <c r="C153" s="5" t="s">
        <v>222</v>
      </c>
      <c r="D153" s="5" t="s">
        <v>223</v>
      </c>
      <c r="E153" s="5">
        <v>5</v>
      </c>
      <c r="F153" s="5">
        <v>28161</v>
      </c>
      <c r="G153" s="5" t="s">
        <v>54</v>
      </c>
      <c r="H153" s="5" t="s">
        <v>13</v>
      </c>
      <c r="I153" s="6">
        <v>45650</v>
      </c>
      <c r="J153" s="5">
        <f>YEAR(SALES[[#This Row],[DATE]])</f>
        <v>2024</v>
      </c>
    </row>
    <row r="154" spans="1:10" x14ac:dyDescent="0.25">
      <c r="A154" s="3" t="s">
        <v>295</v>
      </c>
      <c r="B154" s="3" t="s">
        <v>194</v>
      </c>
      <c r="C154" s="3" t="s">
        <v>206</v>
      </c>
      <c r="D154" s="3" t="s">
        <v>207</v>
      </c>
      <c r="E154" s="3">
        <v>1</v>
      </c>
      <c r="F154" s="3">
        <v>68987</v>
      </c>
      <c r="G154" s="3" t="s">
        <v>67</v>
      </c>
      <c r="H154" s="3" t="s">
        <v>13</v>
      </c>
      <c r="I154" s="4">
        <v>45739</v>
      </c>
      <c r="J154" s="5">
        <f>YEAR(SALES[[#This Row],[DATE]])</f>
        <v>2025</v>
      </c>
    </row>
    <row r="155" spans="1:10" x14ac:dyDescent="0.25">
      <c r="A155" s="5" t="s">
        <v>297</v>
      </c>
      <c r="B155" s="5" t="s">
        <v>194</v>
      </c>
      <c r="C155" s="5" t="s">
        <v>253</v>
      </c>
      <c r="D155" s="5" t="s">
        <v>254</v>
      </c>
      <c r="E155" s="5">
        <v>1</v>
      </c>
      <c r="F155" s="5">
        <v>88989</v>
      </c>
      <c r="G155" s="5" t="s">
        <v>41</v>
      </c>
      <c r="H155" s="5" t="s">
        <v>13</v>
      </c>
      <c r="I155" s="6">
        <v>45756</v>
      </c>
      <c r="J155" s="5">
        <f>YEAR(SALES[[#This Row],[DATE]])</f>
        <v>2025</v>
      </c>
    </row>
    <row r="156" spans="1:10" x14ac:dyDescent="0.25">
      <c r="A156" s="3" t="s">
        <v>298</v>
      </c>
      <c r="B156" s="3" t="s">
        <v>194</v>
      </c>
      <c r="C156" s="3" t="s">
        <v>199</v>
      </c>
      <c r="D156" s="3" t="s">
        <v>200</v>
      </c>
      <c r="E156" s="3">
        <v>4</v>
      </c>
      <c r="F156" s="3">
        <v>50654</v>
      </c>
      <c r="G156" s="3" t="s">
        <v>45</v>
      </c>
      <c r="H156" s="3" t="s">
        <v>16</v>
      </c>
      <c r="I156" s="4">
        <v>45770</v>
      </c>
      <c r="J156" s="5">
        <f>YEAR(SALES[[#This Row],[DATE]])</f>
        <v>2025</v>
      </c>
    </row>
    <row r="157" spans="1:10" x14ac:dyDescent="0.25">
      <c r="A157" s="5" t="s">
        <v>299</v>
      </c>
      <c r="B157" s="5" t="s">
        <v>194</v>
      </c>
      <c r="C157" s="5" t="s">
        <v>199</v>
      </c>
      <c r="D157" s="5" t="s">
        <v>200</v>
      </c>
      <c r="E157" s="5">
        <v>2</v>
      </c>
      <c r="F157" s="5">
        <v>62646</v>
      </c>
      <c r="G157" s="5" t="s">
        <v>54</v>
      </c>
      <c r="H157" s="5" t="s">
        <v>37</v>
      </c>
      <c r="I157" s="6">
        <v>45902</v>
      </c>
      <c r="J157" s="5">
        <f>YEAR(SALES[[#This Row],[DATE]])</f>
        <v>2025</v>
      </c>
    </row>
    <row r="158" spans="1:10" x14ac:dyDescent="0.25">
      <c r="A158" s="3" t="s">
        <v>300</v>
      </c>
      <c r="B158" s="3" t="s">
        <v>194</v>
      </c>
      <c r="C158" s="3" t="s">
        <v>213</v>
      </c>
      <c r="D158" s="3" t="s">
        <v>214</v>
      </c>
      <c r="E158" s="3">
        <v>4</v>
      </c>
      <c r="F158" s="3">
        <v>22456</v>
      </c>
      <c r="G158" s="3" t="s">
        <v>45</v>
      </c>
      <c r="H158" s="3" t="s">
        <v>37</v>
      </c>
      <c r="I158" s="4">
        <v>45693</v>
      </c>
      <c r="J158" s="5">
        <f>YEAR(SALES[[#This Row],[DATE]])</f>
        <v>2025</v>
      </c>
    </row>
    <row r="159" spans="1:10" x14ac:dyDescent="0.25">
      <c r="A159" s="5" t="s">
        <v>301</v>
      </c>
      <c r="B159" s="5" t="s">
        <v>194</v>
      </c>
      <c r="C159" s="5" t="s">
        <v>203</v>
      </c>
      <c r="D159" s="5" t="s">
        <v>204</v>
      </c>
      <c r="E159" s="5">
        <v>1</v>
      </c>
      <c r="F159" s="5">
        <v>27872</v>
      </c>
      <c r="G159" s="5" t="s">
        <v>33</v>
      </c>
      <c r="H159" s="5" t="s">
        <v>68</v>
      </c>
      <c r="I159" s="6">
        <v>45942</v>
      </c>
      <c r="J159" s="5">
        <f>YEAR(SALES[[#This Row],[DATE]])</f>
        <v>2025</v>
      </c>
    </row>
    <row r="160" spans="1:10" x14ac:dyDescent="0.25">
      <c r="A160" s="3" t="s">
        <v>302</v>
      </c>
      <c r="B160" s="3" t="s">
        <v>194</v>
      </c>
      <c r="C160" s="3" t="s">
        <v>242</v>
      </c>
      <c r="D160" s="3" t="s">
        <v>243</v>
      </c>
      <c r="E160" s="3">
        <v>3</v>
      </c>
      <c r="F160" s="3">
        <v>58146</v>
      </c>
      <c r="G160" s="3" t="s">
        <v>54</v>
      </c>
      <c r="H160" s="3" t="s">
        <v>68</v>
      </c>
      <c r="I160" s="4">
        <v>45632</v>
      </c>
      <c r="J160" s="5">
        <f>YEAR(SALES[[#This Row],[DATE]])</f>
        <v>2024</v>
      </c>
    </row>
    <row r="161" spans="1:10" x14ac:dyDescent="0.25">
      <c r="A161" s="5" t="s">
        <v>303</v>
      </c>
      <c r="B161" s="5" t="s">
        <v>194</v>
      </c>
      <c r="C161" s="5" t="s">
        <v>199</v>
      </c>
      <c r="D161" s="5" t="s">
        <v>200</v>
      </c>
      <c r="E161" s="5">
        <v>4</v>
      </c>
      <c r="F161" s="5">
        <v>71760</v>
      </c>
      <c r="G161" s="5" t="s">
        <v>67</v>
      </c>
      <c r="H161" s="5" t="s">
        <v>13</v>
      </c>
      <c r="I161" s="6">
        <v>45671</v>
      </c>
      <c r="J161" s="5">
        <f>YEAR(SALES[[#This Row],[DATE]])</f>
        <v>2025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7D87-E6C7-4F7D-9A88-3615F8C66F1B}">
  <sheetPr>
    <tabColor rgb="FF7030A0"/>
  </sheetPr>
  <dimension ref="A1:BJ1092"/>
  <sheetViews>
    <sheetView zoomScale="71" workbookViewId="0">
      <selection activeCell="N23" sqref="N23"/>
    </sheetView>
  </sheetViews>
  <sheetFormatPr defaultRowHeight="15" x14ac:dyDescent="0.25"/>
  <cols>
    <col min="4" max="4" width="19.85546875" bestFit="1" customWidth="1"/>
    <col min="5" max="5" width="25.7109375" customWidth="1"/>
    <col min="6" max="6" width="19.85546875" bestFit="1" customWidth="1"/>
    <col min="7" max="7" width="25" customWidth="1"/>
    <col min="8" max="8" width="21.7109375" customWidth="1"/>
    <col min="9" max="9" width="25" customWidth="1"/>
    <col min="10" max="10" width="26.42578125" customWidth="1"/>
    <col min="11" max="11" width="19.28515625" customWidth="1"/>
    <col min="12" max="12" width="17.85546875" bestFit="1" customWidth="1"/>
    <col min="13" max="13" width="17.5703125" customWidth="1"/>
    <col min="14" max="14" width="22" customWidth="1"/>
    <col min="15" max="15" width="15.85546875" customWidth="1"/>
    <col min="16" max="16" width="16.5703125" customWidth="1"/>
    <col min="18" max="18" width="14.7109375" bestFit="1" customWidth="1"/>
  </cols>
  <sheetData>
    <row r="1" spans="1:62" ht="18.75" x14ac:dyDescent="0.3">
      <c r="A1" s="7"/>
      <c r="B1" s="7"/>
      <c r="C1" s="7"/>
      <c r="D1" s="43" t="s">
        <v>306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</row>
    <row r="3" spans="1:6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</row>
    <row r="4" spans="1:62" x14ac:dyDescent="0.25">
      <c r="A4" s="7"/>
      <c r="B4" s="7"/>
      <c r="C4" s="8"/>
      <c r="D4" s="8"/>
      <c r="E4" s="8"/>
      <c r="F4" s="8"/>
      <c r="G4" s="35" t="s">
        <v>317</v>
      </c>
      <c r="H4" s="36" t="s">
        <v>313</v>
      </c>
      <c r="I4" s="8"/>
      <c r="J4" s="31" t="s">
        <v>308</v>
      </c>
      <c r="K4" s="32" t="s">
        <v>314</v>
      </c>
      <c r="L4" s="8"/>
      <c r="M4" s="31" t="s">
        <v>318</v>
      </c>
      <c r="N4" s="32" t="s">
        <v>315</v>
      </c>
      <c r="O4" s="8"/>
      <c r="P4" s="31" t="s">
        <v>319</v>
      </c>
      <c r="Q4" s="32" t="s">
        <v>316</v>
      </c>
      <c r="R4" s="8"/>
      <c r="S4" s="8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x14ac:dyDescent="0.25">
      <c r="A5" s="7"/>
      <c r="B5" s="7"/>
      <c r="C5" s="8"/>
      <c r="D5" s="8"/>
      <c r="E5" s="8"/>
      <c r="F5" s="8"/>
      <c r="G5" s="28" t="s">
        <v>10</v>
      </c>
      <c r="H5" s="30">
        <v>1</v>
      </c>
      <c r="I5" s="8"/>
      <c r="J5" s="41" t="s">
        <v>11</v>
      </c>
      <c r="K5" s="30">
        <v>1</v>
      </c>
      <c r="L5" s="8"/>
      <c r="M5" s="41" t="s">
        <v>13</v>
      </c>
      <c r="N5" s="30">
        <v>1</v>
      </c>
      <c r="O5" s="8"/>
      <c r="P5" s="41" t="s">
        <v>12</v>
      </c>
      <c r="Q5" s="30">
        <v>1</v>
      </c>
      <c r="R5" s="8"/>
      <c r="S5" s="8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2" x14ac:dyDescent="0.25">
      <c r="A6" s="7"/>
      <c r="B6" s="7"/>
      <c r="C6" s="8"/>
      <c r="D6" s="8"/>
      <c r="E6" s="8"/>
      <c r="F6" s="8"/>
      <c r="G6" s="29" t="s">
        <v>18</v>
      </c>
      <c r="H6" s="30">
        <v>2</v>
      </c>
      <c r="I6" s="8"/>
      <c r="J6" s="41" t="s">
        <v>14</v>
      </c>
      <c r="K6" s="30">
        <v>2</v>
      </c>
      <c r="L6" s="8"/>
      <c r="M6" s="41" t="s">
        <v>16</v>
      </c>
      <c r="N6" s="30">
        <v>2</v>
      </c>
      <c r="O6" s="8"/>
      <c r="P6" s="41" t="s">
        <v>15</v>
      </c>
      <c r="Q6" s="30">
        <v>2</v>
      </c>
      <c r="R6" s="8"/>
      <c r="S6" s="8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 spans="1:62" x14ac:dyDescent="0.25">
      <c r="A7" s="7"/>
      <c r="B7" s="7"/>
      <c r="C7" s="8"/>
      <c r="D7" s="8"/>
      <c r="E7" s="8"/>
      <c r="F7" s="8"/>
      <c r="G7" s="28" t="s">
        <v>22</v>
      </c>
      <c r="H7" s="30">
        <v>3</v>
      </c>
      <c r="I7" s="8"/>
      <c r="J7" s="41" t="s">
        <v>19</v>
      </c>
      <c r="K7" s="30">
        <v>3</v>
      </c>
      <c r="L7" s="8"/>
      <c r="M7" s="41" t="s">
        <v>27</v>
      </c>
      <c r="N7" s="30">
        <v>3</v>
      </c>
      <c r="O7" s="8"/>
      <c r="P7" s="41" t="s">
        <v>26</v>
      </c>
      <c r="Q7" s="30">
        <v>3</v>
      </c>
      <c r="R7" s="8"/>
      <c r="S7" s="8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2" x14ac:dyDescent="0.25">
      <c r="A8" s="7"/>
      <c r="B8" s="7"/>
      <c r="C8" s="8"/>
      <c r="D8" s="8"/>
      <c r="E8" s="8"/>
      <c r="F8" s="8"/>
      <c r="G8" s="29" t="s">
        <v>29</v>
      </c>
      <c r="H8" s="30">
        <v>4</v>
      </c>
      <c r="I8" s="8"/>
      <c r="J8" s="41" t="s">
        <v>23</v>
      </c>
      <c r="K8" s="30">
        <v>4</v>
      </c>
      <c r="L8" s="8"/>
      <c r="M8" s="41" t="s">
        <v>37</v>
      </c>
      <c r="N8" s="30">
        <v>4</v>
      </c>
      <c r="O8" s="8"/>
      <c r="P8" s="41" t="s">
        <v>33</v>
      </c>
      <c r="Q8" s="30">
        <v>4</v>
      </c>
      <c r="R8" s="8"/>
      <c r="S8" s="8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</row>
    <row r="9" spans="1:62" x14ac:dyDescent="0.25">
      <c r="A9" s="7"/>
      <c r="B9" s="7"/>
      <c r="C9" s="8"/>
      <c r="D9" s="35" t="s">
        <v>309</v>
      </c>
      <c r="E9" s="36" t="s">
        <v>312</v>
      </c>
      <c r="F9" s="8"/>
      <c r="G9" s="28" t="s">
        <v>43</v>
      </c>
      <c r="H9" s="30">
        <v>5</v>
      </c>
      <c r="I9" s="8"/>
      <c r="J9" s="41" t="s">
        <v>25</v>
      </c>
      <c r="K9" s="30">
        <v>5</v>
      </c>
      <c r="L9" s="8"/>
      <c r="M9" s="42" t="s">
        <v>68</v>
      </c>
      <c r="N9" s="34">
        <v>5</v>
      </c>
      <c r="O9" s="8"/>
      <c r="P9" s="41" t="s">
        <v>36</v>
      </c>
      <c r="Q9" s="30">
        <v>5</v>
      </c>
      <c r="R9" s="8"/>
      <c r="S9" s="8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</row>
    <row r="10" spans="1:62" x14ac:dyDescent="0.25">
      <c r="A10" s="7"/>
      <c r="B10" s="7"/>
      <c r="C10" s="8"/>
      <c r="D10" s="37" t="s">
        <v>9</v>
      </c>
      <c r="E10" s="38">
        <v>1</v>
      </c>
      <c r="F10" s="8"/>
      <c r="G10" s="29" t="s">
        <v>51</v>
      </c>
      <c r="H10" s="30">
        <v>6</v>
      </c>
      <c r="I10" s="8"/>
      <c r="J10" s="41" t="s">
        <v>30</v>
      </c>
      <c r="K10" s="30">
        <v>6</v>
      </c>
      <c r="L10" s="8"/>
      <c r="M10" s="8"/>
      <c r="N10" s="8"/>
      <c r="O10" s="8"/>
      <c r="P10" s="41" t="s">
        <v>41</v>
      </c>
      <c r="Q10" s="30">
        <v>6</v>
      </c>
      <c r="R10" s="8"/>
      <c r="S10" s="8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</row>
    <row r="11" spans="1:62" x14ac:dyDescent="0.25">
      <c r="A11" s="7"/>
      <c r="B11" s="7"/>
      <c r="C11" s="8"/>
      <c r="D11" s="39" t="s">
        <v>194</v>
      </c>
      <c r="E11" s="40">
        <v>2</v>
      </c>
      <c r="F11" s="2"/>
      <c r="G11" s="28" t="s">
        <v>195</v>
      </c>
      <c r="H11" s="30">
        <v>7</v>
      </c>
      <c r="I11" s="8"/>
      <c r="J11" s="41" t="s">
        <v>40</v>
      </c>
      <c r="K11" s="30">
        <v>7</v>
      </c>
      <c r="L11" s="8"/>
      <c r="M11" s="8"/>
      <c r="N11" s="8"/>
      <c r="O11" s="8"/>
      <c r="P11" s="41" t="s">
        <v>45</v>
      </c>
      <c r="Q11" s="30">
        <v>7</v>
      </c>
      <c r="R11" s="8"/>
      <c r="S11" s="8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</row>
    <row r="12" spans="1:62" x14ac:dyDescent="0.25">
      <c r="A12" s="7"/>
      <c r="B12" s="7"/>
      <c r="C12" s="8"/>
      <c r="D12" s="8"/>
      <c r="E12" s="8"/>
      <c r="F12" s="8"/>
      <c r="G12" s="29" t="s">
        <v>199</v>
      </c>
      <c r="H12" s="30">
        <v>8</v>
      </c>
      <c r="I12" s="8"/>
      <c r="J12" s="41" t="s">
        <v>44</v>
      </c>
      <c r="K12" s="30">
        <v>8</v>
      </c>
      <c r="L12" s="8"/>
      <c r="M12" s="8"/>
      <c r="N12" s="8"/>
      <c r="O12" s="8"/>
      <c r="P12" s="41" t="s">
        <v>54</v>
      </c>
      <c r="Q12" s="30">
        <v>8</v>
      </c>
      <c r="R12" s="8"/>
      <c r="S12" s="8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</row>
    <row r="13" spans="1:62" x14ac:dyDescent="0.25">
      <c r="A13" s="7"/>
      <c r="B13" s="7"/>
      <c r="C13" s="8"/>
      <c r="D13" s="8"/>
      <c r="E13" s="8"/>
      <c r="F13" s="8"/>
      <c r="G13" s="28" t="s">
        <v>203</v>
      </c>
      <c r="H13" s="30">
        <v>9</v>
      </c>
      <c r="I13" s="8"/>
      <c r="J13" s="41" t="s">
        <v>52</v>
      </c>
      <c r="K13" s="30">
        <v>9</v>
      </c>
      <c r="L13" s="8"/>
      <c r="M13" s="8"/>
      <c r="N13" s="8"/>
      <c r="O13" s="8"/>
      <c r="P13" s="41" t="s">
        <v>61</v>
      </c>
      <c r="Q13" s="30">
        <v>9</v>
      </c>
      <c r="R13" s="8"/>
      <c r="S13" s="8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</row>
    <row r="14" spans="1:62" x14ac:dyDescent="0.25">
      <c r="A14" s="7"/>
      <c r="B14" s="7"/>
      <c r="C14" s="8"/>
      <c r="D14" s="8"/>
      <c r="E14" s="8"/>
      <c r="F14" s="8"/>
      <c r="G14" s="29" t="s">
        <v>206</v>
      </c>
      <c r="H14" s="30">
        <v>10</v>
      </c>
      <c r="I14" s="8"/>
      <c r="J14" s="41" t="s">
        <v>66</v>
      </c>
      <c r="K14" s="30">
        <v>10</v>
      </c>
      <c r="L14" s="8"/>
      <c r="M14" s="8"/>
      <c r="N14" s="8"/>
      <c r="O14" s="8"/>
      <c r="P14" s="42" t="s">
        <v>67</v>
      </c>
      <c r="Q14" s="34">
        <v>10</v>
      </c>
      <c r="R14" s="8"/>
      <c r="S14" s="8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</row>
    <row r="15" spans="1:62" x14ac:dyDescent="0.25">
      <c r="A15" s="7"/>
      <c r="B15" s="7"/>
      <c r="C15" s="8"/>
      <c r="D15" s="8"/>
      <c r="E15" s="8"/>
      <c r="F15" s="8"/>
      <c r="G15" s="28" t="s">
        <v>209</v>
      </c>
      <c r="H15" s="30">
        <v>11</v>
      </c>
      <c r="I15" s="8"/>
      <c r="J15" s="41" t="s">
        <v>71</v>
      </c>
      <c r="K15" s="30">
        <v>11</v>
      </c>
      <c r="L15" s="8"/>
      <c r="M15" s="8"/>
      <c r="N15" s="8"/>
      <c r="O15" s="8"/>
      <c r="P15" s="8"/>
      <c r="Q15" s="8"/>
      <c r="R15" s="8"/>
      <c r="S15" s="8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</row>
    <row r="16" spans="1:62" x14ac:dyDescent="0.25">
      <c r="A16" s="7"/>
      <c r="B16" s="7"/>
      <c r="C16" s="8"/>
      <c r="D16" s="8"/>
      <c r="E16" s="8"/>
      <c r="F16" s="8"/>
      <c r="G16" s="29" t="s">
        <v>213</v>
      </c>
      <c r="H16" s="30">
        <v>12</v>
      </c>
      <c r="I16" s="8"/>
      <c r="J16" s="41" t="s">
        <v>87</v>
      </c>
      <c r="K16" s="30">
        <v>12</v>
      </c>
      <c r="L16" s="8"/>
      <c r="M16" s="8"/>
      <c r="N16" s="8"/>
      <c r="O16" s="8"/>
      <c r="P16" s="8"/>
      <c r="Q16" s="8"/>
      <c r="R16" s="8"/>
      <c r="S16" s="8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</row>
    <row r="17" spans="1:62" x14ac:dyDescent="0.25">
      <c r="A17" s="7"/>
      <c r="B17" s="7"/>
      <c r="C17" s="8"/>
      <c r="D17" s="8"/>
      <c r="E17" s="8"/>
      <c r="F17" s="8"/>
      <c r="G17" s="28" t="s">
        <v>222</v>
      </c>
      <c r="H17" s="30">
        <v>13</v>
      </c>
      <c r="I17" s="8"/>
      <c r="J17" s="41" t="s">
        <v>196</v>
      </c>
      <c r="K17" s="30">
        <v>13</v>
      </c>
      <c r="L17" s="8"/>
      <c r="M17" s="8"/>
      <c r="N17" s="8"/>
      <c r="O17" s="8"/>
      <c r="P17" s="8"/>
      <c r="Q17" s="8"/>
      <c r="R17" s="8"/>
      <c r="S17" s="8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</row>
    <row r="18" spans="1:62" x14ac:dyDescent="0.25">
      <c r="A18" s="7"/>
      <c r="B18" s="7"/>
      <c r="C18" s="8"/>
      <c r="D18" s="8"/>
      <c r="E18" s="8"/>
      <c r="F18" s="8"/>
      <c r="G18" s="29" t="s">
        <v>227</v>
      </c>
      <c r="H18" s="30">
        <v>14</v>
      </c>
      <c r="I18" s="8"/>
      <c r="J18" s="41" t="s">
        <v>200</v>
      </c>
      <c r="K18" s="30">
        <v>14</v>
      </c>
      <c r="L18" s="8"/>
      <c r="M18" s="8"/>
      <c r="N18" s="8"/>
      <c r="O18" s="8"/>
      <c r="P18" s="8"/>
      <c r="Q18" s="8"/>
      <c r="R18" s="8"/>
      <c r="S18" s="8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</row>
    <row r="19" spans="1:62" x14ac:dyDescent="0.25">
      <c r="A19" s="7"/>
      <c r="B19" s="7"/>
      <c r="C19" s="8"/>
      <c r="D19" s="8"/>
      <c r="E19" s="8"/>
      <c r="F19" s="8"/>
      <c r="G19" s="28" t="s">
        <v>242</v>
      </c>
      <c r="H19" s="30">
        <v>15</v>
      </c>
      <c r="I19" s="8"/>
      <c r="J19" s="41" t="s">
        <v>204</v>
      </c>
      <c r="K19" s="30">
        <v>15</v>
      </c>
      <c r="L19" s="8"/>
      <c r="M19" s="8"/>
      <c r="N19" s="8"/>
      <c r="O19" s="8"/>
      <c r="P19" s="8"/>
      <c r="Q19" s="8"/>
      <c r="R19" s="8"/>
      <c r="S19" s="8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</row>
    <row r="20" spans="1:62" x14ac:dyDescent="0.25">
      <c r="A20" s="7"/>
      <c r="B20" s="7"/>
      <c r="C20" s="8"/>
      <c r="D20" s="8"/>
      <c r="E20" s="8"/>
      <c r="F20" s="8"/>
      <c r="G20" s="33" t="s">
        <v>253</v>
      </c>
      <c r="H20" s="34">
        <v>16</v>
      </c>
      <c r="I20" s="8"/>
      <c r="J20" s="41" t="s">
        <v>207</v>
      </c>
      <c r="K20" s="30">
        <v>16</v>
      </c>
      <c r="L20" s="8"/>
      <c r="M20" s="8"/>
      <c r="N20" s="8"/>
      <c r="O20" s="8"/>
      <c r="P20" s="8"/>
      <c r="Q20" s="8"/>
      <c r="R20" s="8"/>
      <c r="S20" s="8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</row>
    <row r="21" spans="1:62" x14ac:dyDescent="0.25">
      <c r="A21" s="7"/>
      <c r="B21" s="7"/>
      <c r="C21" s="8"/>
      <c r="D21" s="8"/>
      <c r="E21" s="8"/>
      <c r="F21" s="8"/>
      <c r="G21" s="8"/>
      <c r="H21" s="8"/>
      <c r="I21" s="8"/>
      <c r="J21" s="41" t="s">
        <v>210</v>
      </c>
      <c r="K21" s="30">
        <v>17</v>
      </c>
      <c r="L21" s="8"/>
      <c r="M21" s="8"/>
      <c r="N21" s="8"/>
      <c r="O21" s="8"/>
      <c r="P21" s="8"/>
      <c r="Q21" s="8"/>
      <c r="R21" s="8"/>
      <c r="S21" s="8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x14ac:dyDescent="0.25">
      <c r="A22" s="7"/>
      <c r="B22" s="7"/>
      <c r="C22" s="8"/>
      <c r="D22" s="8"/>
      <c r="E22" s="8"/>
      <c r="F22" s="8"/>
      <c r="G22" s="8"/>
      <c r="H22" s="8"/>
      <c r="I22" s="8"/>
      <c r="J22" s="41" t="s">
        <v>214</v>
      </c>
      <c r="K22" s="30">
        <v>18</v>
      </c>
      <c r="L22" s="8"/>
      <c r="M22" s="8"/>
      <c r="N22" s="8"/>
      <c r="O22" s="8"/>
      <c r="P22" s="8"/>
      <c r="Q22" s="8"/>
      <c r="R22" s="8"/>
      <c r="S22" s="8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x14ac:dyDescent="0.25">
      <c r="A23" s="7"/>
      <c r="B23" s="7"/>
      <c r="C23" s="8"/>
      <c r="D23" s="8"/>
      <c r="E23" s="8"/>
      <c r="F23" s="8"/>
      <c r="G23" s="8"/>
      <c r="H23" s="8"/>
      <c r="I23" s="8"/>
      <c r="J23" s="41" t="s">
        <v>223</v>
      </c>
      <c r="K23" s="30">
        <v>19</v>
      </c>
      <c r="L23" s="8"/>
      <c r="M23" s="8"/>
      <c r="N23" s="8"/>
      <c r="O23" s="8"/>
      <c r="P23" s="8"/>
      <c r="Q23" s="8"/>
      <c r="R23" s="8"/>
      <c r="S23" s="8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x14ac:dyDescent="0.25">
      <c r="A24" s="7"/>
      <c r="B24" s="7"/>
      <c r="C24" s="8"/>
      <c r="D24" s="8"/>
      <c r="E24" s="8"/>
      <c r="F24" s="8"/>
      <c r="G24" s="8"/>
      <c r="H24" s="8"/>
      <c r="I24" s="8"/>
      <c r="J24" s="41" t="s">
        <v>228</v>
      </c>
      <c r="K24" s="30">
        <v>20</v>
      </c>
      <c r="L24" s="8"/>
      <c r="M24" s="8"/>
      <c r="N24" s="8"/>
      <c r="O24" s="8"/>
      <c r="P24" s="8"/>
      <c r="Q24" s="8"/>
      <c r="R24" s="8"/>
      <c r="S24" s="8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x14ac:dyDescent="0.25">
      <c r="A25" s="7"/>
      <c r="B25" s="7"/>
      <c r="C25" s="8"/>
      <c r="D25" s="8"/>
      <c r="E25" s="8"/>
      <c r="F25" s="8"/>
      <c r="G25" s="8"/>
      <c r="H25" s="8"/>
      <c r="I25" s="8"/>
      <c r="J25" s="41" t="s">
        <v>243</v>
      </c>
      <c r="K25" s="30">
        <v>21</v>
      </c>
      <c r="L25" s="8"/>
      <c r="M25" s="8"/>
      <c r="N25" s="8"/>
      <c r="O25" s="8"/>
      <c r="P25" s="8"/>
      <c r="Q25" s="8"/>
      <c r="R25" s="8"/>
      <c r="S25" s="8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x14ac:dyDescent="0.25">
      <c r="A26" s="7"/>
      <c r="B26" s="7"/>
      <c r="C26" s="8"/>
      <c r="D26" s="8"/>
      <c r="E26" s="8"/>
      <c r="F26" s="8"/>
      <c r="G26" s="8"/>
      <c r="H26" s="8"/>
      <c r="I26" s="8"/>
      <c r="J26" s="42" t="s">
        <v>254</v>
      </c>
      <c r="K26" s="34">
        <v>22</v>
      </c>
      <c r="L26" s="8"/>
      <c r="M26" s="8"/>
      <c r="N26" s="8"/>
      <c r="O26" s="8"/>
      <c r="P26" s="8"/>
      <c r="Q26" s="8"/>
      <c r="R26" s="8"/>
      <c r="S26" s="8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x14ac:dyDescent="0.25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2" ht="18.75" x14ac:dyDescent="0.3">
      <c r="A33" s="7"/>
      <c r="B33" s="7"/>
      <c r="C33" s="7"/>
      <c r="D33" s="44" t="s">
        <v>305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2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2" ht="15.75" x14ac:dyDescent="0.25">
      <c r="A35" s="7"/>
      <c r="B35" s="7"/>
      <c r="C35" s="7"/>
      <c r="D35" s="7"/>
      <c r="E35" s="7"/>
      <c r="F35" s="24" t="s">
        <v>0</v>
      </c>
      <c r="G35" s="25" t="s">
        <v>310</v>
      </c>
      <c r="H35" s="25" t="s">
        <v>304</v>
      </c>
      <c r="I35" s="25" t="s">
        <v>311</v>
      </c>
      <c r="J35" s="26" t="s">
        <v>4</v>
      </c>
      <c r="K35" s="26" t="s">
        <v>5</v>
      </c>
      <c r="L35" s="25" t="s">
        <v>6</v>
      </c>
      <c r="M35" s="25" t="s">
        <v>7</v>
      </c>
      <c r="N35" s="26" t="s">
        <v>8</v>
      </c>
      <c r="O35" s="27" t="s">
        <v>307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2" x14ac:dyDescent="0.25">
      <c r="A36" s="7"/>
      <c r="B36" s="7"/>
      <c r="C36" s="7"/>
      <c r="D36" s="7"/>
      <c r="E36" s="7"/>
      <c r="F36" s="16" t="s">
        <v>0</v>
      </c>
      <c r="G36" s="10">
        <v>1</v>
      </c>
      <c r="H36" s="10">
        <v>1</v>
      </c>
      <c r="I36" s="13">
        <v>1</v>
      </c>
      <c r="J36" s="13">
        <v>5</v>
      </c>
      <c r="K36" s="13">
        <v>62011</v>
      </c>
      <c r="L36" s="13">
        <v>1</v>
      </c>
      <c r="M36" s="13">
        <v>1</v>
      </c>
      <c r="N36" s="11">
        <v>45931</v>
      </c>
      <c r="O36" s="18">
        <v>2025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2" x14ac:dyDescent="0.25">
      <c r="A37" s="7"/>
      <c r="B37" s="7"/>
      <c r="C37" s="7"/>
      <c r="D37" s="7"/>
      <c r="E37" s="7"/>
      <c r="F37" s="17" t="s">
        <v>0</v>
      </c>
      <c r="G37" s="12">
        <v>1</v>
      </c>
      <c r="H37" s="12">
        <v>1</v>
      </c>
      <c r="I37" s="13">
        <v>2</v>
      </c>
      <c r="J37" s="13">
        <v>3</v>
      </c>
      <c r="K37" s="13">
        <v>98041</v>
      </c>
      <c r="L37" s="13">
        <v>2</v>
      </c>
      <c r="M37" s="13">
        <v>2</v>
      </c>
      <c r="N37" s="11">
        <v>45902</v>
      </c>
      <c r="O37" s="18">
        <v>2025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2" x14ac:dyDescent="0.25">
      <c r="A38" s="7"/>
      <c r="B38" s="7"/>
      <c r="C38" s="7"/>
      <c r="D38" s="7"/>
      <c r="E38" s="7"/>
      <c r="F38" s="16" t="s">
        <v>17</v>
      </c>
      <c r="G38" s="10">
        <v>1</v>
      </c>
      <c r="H38" s="10">
        <v>2</v>
      </c>
      <c r="I38" s="13">
        <v>3</v>
      </c>
      <c r="J38" s="13">
        <v>1</v>
      </c>
      <c r="K38" s="13">
        <v>88403</v>
      </c>
      <c r="L38" s="13">
        <v>2</v>
      </c>
      <c r="M38" s="13">
        <v>2</v>
      </c>
      <c r="N38" s="11" t="s">
        <v>20</v>
      </c>
      <c r="O38" s="18">
        <v>2024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2" x14ac:dyDescent="0.25">
      <c r="A39" s="7"/>
      <c r="B39" s="7"/>
      <c r="C39" s="7"/>
      <c r="D39" s="7"/>
      <c r="E39" s="7"/>
      <c r="F39" s="17" t="s">
        <v>21</v>
      </c>
      <c r="G39" s="12">
        <v>1</v>
      </c>
      <c r="H39" s="12">
        <v>3</v>
      </c>
      <c r="I39" s="13">
        <v>4</v>
      </c>
      <c r="J39" s="13">
        <v>3</v>
      </c>
      <c r="K39" s="13">
        <v>96072</v>
      </c>
      <c r="L39" s="13">
        <v>1</v>
      </c>
      <c r="M39" s="13">
        <v>1</v>
      </c>
      <c r="N39" s="11">
        <v>45597</v>
      </c>
      <c r="O39" s="18">
        <v>2024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2" x14ac:dyDescent="0.25">
      <c r="A40" s="7"/>
      <c r="B40" s="7"/>
      <c r="C40" s="7"/>
      <c r="D40" s="7"/>
      <c r="E40" s="7"/>
      <c r="F40" s="16" t="s">
        <v>24</v>
      </c>
      <c r="G40" s="10">
        <v>1</v>
      </c>
      <c r="H40" s="10">
        <v>2</v>
      </c>
      <c r="I40" s="13">
        <v>5</v>
      </c>
      <c r="J40" s="13">
        <v>2</v>
      </c>
      <c r="K40" s="13">
        <v>100311</v>
      </c>
      <c r="L40" s="13">
        <v>3</v>
      </c>
      <c r="M40" s="13">
        <v>3</v>
      </c>
      <c r="N40" s="11">
        <v>45752</v>
      </c>
      <c r="O40" s="18">
        <v>2025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2" x14ac:dyDescent="0.25">
      <c r="A41" s="7"/>
      <c r="B41" s="7"/>
      <c r="C41" s="7"/>
      <c r="D41" s="7"/>
      <c r="E41" s="7"/>
      <c r="F41" s="17" t="s">
        <v>28</v>
      </c>
      <c r="G41" s="12">
        <v>1</v>
      </c>
      <c r="H41" s="12">
        <v>4</v>
      </c>
      <c r="I41" s="13">
        <v>6</v>
      </c>
      <c r="J41" s="13">
        <v>4</v>
      </c>
      <c r="K41" s="13">
        <v>87672</v>
      </c>
      <c r="L41" s="13">
        <v>2</v>
      </c>
      <c r="M41" s="13">
        <v>2</v>
      </c>
      <c r="N41" s="11" t="s">
        <v>31</v>
      </c>
      <c r="O41" s="18">
        <v>2024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2" x14ac:dyDescent="0.25">
      <c r="A42" s="7"/>
      <c r="B42" s="7"/>
      <c r="C42" s="7"/>
      <c r="D42" s="7"/>
      <c r="E42" s="7"/>
      <c r="F42" s="16" t="s">
        <v>32</v>
      </c>
      <c r="G42" s="10">
        <v>1</v>
      </c>
      <c r="H42" s="10">
        <v>2</v>
      </c>
      <c r="I42" s="13">
        <v>5</v>
      </c>
      <c r="J42" s="13">
        <v>4</v>
      </c>
      <c r="K42" s="13">
        <v>84444</v>
      </c>
      <c r="L42" s="13">
        <v>4</v>
      </c>
      <c r="M42" s="13">
        <v>2</v>
      </c>
      <c r="N42" s="11" t="s">
        <v>34</v>
      </c>
      <c r="O42" s="18">
        <v>2024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2" x14ac:dyDescent="0.25">
      <c r="A43" s="7"/>
      <c r="B43" s="7"/>
      <c r="C43" s="7"/>
      <c r="D43" s="7"/>
      <c r="E43" s="7"/>
      <c r="F43" s="17" t="s">
        <v>35</v>
      </c>
      <c r="G43" s="12">
        <v>1</v>
      </c>
      <c r="H43" s="12">
        <v>2</v>
      </c>
      <c r="I43" s="13">
        <v>5</v>
      </c>
      <c r="J43" s="13">
        <v>4</v>
      </c>
      <c r="K43" s="13">
        <v>96499</v>
      </c>
      <c r="L43" s="13">
        <v>5</v>
      </c>
      <c r="M43" s="13">
        <v>4</v>
      </c>
      <c r="N43" s="11" t="s">
        <v>38</v>
      </c>
      <c r="O43" s="18">
        <v>2025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2" x14ac:dyDescent="0.25">
      <c r="A44" s="7"/>
      <c r="B44" s="7"/>
      <c r="C44" s="7"/>
      <c r="D44" s="7"/>
      <c r="E44" s="7"/>
      <c r="F44" s="16" t="s">
        <v>39</v>
      </c>
      <c r="G44" s="10">
        <v>1</v>
      </c>
      <c r="H44" s="10">
        <v>4</v>
      </c>
      <c r="I44" s="13">
        <v>7</v>
      </c>
      <c r="J44" s="13">
        <v>5</v>
      </c>
      <c r="K44" s="13">
        <v>91084</v>
      </c>
      <c r="L44" s="13">
        <v>6</v>
      </c>
      <c r="M44" s="13">
        <v>2</v>
      </c>
      <c r="N44" s="11">
        <v>45542</v>
      </c>
      <c r="O44" s="18">
        <v>2024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2" x14ac:dyDescent="0.25">
      <c r="A45" s="7"/>
      <c r="B45" s="7"/>
      <c r="C45" s="7"/>
      <c r="D45" s="7"/>
      <c r="E45" s="7"/>
      <c r="F45" s="17" t="s">
        <v>42</v>
      </c>
      <c r="G45" s="12">
        <v>1</v>
      </c>
      <c r="H45" s="12">
        <v>5</v>
      </c>
      <c r="I45" s="13">
        <v>8</v>
      </c>
      <c r="J45" s="13">
        <v>5</v>
      </c>
      <c r="K45" s="13">
        <v>100663</v>
      </c>
      <c r="L45" s="13">
        <v>7</v>
      </c>
      <c r="M45" s="13">
        <v>1</v>
      </c>
      <c r="N45" s="11">
        <v>45999</v>
      </c>
      <c r="O45" s="18">
        <v>2025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</row>
    <row r="46" spans="1:62" x14ac:dyDescent="0.25">
      <c r="A46" s="7"/>
      <c r="B46" s="7"/>
      <c r="C46" s="7"/>
      <c r="D46" s="7"/>
      <c r="E46" s="7"/>
      <c r="F46" s="16" t="s">
        <v>46</v>
      </c>
      <c r="G46" s="10">
        <v>1</v>
      </c>
      <c r="H46" s="10">
        <v>2</v>
      </c>
      <c r="I46" s="13">
        <v>3</v>
      </c>
      <c r="J46" s="13">
        <v>5</v>
      </c>
      <c r="K46" s="13">
        <v>116551</v>
      </c>
      <c r="L46" s="13">
        <v>3</v>
      </c>
      <c r="M46" s="13">
        <v>3</v>
      </c>
      <c r="N46" s="11" t="s">
        <v>47</v>
      </c>
      <c r="O46" s="18">
        <v>2025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2" x14ac:dyDescent="0.25">
      <c r="A47" s="7"/>
      <c r="B47" s="7"/>
      <c r="C47" s="7"/>
      <c r="D47" s="7"/>
      <c r="E47" s="7"/>
      <c r="F47" s="17" t="s">
        <v>48</v>
      </c>
      <c r="G47" s="12">
        <v>1</v>
      </c>
      <c r="H47" s="12">
        <v>1</v>
      </c>
      <c r="I47" s="13">
        <v>2</v>
      </c>
      <c r="J47" s="13">
        <v>5</v>
      </c>
      <c r="K47" s="13">
        <v>62573</v>
      </c>
      <c r="L47" s="13">
        <v>2</v>
      </c>
      <c r="M47" s="13">
        <v>2</v>
      </c>
      <c r="N47" s="11" t="s">
        <v>49</v>
      </c>
      <c r="O47" s="18">
        <v>2023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2" x14ac:dyDescent="0.25">
      <c r="A48" s="7"/>
      <c r="B48" s="7"/>
      <c r="C48" s="7"/>
      <c r="D48" s="7"/>
      <c r="E48" s="7"/>
      <c r="F48" s="16" t="s">
        <v>50</v>
      </c>
      <c r="G48" s="10">
        <v>1</v>
      </c>
      <c r="H48" s="10">
        <v>6</v>
      </c>
      <c r="I48" s="13">
        <v>9</v>
      </c>
      <c r="J48" s="13">
        <v>2</v>
      </c>
      <c r="K48" s="13">
        <v>85445</v>
      </c>
      <c r="L48" s="13">
        <v>2</v>
      </c>
      <c r="M48" s="13">
        <v>2</v>
      </c>
      <c r="N48" s="11">
        <v>45569</v>
      </c>
      <c r="O48" s="18">
        <v>2024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1:62" x14ac:dyDescent="0.25">
      <c r="A49" s="7"/>
      <c r="B49" s="7"/>
      <c r="C49" s="7"/>
      <c r="D49" s="7"/>
      <c r="E49" s="7"/>
      <c r="F49" s="17" t="s">
        <v>53</v>
      </c>
      <c r="G49" s="12">
        <v>1</v>
      </c>
      <c r="H49" s="12">
        <v>3</v>
      </c>
      <c r="I49" s="13">
        <v>4</v>
      </c>
      <c r="J49" s="13">
        <v>5</v>
      </c>
      <c r="K49" s="13">
        <v>67954</v>
      </c>
      <c r="L49" s="13">
        <v>8</v>
      </c>
      <c r="M49" s="13">
        <v>4</v>
      </c>
      <c r="N49" s="11">
        <v>45540</v>
      </c>
      <c r="O49" s="18">
        <v>2024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</row>
    <row r="50" spans="1:62" x14ac:dyDescent="0.25">
      <c r="A50" s="7"/>
      <c r="B50" s="7"/>
      <c r="C50" s="7"/>
      <c r="D50" s="7"/>
      <c r="E50" s="7"/>
      <c r="F50" s="16" t="s">
        <v>55</v>
      </c>
      <c r="G50" s="10">
        <v>1</v>
      </c>
      <c r="H50" s="10">
        <v>4</v>
      </c>
      <c r="I50" s="13">
        <v>6</v>
      </c>
      <c r="J50" s="13">
        <v>2</v>
      </c>
      <c r="K50" s="13">
        <v>72979</v>
      </c>
      <c r="L50" s="13">
        <v>3</v>
      </c>
      <c r="M50" s="13">
        <v>3</v>
      </c>
      <c r="N50" s="11" t="s">
        <v>56</v>
      </c>
      <c r="O50" s="18">
        <v>2025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</row>
    <row r="51" spans="1:62" x14ac:dyDescent="0.25">
      <c r="A51" s="7"/>
      <c r="B51" s="7"/>
      <c r="C51" s="7"/>
      <c r="D51" s="7"/>
      <c r="E51" s="7"/>
      <c r="F51" s="17" t="s">
        <v>57</v>
      </c>
      <c r="G51" s="12">
        <v>1</v>
      </c>
      <c r="H51" s="12">
        <v>2</v>
      </c>
      <c r="I51" s="13">
        <v>3</v>
      </c>
      <c r="J51" s="13">
        <v>4</v>
      </c>
      <c r="K51" s="13">
        <v>95618</v>
      </c>
      <c r="L51" s="13">
        <v>4</v>
      </c>
      <c r="M51" s="13">
        <v>2</v>
      </c>
      <c r="N51" s="11">
        <v>45450</v>
      </c>
      <c r="O51" s="18">
        <v>2024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</row>
    <row r="52" spans="1:62" x14ac:dyDescent="0.25">
      <c r="A52" s="7"/>
      <c r="B52" s="7"/>
      <c r="C52" s="7"/>
      <c r="D52" s="7"/>
      <c r="E52" s="7"/>
      <c r="F52" s="16" t="s">
        <v>58</v>
      </c>
      <c r="G52" s="10">
        <v>1</v>
      </c>
      <c r="H52" s="10">
        <v>3</v>
      </c>
      <c r="I52" s="13">
        <v>4</v>
      </c>
      <c r="J52" s="13">
        <v>1</v>
      </c>
      <c r="K52" s="13">
        <v>73160</v>
      </c>
      <c r="L52" s="13">
        <v>1</v>
      </c>
      <c r="M52" s="13">
        <v>1</v>
      </c>
      <c r="N52" s="11" t="s">
        <v>59</v>
      </c>
      <c r="O52" s="18">
        <v>2024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</row>
    <row r="53" spans="1:62" x14ac:dyDescent="0.25">
      <c r="A53" s="7"/>
      <c r="B53" s="7"/>
      <c r="C53" s="7"/>
      <c r="D53" s="7"/>
      <c r="E53" s="7"/>
      <c r="F53" s="17" t="s">
        <v>60</v>
      </c>
      <c r="G53" s="12">
        <v>1</v>
      </c>
      <c r="H53" s="12">
        <v>1</v>
      </c>
      <c r="I53" s="13">
        <v>2</v>
      </c>
      <c r="J53" s="13">
        <v>3</v>
      </c>
      <c r="K53" s="13">
        <v>70126</v>
      </c>
      <c r="L53" s="13">
        <v>9</v>
      </c>
      <c r="M53" s="13">
        <v>3</v>
      </c>
      <c r="N53" s="11" t="s">
        <v>62</v>
      </c>
      <c r="O53" s="18">
        <v>2025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</row>
    <row r="54" spans="1:62" x14ac:dyDescent="0.25">
      <c r="A54" s="7"/>
      <c r="B54" s="7"/>
      <c r="C54" s="7"/>
      <c r="D54" s="7"/>
      <c r="E54" s="7"/>
      <c r="F54" s="16" t="s">
        <v>63</v>
      </c>
      <c r="G54" s="10">
        <v>1</v>
      </c>
      <c r="H54" s="10">
        <v>1</v>
      </c>
      <c r="I54" s="13">
        <v>1</v>
      </c>
      <c r="J54" s="13">
        <v>2</v>
      </c>
      <c r="K54" s="13">
        <v>57240</v>
      </c>
      <c r="L54" s="13">
        <v>3</v>
      </c>
      <c r="M54" s="13">
        <v>3</v>
      </c>
      <c r="N54" s="11" t="s">
        <v>64</v>
      </c>
      <c r="O54" s="18">
        <v>2025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</row>
    <row r="55" spans="1:62" x14ac:dyDescent="0.25">
      <c r="A55" s="7"/>
      <c r="B55" s="7"/>
      <c r="C55" s="7"/>
      <c r="D55" s="7"/>
      <c r="E55" s="7"/>
      <c r="F55" s="17" t="s">
        <v>65</v>
      </c>
      <c r="G55" s="12">
        <v>1</v>
      </c>
      <c r="H55" s="12">
        <v>3</v>
      </c>
      <c r="I55" s="13">
        <v>10</v>
      </c>
      <c r="J55" s="13">
        <v>1</v>
      </c>
      <c r="K55" s="13">
        <v>119905</v>
      </c>
      <c r="L55" s="13">
        <v>10</v>
      </c>
      <c r="M55" s="13">
        <v>5</v>
      </c>
      <c r="N55" s="11" t="s">
        <v>69</v>
      </c>
      <c r="O55" s="18">
        <v>2025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</row>
    <row r="56" spans="1:62" x14ac:dyDescent="0.25">
      <c r="A56" s="7"/>
      <c r="B56" s="7"/>
      <c r="C56" s="7"/>
      <c r="D56" s="7"/>
      <c r="E56" s="7"/>
      <c r="F56" s="16" t="s">
        <v>70</v>
      </c>
      <c r="G56" s="10">
        <v>1</v>
      </c>
      <c r="H56" s="10">
        <v>5</v>
      </c>
      <c r="I56" s="13">
        <v>11</v>
      </c>
      <c r="J56" s="13">
        <v>5</v>
      </c>
      <c r="K56" s="13">
        <v>107793</v>
      </c>
      <c r="L56" s="13">
        <v>2</v>
      </c>
      <c r="M56" s="13">
        <v>2</v>
      </c>
      <c r="N56" s="11">
        <v>45964</v>
      </c>
      <c r="O56" s="18">
        <v>2025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</row>
    <row r="57" spans="1:62" x14ac:dyDescent="0.25">
      <c r="A57" s="7"/>
      <c r="B57" s="7"/>
      <c r="C57" s="7"/>
      <c r="D57" s="7"/>
      <c r="E57" s="7"/>
      <c r="F57" s="17" t="s">
        <v>72</v>
      </c>
      <c r="G57" s="12">
        <v>1</v>
      </c>
      <c r="H57" s="12">
        <v>5</v>
      </c>
      <c r="I57" s="13">
        <v>11</v>
      </c>
      <c r="J57" s="13">
        <v>1</v>
      </c>
      <c r="K57" s="13">
        <v>57087</v>
      </c>
      <c r="L57" s="13">
        <v>9</v>
      </c>
      <c r="M57" s="13">
        <v>3</v>
      </c>
      <c r="N57" s="11" t="s">
        <v>73</v>
      </c>
      <c r="O57" s="18">
        <v>2025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</row>
    <row r="58" spans="1:62" x14ac:dyDescent="0.25">
      <c r="A58" s="7"/>
      <c r="B58" s="7"/>
      <c r="C58" s="7"/>
      <c r="D58" s="7"/>
      <c r="E58" s="7"/>
      <c r="F58" s="16" t="s">
        <v>74</v>
      </c>
      <c r="G58" s="10">
        <v>1</v>
      </c>
      <c r="H58" s="10">
        <v>1</v>
      </c>
      <c r="I58" s="13">
        <v>2</v>
      </c>
      <c r="J58" s="13">
        <v>2</v>
      </c>
      <c r="K58" s="13">
        <v>56557</v>
      </c>
      <c r="L58" s="13">
        <v>9</v>
      </c>
      <c r="M58" s="13">
        <v>3</v>
      </c>
      <c r="N58" s="11" t="s">
        <v>75</v>
      </c>
      <c r="O58" s="18">
        <v>2024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</row>
    <row r="59" spans="1:62" x14ac:dyDescent="0.25">
      <c r="A59" s="7"/>
      <c r="B59" s="7"/>
      <c r="C59" s="7"/>
      <c r="D59" s="7"/>
      <c r="E59" s="7"/>
      <c r="F59" s="17" t="s">
        <v>76</v>
      </c>
      <c r="G59" s="12">
        <v>1</v>
      </c>
      <c r="H59" s="12">
        <v>3</v>
      </c>
      <c r="I59" s="13">
        <v>4</v>
      </c>
      <c r="J59" s="13">
        <v>3</v>
      </c>
      <c r="K59" s="13">
        <v>69461</v>
      </c>
      <c r="L59" s="13">
        <v>4</v>
      </c>
      <c r="M59" s="13">
        <v>2</v>
      </c>
      <c r="N59" s="11" t="s">
        <v>77</v>
      </c>
      <c r="O59" s="18">
        <v>2024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</row>
    <row r="60" spans="1:62" x14ac:dyDescent="0.25">
      <c r="A60" s="7"/>
      <c r="B60" s="7"/>
      <c r="C60" s="7"/>
      <c r="D60" s="7"/>
      <c r="E60" s="7"/>
      <c r="F60" s="16" t="s">
        <v>78</v>
      </c>
      <c r="G60" s="10">
        <v>1</v>
      </c>
      <c r="H60" s="10">
        <v>1</v>
      </c>
      <c r="I60" s="13">
        <v>1</v>
      </c>
      <c r="J60" s="13">
        <v>4</v>
      </c>
      <c r="K60" s="13">
        <v>54984</v>
      </c>
      <c r="L60" s="13">
        <v>1</v>
      </c>
      <c r="M60" s="13">
        <v>1</v>
      </c>
      <c r="N60" s="11">
        <v>45689</v>
      </c>
      <c r="O60" s="18">
        <v>2025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</row>
    <row r="61" spans="1:62" x14ac:dyDescent="0.25">
      <c r="A61" s="7"/>
      <c r="B61" s="7"/>
      <c r="C61" s="7"/>
      <c r="D61" s="7"/>
      <c r="E61" s="7"/>
      <c r="F61" s="17" t="s">
        <v>79</v>
      </c>
      <c r="G61" s="12">
        <v>1</v>
      </c>
      <c r="H61" s="12">
        <v>5</v>
      </c>
      <c r="I61" s="13">
        <v>11</v>
      </c>
      <c r="J61" s="13">
        <v>2</v>
      </c>
      <c r="K61" s="13">
        <v>77624</v>
      </c>
      <c r="L61" s="13">
        <v>4</v>
      </c>
      <c r="M61" s="13">
        <v>2</v>
      </c>
      <c r="N61" s="11" t="s">
        <v>80</v>
      </c>
      <c r="O61" s="18">
        <v>2024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</row>
    <row r="62" spans="1:62" x14ac:dyDescent="0.25">
      <c r="A62" s="7"/>
      <c r="B62" s="7"/>
      <c r="C62" s="7"/>
      <c r="D62" s="7"/>
      <c r="E62" s="7"/>
      <c r="F62" s="16" t="s">
        <v>81</v>
      </c>
      <c r="G62" s="10">
        <v>1</v>
      </c>
      <c r="H62" s="10">
        <v>4</v>
      </c>
      <c r="I62" s="13">
        <v>7</v>
      </c>
      <c r="J62" s="13">
        <v>3</v>
      </c>
      <c r="K62" s="13">
        <v>67976</v>
      </c>
      <c r="L62" s="13">
        <v>3</v>
      </c>
      <c r="M62" s="13">
        <v>3</v>
      </c>
      <c r="N62" s="11" t="s">
        <v>82</v>
      </c>
      <c r="O62" s="18">
        <v>2025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</row>
    <row r="63" spans="1:62" x14ac:dyDescent="0.25">
      <c r="A63" s="7"/>
      <c r="B63" s="7"/>
      <c r="C63" s="7"/>
      <c r="D63" s="7"/>
      <c r="E63" s="7"/>
      <c r="F63" s="17" t="s">
        <v>83</v>
      </c>
      <c r="G63" s="12">
        <v>1</v>
      </c>
      <c r="H63" s="12">
        <v>4</v>
      </c>
      <c r="I63" s="13">
        <v>6</v>
      </c>
      <c r="J63" s="13">
        <v>2</v>
      </c>
      <c r="K63" s="13">
        <v>108534</v>
      </c>
      <c r="L63" s="13">
        <v>9</v>
      </c>
      <c r="M63" s="13">
        <v>3</v>
      </c>
      <c r="N63" s="11">
        <v>45546</v>
      </c>
      <c r="O63" s="18">
        <v>2024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</row>
    <row r="64" spans="1:62" x14ac:dyDescent="0.25">
      <c r="A64" s="7"/>
      <c r="B64" s="7"/>
      <c r="C64" s="7"/>
      <c r="D64" s="7"/>
      <c r="E64" s="7"/>
      <c r="F64" s="16" t="s">
        <v>84</v>
      </c>
      <c r="G64" s="10">
        <v>1</v>
      </c>
      <c r="H64" s="10">
        <v>4</v>
      </c>
      <c r="I64" s="13">
        <v>7</v>
      </c>
      <c r="J64" s="13">
        <v>2</v>
      </c>
      <c r="K64" s="13">
        <v>82353</v>
      </c>
      <c r="L64" s="13">
        <v>10</v>
      </c>
      <c r="M64" s="13">
        <v>5</v>
      </c>
      <c r="N64" s="11" t="s">
        <v>85</v>
      </c>
      <c r="O64" s="18">
        <v>2024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</row>
    <row r="65" spans="1:62" x14ac:dyDescent="0.25">
      <c r="A65" s="7"/>
      <c r="B65" s="7"/>
      <c r="C65" s="7"/>
      <c r="D65" s="7"/>
      <c r="E65" s="7"/>
      <c r="F65" s="17" t="s">
        <v>86</v>
      </c>
      <c r="G65" s="12">
        <v>1</v>
      </c>
      <c r="H65" s="12">
        <v>6</v>
      </c>
      <c r="I65" s="13">
        <v>12</v>
      </c>
      <c r="J65" s="13">
        <v>2</v>
      </c>
      <c r="K65" s="13">
        <v>65285</v>
      </c>
      <c r="L65" s="13">
        <v>4</v>
      </c>
      <c r="M65" s="13">
        <v>2</v>
      </c>
      <c r="N65" s="11" t="s">
        <v>88</v>
      </c>
      <c r="O65" s="18">
        <v>2024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</row>
    <row r="66" spans="1:62" x14ac:dyDescent="0.25">
      <c r="A66" s="7"/>
      <c r="B66" s="7"/>
      <c r="C66" s="7"/>
      <c r="D66" s="7"/>
      <c r="E66" s="7"/>
      <c r="F66" s="16" t="s">
        <v>89</v>
      </c>
      <c r="G66" s="10">
        <v>1</v>
      </c>
      <c r="H66" s="10">
        <v>4</v>
      </c>
      <c r="I66" s="13">
        <v>7</v>
      </c>
      <c r="J66" s="13">
        <v>5</v>
      </c>
      <c r="K66" s="13">
        <v>104901</v>
      </c>
      <c r="L66" s="13">
        <v>9</v>
      </c>
      <c r="M66" s="13">
        <v>3</v>
      </c>
      <c r="N66" s="11" t="s">
        <v>90</v>
      </c>
      <c r="O66" s="18">
        <v>2024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</row>
    <row r="67" spans="1:62" x14ac:dyDescent="0.25">
      <c r="A67" s="7"/>
      <c r="B67" s="7"/>
      <c r="C67" s="7"/>
      <c r="D67" s="7"/>
      <c r="E67" s="7"/>
      <c r="F67" s="17" t="s">
        <v>91</v>
      </c>
      <c r="G67" s="12">
        <v>1</v>
      </c>
      <c r="H67" s="12">
        <v>4</v>
      </c>
      <c r="I67" s="13">
        <v>6</v>
      </c>
      <c r="J67" s="13">
        <v>3</v>
      </c>
      <c r="K67" s="13">
        <v>83539</v>
      </c>
      <c r="L67" s="13">
        <v>6</v>
      </c>
      <c r="M67" s="13">
        <v>2</v>
      </c>
      <c r="N67" s="11" t="s">
        <v>92</v>
      </c>
      <c r="O67" s="18">
        <v>2025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</row>
    <row r="68" spans="1:62" x14ac:dyDescent="0.25">
      <c r="A68" s="7"/>
      <c r="B68" s="7"/>
      <c r="C68" s="7"/>
      <c r="D68" s="7"/>
      <c r="E68" s="7"/>
      <c r="F68" s="16" t="s">
        <v>93</v>
      </c>
      <c r="G68" s="10">
        <v>1</v>
      </c>
      <c r="H68" s="10">
        <v>2</v>
      </c>
      <c r="I68" s="13">
        <v>5</v>
      </c>
      <c r="J68" s="13">
        <v>2</v>
      </c>
      <c r="K68" s="13">
        <v>102302</v>
      </c>
      <c r="L68" s="13">
        <v>4</v>
      </c>
      <c r="M68" s="13">
        <v>2</v>
      </c>
      <c r="N68" s="11" t="s">
        <v>94</v>
      </c>
      <c r="O68" s="18">
        <v>2024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</row>
    <row r="69" spans="1:62" x14ac:dyDescent="0.25">
      <c r="A69" s="7"/>
      <c r="B69" s="7"/>
      <c r="C69" s="7"/>
      <c r="D69" s="7"/>
      <c r="E69" s="7"/>
      <c r="F69" s="17" t="s">
        <v>95</v>
      </c>
      <c r="G69" s="12">
        <v>1</v>
      </c>
      <c r="H69" s="12">
        <v>5</v>
      </c>
      <c r="I69" s="13">
        <v>11</v>
      </c>
      <c r="J69" s="13">
        <v>3</v>
      </c>
      <c r="K69" s="13">
        <v>45613</v>
      </c>
      <c r="L69" s="13">
        <v>4</v>
      </c>
      <c r="M69" s="13">
        <v>2</v>
      </c>
      <c r="N69" s="11" t="s">
        <v>96</v>
      </c>
      <c r="O69" s="18">
        <v>2024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</row>
    <row r="70" spans="1:62" x14ac:dyDescent="0.25">
      <c r="A70" s="7"/>
      <c r="B70" s="7"/>
      <c r="C70" s="7"/>
      <c r="D70" s="7"/>
      <c r="E70" s="7"/>
      <c r="F70" s="16" t="s">
        <v>97</v>
      </c>
      <c r="G70" s="10">
        <v>1</v>
      </c>
      <c r="H70" s="10">
        <v>6</v>
      </c>
      <c r="I70" s="13">
        <v>12</v>
      </c>
      <c r="J70" s="13">
        <v>2</v>
      </c>
      <c r="K70" s="13">
        <v>68107</v>
      </c>
      <c r="L70" s="13">
        <v>10</v>
      </c>
      <c r="M70" s="13">
        <v>5</v>
      </c>
      <c r="N70" s="11" t="s">
        <v>98</v>
      </c>
      <c r="O70" s="18">
        <v>2025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</row>
    <row r="71" spans="1:62" x14ac:dyDescent="0.25">
      <c r="A71" s="7"/>
      <c r="B71" s="7"/>
      <c r="C71" s="7"/>
      <c r="D71" s="7"/>
      <c r="E71" s="7"/>
      <c r="F71" s="17" t="s">
        <v>99</v>
      </c>
      <c r="G71" s="12">
        <v>1</v>
      </c>
      <c r="H71" s="12">
        <v>2</v>
      </c>
      <c r="I71" s="13">
        <v>5</v>
      </c>
      <c r="J71" s="13">
        <v>1</v>
      </c>
      <c r="K71" s="13">
        <v>81879</v>
      </c>
      <c r="L71" s="13">
        <v>9</v>
      </c>
      <c r="M71" s="13">
        <v>3</v>
      </c>
      <c r="N71" s="11" t="s">
        <v>77</v>
      </c>
      <c r="O71" s="18">
        <v>2024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</row>
    <row r="72" spans="1:62" x14ac:dyDescent="0.25">
      <c r="A72" s="7"/>
      <c r="B72" s="7"/>
      <c r="C72" s="7"/>
      <c r="D72" s="7"/>
      <c r="E72" s="7"/>
      <c r="F72" s="16" t="s">
        <v>100</v>
      </c>
      <c r="G72" s="10">
        <v>1</v>
      </c>
      <c r="H72" s="10">
        <v>4</v>
      </c>
      <c r="I72" s="13">
        <v>6</v>
      </c>
      <c r="J72" s="13">
        <v>5</v>
      </c>
      <c r="K72" s="13">
        <v>95837</v>
      </c>
      <c r="L72" s="13">
        <v>3</v>
      </c>
      <c r="M72" s="13">
        <v>3</v>
      </c>
      <c r="N72" s="11" t="s">
        <v>101</v>
      </c>
      <c r="O72" s="18">
        <v>2025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</row>
    <row r="73" spans="1:62" x14ac:dyDescent="0.25">
      <c r="A73" s="7"/>
      <c r="B73" s="7"/>
      <c r="C73" s="7"/>
      <c r="D73" s="7"/>
      <c r="E73" s="7"/>
      <c r="F73" s="17" t="s">
        <v>102</v>
      </c>
      <c r="G73" s="12">
        <v>1</v>
      </c>
      <c r="H73" s="12">
        <v>1</v>
      </c>
      <c r="I73" s="13">
        <v>1</v>
      </c>
      <c r="J73" s="13">
        <v>3</v>
      </c>
      <c r="K73" s="13">
        <v>48970</v>
      </c>
      <c r="L73" s="13">
        <v>3</v>
      </c>
      <c r="M73" s="13">
        <v>3</v>
      </c>
      <c r="N73" s="11" t="s">
        <v>103</v>
      </c>
      <c r="O73" s="18">
        <v>2024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</row>
    <row r="74" spans="1:62" x14ac:dyDescent="0.25">
      <c r="A74" s="7"/>
      <c r="B74" s="7"/>
      <c r="C74" s="7"/>
      <c r="D74" s="7"/>
      <c r="E74" s="7"/>
      <c r="F74" s="16" t="s">
        <v>104</v>
      </c>
      <c r="G74" s="10">
        <v>1</v>
      </c>
      <c r="H74" s="10">
        <v>1</v>
      </c>
      <c r="I74" s="13">
        <v>1</v>
      </c>
      <c r="J74" s="13">
        <v>3</v>
      </c>
      <c r="K74" s="13">
        <v>99447</v>
      </c>
      <c r="L74" s="13">
        <v>5</v>
      </c>
      <c r="M74" s="13">
        <v>4</v>
      </c>
      <c r="N74" s="11">
        <v>45843</v>
      </c>
      <c r="O74" s="18">
        <v>2025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</row>
    <row r="75" spans="1:62" x14ac:dyDescent="0.25">
      <c r="A75" s="7"/>
      <c r="B75" s="7"/>
      <c r="C75" s="7"/>
      <c r="D75" s="7"/>
      <c r="E75" s="7"/>
      <c r="F75" s="17" t="s">
        <v>105</v>
      </c>
      <c r="G75" s="12">
        <v>1</v>
      </c>
      <c r="H75" s="12">
        <v>6</v>
      </c>
      <c r="I75" s="13">
        <v>12</v>
      </c>
      <c r="J75" s="13">
        <v>5</v>
      </c>
      <c r="K75" s="13">
        <v>87400</v>
      </c>
      <c r="L75" s="13">
        <v>2</v>
      </c>
      <c r="M75" s="13">
        <v>2</v>
      </c>
      <c r="N75" s="11">
        <v>45452</v>
      </c>
      <c r="O75" s="18">
        <v>2024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</row>
    <row r="76" spans="1:62" x14ac:dyDescent="0.25">
      <c r="A76" s="7"/>
      <c r="B76" s="7"/>
      <c r="C76" s="7"/>
      <c r="D76" s="7"/>
      <c r="E76" s="7"/>
      <c r="F76" s="16" t="s">
        <v>106</v>
      </c>
      <c r="G76" s="10">
        <v>1</v>
      </c>
      <c r="H76" s="10">
        <v>5</v>
      </c>
      <c r="I76" s="13">
        <v>11</v>
      </c>
      <c r="J76" s="13">
        <v>1</v>
      </c>
      <c r="K76" s="13">
        <v>94011</v>
      </c>
      <c r="L76" s="13">
        <v>6</v>
      </c>
      <c r="M76" s="13">
        <v>2</v>
      </c>
      <c r="N76" s="11">
        <v>45635</v>
      </c>
      <c r="O76" s="18">
        <v>2024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</row>
    <row r="77" spans="1:62" x14ac:dyDescent="0.25">
      <c r="A77" s="7"/>
      <c r="B77" s="7"/>
      <c r="C77" s="7"/>
      <c r="D77" s="7"/>
      <c r="E77" s="7"/>
      <c r="F77" s="17" t="s">
        <v>107</v>
      </c>
      <c r="G77" s="12">
        <v>1</v>
      </c>
      <c r="H77" s="12">
        <v>3</v>
      </c>
      <c r="I77" s="13">
        <v>10</v>
      </c>
      <c r="J77" s="13">
        <v>5</v>
      </c>
      <c r="K77" s="13">
        <v>71406</v>
      </c>
      <c r="L77" s="13">
        <v>9</v>
      </c>
      <c r="M77" s="13">
        <v>3</v>
      </c>
      <c r="N77" s="11" t="s">
        <v>108</v>
      </c>
      <c r="O77" s="18">
        <v>2024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</row>
    <row r="78" spans="1:62" x14ac:dyDescent="0.25">
      <c r="A78" s="7"/>
      <c r="B78" s="7"/>
      <c r="C78" s="7"/>
      <c r="D78" s="7"/>
      <c r="E78" s="7"/>
      <c r="F78" s="16" t="s">
        <v>109</v>
      </c>
      <c r="G78" s="10">
        <v>1</v>
      </c>
      <c r="H78" s="10">
        <v>2</v>
      </c>
      <c r="I78" s="13">
        <v>3</v>
      </c>
      <c r="J78" s="13">
        <v>1</v>
      </c>
      <c r="K78" s="13">
        <v>72235</v>
      </c>
      <c r="L78" s="13">
        <v>5</v>
      </c>
      <c r="M78" s="13">
        <v>4</v>
      </c>
      <c r="N78" s="11">
        <v>45323</v>
      </c>
      <c r="O78" s="18">
        <v>2024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</row>
    <row r="79" spans="1:62" x14ac:dyDescent="0.25">
      <c r="A79" s="7"/>
      <c r="B79" s="7"/>
      <c r="C79" s="7"/>
      <c r="D79" s="7"/>
      <c r="E79" s="7"/>
      <c r="F79" s="17" t="s">
        <v>110</v>
      </c>
      <c r="G79" s="12">
        <v>1</v>
      </c>
      <c r="H79" s="12">
        <v>1</v>
      </c>
      <c r="I79" s="13">
        <v>1</v>
      </c>
      <c r="J79" s="13">
        <v>3</v>
      </c>
      <c r="K79" s="13">
        <v>49573</v>
      </c>
      <c r="L79" s="13">
        <v>5</v>
      </c>
      <c r="M79" s="13">
        <v>4</v>
      </c>
      <c r="N79" s="11">
        <v>45384</v>
      </c>
      <c r="O79" s="18">
        <v>2024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</row>
    <row r="80" spans="1:62" x14ac:dyDescent="0.25">
      <c r="A80" s="7"/>
      <c r="B80" s="7"/>
      <c r="C80" s="7"/>
      <c r="D80" s="7"/>
      <c r="E80" s="7"/>
      <c r="F80" s="16" t="s">
        <v>111</v>
      </c>
      <c r="G80" s="10">
        <v>1</v>
      </c>
      <c r="H80" s="10">
        <v>2</v>
      </c>
      <c r="I80" s="13">
        <v>5</v>
      </c>
      <c r="J80" s="13">
        <v>5</v>
      </c>
      <c r="K80" s="13">
        <v>55340</v>
      </c>
      <c r="L80" s="13">
        <v>2</v>
      </c>
      <c r="M80" s="13">
        <v>2</v>
      </c>
      <c r="N80" s="11">
        <v>45089</v>
      </c>
      <c r="O80" s="18">
        <v>2023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</row>
    <row r="81" spans="1:62" x14ac:dyDescent="0.25">
      <c r="A81" s="7"/>
      <c r="B81" s="7"/>
      <c r="C81" s="7"/>
      <c r="D81" s="7"/>
      <c r="E81" s="7"/>
      <c r="F81" s="17" t="s">
        <v>112</v>
      </c>
      <c r="G81" s="12">
        <v>1</v>
      </c>
      <c r="H81" s="12">
        <v>4</v>
      </c>
      <c r="I81" s="13">
        <v>6</v>
      </c>
      <c r="J81" s="13">
        <v>5</v>
      </c>
      <c r="K81" s="13">
        <v>71100</v>
      </c>
      <c r="L81" s="13">
        <v>3</v>
      </c>
      <c r="M81" s="13">
        <v>3</v>
      </c>
      <c r="N81" s="11" t="s">
        <v>113</v>
      </c>
      <c r="O81" s="18">
        <v>2025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</row>
    <row r="82" spans="1:62" x14ac:dyDescent="0.25">
      <c r="A82" s="7"/>
      <c r="B82" s="7"/>
      <c r="C82" s="7"/>
      <c r="D82" s="7"/>
      <c r="E82" s="7"/>
      <c r="F82" s="16" t="s">
        <v>114</v>
      </c>
      <c r="G82" s="10">
        <v>1</v>
      </c>
      <c r="H82" s="10">
        <v>1</v>
      </c>
      <c r="I82" s="13">
        <v>2</v>
      </c>
      <c r="J82" s="13">
        <v>2</v>
      </c>
      <c r="K82" s="13">
        <v>79084</v>
      </c>
      <c r="L82" s="13">
        <v>9</v>
      </c>
      <c r="M82" s="13">
        <v>3</v>
      </c>
      <c r="N82" s="11" t="s">
        <v>115</v>
      </c>
      <c r="O82" s="18">
        <v>2024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</row>
    <row r="83" spans="1:62" x14ac:dyDescent="0.25">
      <c r="A83" s="7"/>
      <c r="B83" s="7"/>
      <c r="C83" s="7"/>
      <c r="D83" s="7"/>
      <c r="E83" s="7"/>
      <c r="F83" s="17" t="s">
        <v>116</v>
      </c>
      <c r="G83" s="12">
        <v>1</v>
      </c>
      <c r="H83" s="12">
        <v>4</v>
      </c>
      <c r="I83" s="13">
        <v>7</v>
      </c>
      <c r="J83" s="13">
        <v>2</v>
      </c>
      <c r="K83" s="13">
        <v>105836</v>
      </c>
      <c r="L83" s="13">
        <v>3</v>
      </c>
      <c r="M83" s="13">
        <v>3</v>
      </c>
      <c r="N83" s="11" t="s">
        <v>98</v>
      </c>
      <c r="O83" s="18">
        <v>2025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</row>
    <row r="84" spans="1:62" x14ac:dyDescent="0.25">
      <c r="A84" s="7"/>
      <c r="B84" s="7"/>
      <c r="C84" s="7"/>
      <c r="D84" s="7"/>
      <c r="E84" s="7"/>
      <c r="F84" s="16" t="s">
        <v>117</v>
      </c>
      <c r="G84" s="10">
        <v>1</v>
      </c>
      <c r="H84" s="10">
        <v>2</v>
      </c>
      <c r="I84" s="13">
        <v>5</v>
      </c>
      <c r="J84" s="13">
        <v>3</v>
      </c>
      <c r="K84" s="13">
        <v>100948</v>
      </c>
      <c r="L84" s="13">
        <v>5</v>
      </c>
      <c r="M84" s="13">
        <v>4</v>
      </c>
      <c r="N84" s="11">
        <v>45089</v>
      </c>
      <c r="O84" s="18">
        <v>2023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</row>
    <row r="85" spans="1:62" x14ac:dyDescent="0.25">
      <c r="A85" s="7"/>
      <c r="B85" s="7"/>
      <c r="C85" s="7"/>
      <c r="D85" s="7"/>
      <c r="E85" s="7"/>
      <c r="F85" s="17" t="s">
        <v>118</v>
      </c>
      <c r="G85" s="12">
        <v>1</v>
      </c>
      <c r="H85" s="12">
        <v>3</v>
      </c>
      <c r="I85" s="13">
        <v>10</v>
      </c>
      <c r="J85" s="13">
        <v>1</v>
      </c>
      <c r="K85" s="13">
        <v>100493</v>
      </c>
      <c r="L85" s="13">
        <v>9</v>
      </c>
      <c r="M85" s="13">
        <v>3</v>
      </c>
      <c r="N85" s="11" t="s">
        <v>119</v>
      </c>
      <c r="O85" s="18">
        <v>2025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</row>
    <row r="86" spans="1:62" x14ac:dyDescent="0.25">
      <c r="A86" s="7"/>
      <c r="B86" s="7"/>
      <c r="C86" s="7"/>
      <c r="D86" s="7"/>
      <c r="E86" s="7"/>
      <c r="F86" s="16" t="s">
        <v>120</v>
      </c>
      <c r="G86" s="10">
        <v>1</v>
      </c>
      <c r="H86" s="10">
        <v>1</v>
      </c>
      <c r="I86" s="13">
        <v>2</v>
      </c>
      <c r="J86" s="13">
        <v>5</v>
      </c>
      <c r="K86" s="13">
        <v>87968</v>
      </c>
      <c r="L86" s="13">
        <v>8</v>
      </c>
      <c r="M86" s="13">
        <v>4</v>
      </c>
      <c r="N86" s="11">
        <v>45996</v>
      </c>
      <c r="O86" s="18">
        <v>2025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</row>
    <row r="87" spans="1:62" x14ac:dyDescent="0.25">
      <c r="A87" s="7"/>
      <c r="B87" s="7"/>
      <c r="C87" s="7"/>
      <c r="D87" s="7"/>
      <c r="E87" s="7"/>
      <c r="F87" s="17" t="s">
        <v>121</v>
      </c>
      <c r="G87" s="12">
        <v>1</v>
      </c>
      <c r="H87" s="12">
        <v>5</v>
      </c>
      <c r="I87" s="13">
        <v>8</v>
      </c>
      <c r="J87" s="13">
        <v>4</v>
      </c>
      <c r="K87" s="13">
        <v>119589</v>
      </c>
      <c r="L87" s="13">
        <v>3</v>
      </c>
      <c r="M87" s="13">
        <v>3</v>
      </c>
      <c r="N87" s="11">
        <v>45967</v>
      </c>
      <c r="O87" s="18">
        <v>2025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</row>
    <row r="88" spans="1:62" x14ac:dyDescent="0.25">
      <c r="A88" s="7"/>
      <c r="B88" s="7"/>
      <c r="C88" s="7"/>
      <c r="D88" s="7"/>
      <c r="E88" s="7"/>
      <c r="F88" s="16" t="s">
        <v>122</v>
      </c>
      <c r="G88" s="10">
        <v>1</v>
      </c>
      <c r="H88" s="10">
        <v>2</v>
      </c>
      <c r="I88" s="13">
        <v>5</v>
      </c>
      <c r="J88" s="13">
        <v>5</v>
      </c>
      <c r="K88" s="13">
        <v>113267</v>
      </c>
      <c r="L88" s="13">
        <v>2</v>
      </c>
      <c r="M88" s="13">
        <v>2</v>
      </c>
      <c r="N88" s="11">
        <v>45965</v>
      </c>
      <c r="O88" s="18">
        <v>2025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</row>
    <row r="89" spans="1:62" x14ac:dyDescent="0.25">
      <c r="A89" s="7"/>
      <c r="B89" s="7"/>
      <c r="C89" s="7"/>
      <c r="D89" s="7"/>
      <c r="E89" s="7"/>
      <c r="F89" s="17" t="s">
        <v>123</v>
      </c>
      <c r="G89" s="12">
        <v>1</v>
      </c>
      <c r="H89" s="12">
        <v>5</v>
      </c>
      <c r="I89" s="13">
        <v>8</v>
      </c>
      <c r="J89" s="13">
        <v>1</v>
      </c>
      <c r="K89" s="13">
        <v>113879</v>
      </c>
      <c r="L89" s="13">
        <v>6</v>
      </c>
      <c r="M89" s="13">
        <v>2</v>
      </c>
      <c r="N89" s="11" t="s">
        <v>124</v>
      </c>
      <c r="O89" s="18">
        <v>2024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</row>
    <row r="90" spans="1:62" x14ac:dyDescent="0.25">
      <c r="A90" s="7"/>
      <c r="B90" s="7"/>
      <c r="C90" s="7"/>
      <c r="D90" s="7"/>
      <c r="E90" s="7"/>
      <c r="F90" s="16" t="s">
        <v>125</v>
      </c>
      <c r="G90" s="10">
        <v>1</v>
      </c>
      <c r="H90" s="10">
        <v>3</v>
      </c>
      <c r="I90" s="13">
        <v>10</v>
      </c>
      <c r="J90" s="13">
        <v>4</v>
      </c>
      <c r="K90" s="13">
        <v>53632</v>
      </c>
      <c r="L90" s="13">
        <v>3</v>
      </c>
      <c r="M90" s="13">
        <v>3</v>
      </c>
      <c r="N90" s="11" t="s">
        <v>126</v>
      </c>
      <c r="O90" s="18">
        <v>2024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</row>
    <row r="91" spans="1:62" x14ac:dyDescent="0.25">
      <c r="A91" s="7"/>
      <c r="B91" s="7"/>
      <c r="C91" s="7"/>
      <c r="D91" s="7"/>
      <c r="E91" s="7"/>
      <c r="F91" s="17" t="s">
        <v>127</v>
      </c>
      <c r="G91" s="12">
        <v>1</v>
      </c>
      <c r="H91" s="12">
        <v>5</v>
      </c>
      <c r="I91" s="13">
        <v>11</v>
      </c>
      <c r="J91" s="13">
        <v>5</v>
      </c>
      <c r="K91" s="13">
        <v>95552</v>
      </c>
      <c r="L91" s="13">
        <v>7</v>
      </c>
      <c r="M91" s="13">
        <v>1</v>
      </c>
      <c r="N91" s="11" t="s">
        <v>128</v>
      </c>
      <c r="O91" s="18">
        <v>2025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</row>
    <row r="92" spans="1:62" x14ac:dyDescent="0.25">
      <c r="A92" s="7"/>
      <c r="B92" s="7"/>
      <c r="C92" s="7"/>
      <c r="D92" s="7"/>
      <c r="E92" s="7"/>
      <c r="F92" s="16" t="s">
        <v>129</v>
      </c>
      <c r="G92" s="10">
        <v>1</v>
      </c>
      <c r="H92" s="10">
        <v>2</v>
      </c>
      <c r="I92" s="13">
        <v>3</v>
      </c>
      <c r="J92" s="13">
        <v>3</v>
      </c>
      <c r="K92" s="13">
        <v>81687</v>
      </c>
      <c r="L92" s="13">
        <v>1</v>
      </c>
      <c r="M92" s="13">
        <v>1</v>
      </c>
      <c r="N92" s="11" t="s">
        <v>130</v>
      </c>
      <c r="O92" s="18">
        <v>2024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</row>
    <row r="93" spans="1:62" x14ac:dyDescent="0.25">
      <c r="A93" s="7"/>
      <c r="B93" s="7"/>
      <c r="C93" s="7"/>
      <c r="D93" s="7"/>
      <c r="E93" s="7"/>
      <c r="F93" s="17" t="s">
        <v>131</v>
      </c>
      <c r="G93" s="12">
        <v>1</v>
      </c>
      <c r="H93" s="12">
        <v>1</v>
      </c>
      <c r="I93" s="13">
        <v>1</v>
      </c>
      <c r="J93" s="13">
        <v>2</v>
      </c>
      <c r="K93" s="13">
        <v>63680</v>
      </c>
      <c r="L93" s="13">
        <v>3</v>
      </c>
      <c r="M93" s="13">
        <v>3</v>
      </c>
      <c r="N93" s="11" t="s">
        <v>132</v>
      </c>
      <c r="O93" s="18">
        <v>2024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</row>
    <row r="94" spans="1:62" x14ac:dyDescent="0.25">
      <c r="A94" s="7"/>
      <c r="B94" s="7"/>
      <c r="C94" s="7"/>
      <c r="D94" s="7"/>
      <c r="E94" s="7"/>
      <c r="F94" s="16" t="s">
        <v>133</v>
      </c>
      <c r="G94" s="10">
        <v>1</v>
      </c>
      <c r="H94" s="10">
        <v>1</v>
      </c>
      <c r="I94" s="13">
        <v>2</v>
      </c>
      <c r="J94" s="13">
        <v>2</v>
      </c>
      <c r="K94" s="13">
        <v>97934</v>
      </c>
      <c r="L94" s="13">
        <v>10</v>
      </c>
      <c r="M94" s="13">
        <v>5</v>
      </c>
      <c r="N94" s="11">
        <v>45328</v>
      </c>
      <c r="O94" s="18">
        <v>2024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</row>
    <row r="95" spans="1:62" x14ac:dyDescent="0.25">
      <c r="A95" s="7"/>
      <c r="B95" s="7"/>
      <c r="C95" s="7"/>
      <c r="D95" s="7"/>
      <c r="E95" s="7"/>
      <c r="F95" s="17" t="s">
        <v>134</v>
      </c>
      <c r="G95" s="12">
        <v>1</v>
      </c>
      <c r="H95" s="12">
        <v>6</v>
      </c>
      <c r="I95" s="13">
        <v>12</v>
      </c>
      <c r="J95" s="13">
        <v>4</v>
      </c>
      <c r="K95" s="13">
        <v>95916</v>
      </c>
      <c r="L95" s="13">
        <v>10</v>
      </c>
      <c r="M95" s="13">
        <v>5</v>
      </c>
      <c r="N95" s="11" t="s">
        <v>135</v>
      </c>
      <c r="O95" s="18">
        <v>2024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</row>
    <row r="96" spans="1:62" x14ac:dyDescent="0.25">
      <c r="A96" s="7"/>
      <c r="B96" s="7"/>
      <c r="C96" s="7"/>
      <c r="D96" s="7"/>
      <c r="E96" s="7"/>
      <c r="F96" s="16" t="s">
        <v>136</v>
      </c>
      <c r="G96" s="10">
        <v>1</v>
      </c>
      <c r="H96" s="10">
        <v>5</v>
      </c>
      <c r="I96" s="13">
        <v>8</v>
      </c>
      <c r="J96" s="13">
        <v>5</v>
      </c>
      <c r="K96" s="13">
        <v>89611</v>
      </c>
      <c r="L96" s="13">
        <v>5</v>
      </c>
      <c r="M96" s="13">
        <v>4</v>
      </c>
      <c r="N96" s="11">
        <v>45602</v>
      </c>
      <c r="O96" s="18">
        <v>2024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</row>
    <row r="97" spans="1:62" x14ac:dyDescent="0.25">
      <c r="A97" s="7"/>
      <c r="B97" s="7"/>
      <c r="C97" s="7"/>
      <c r="D97" s="7"/>
      <c r="E97" s="7"/>
      <c r="F97" s="17" t="s">
        <v>137</v>
      </c>
      <c r="G97" s="12">
        <v>1</v>
      </c>
      <c r="H97" s="12">
        <v>5</v>
      </c>
      <c r="I97" s="13">
        <v>11</v>
      </c>
      <c r="J97" s="13">
        <v>4</v>
      </c>
      <c r="K97" s="13">
        <v>117107</v>
      </c>
      <c r="L97" s="13">
        <v>10</v>
      </c>
      <c r="M97" s="13">
        <v>5</v>
      </c>
      <c r="N97" s="11">
        <v>45810</v>
      </c>
      <c r="O97" s="18">
        <v>2025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</row>
    <row r="98" spans="1:62" x14ac:dyDescent="0.25">
      <c r="A98" s="7"/>
      <c r="B98" s="7"/>
      <c r="C98" s="7"/>
      <c r="D98" s="7"/>
      <c r="E98" s="7"/>
      <c r="F98" s="16" t="s">
        <v>138</v>
      </c>
      <c r="G98" s="10">
        <v>1</v>
      </c>
      <c r="H98" s="10">
        <v>3</v>
      </c>
      <c r="I98" s="13">
        <v>10</v>
      </c>
      <c r="J98" s="13">
        <v>4</v>
      </c>
      <c r="K98" s="13">
        <v>63622</v>
      </c>
      <c r="L98" s="13">
        <v>4</v>
      </c>
      <c r="M98" s="13">
        <v>2</v>
      </c>
      <c r="N98" s="11">
        <v>45877</v>
      </c>
      <c r="O98" s="18">
        <v>2025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</row>
    <row r="99" spans="1:62" x14ac:dyDescent="0.25">
      <c r="A99" s="7"/>
      <c r="B99" s="7"/>
      <c r="C99" s="7"/>
      <c r="D99" s="7"/>
      <c r="E99" s="7"/>
      <c r="F99" s="17" t="s">
        <v>139</v>
      </c>
      <c r="G99" s="12">
        <v>1</v>
      </c>
      <c r="H99" s="12">
        <v>4</v>
      </c>
      <c r="I99" s="13">
        <v>6</v>
      </c>
      <c r="J99" s="13">
        <v>3</v>
      </c>
      <c r="K99" s="13">
        <v>93983</v>
      </c>
      <c r="L99" s="13">
        <v>5</v>
      </c>
      <c r="M99" s="13">
        <v>4</v>
      </c>
      <c r="N99" s="11" t="s">
        <v>31</v>
      </c>
      <c r="O99" s="18">
        <v>2024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</row>
    <row r="100" spans="1:62" x14ac:dyDescent="0.25">
      <c r="A100" s="7"/>
      <c r="B100" s="7"/>
      <c r="C100" s="7"/>
      <c r="D100" s="7"/>
      <c r="E100" s="7"/>
      <c r="F100" s="16" t="s">
        <v>140</v>
      </c>
      <c r="G100" s="10">
        <v>1</v>
      </c>
      <c r="H100" s="10">
        <v>6</v>
      </c>
      <c r="I100" s="13">
        <v>9</v>
      </c>
      <c r="J100" s="13">
        <v>3</v>
      </c>
      <c r="K100" s="13">
        <v>49533</v>
      </c>
      <c r="L100" s="13">
        <v>5</v>
      </c>
      <c r="M100" s="13">
        <v>4</v>
      </c>
      <c r="N100" s="11">
        <v>45454</v>
      </c>
      <c r="O100" s="18">
        <v>2024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</row>
    <row r="101" spans="1:62" x14ac:dyDescent="0.25">
      <c r="A101" s="7"/>
      <c r="B101" s="7"/>
      <c r="C101" s="7"/>
      <c r="D101" s="7"/>
      <c r="E101" s="7"/>
      <c r="F101" s="17" t="s">
        <v>141</v>
      </c>
      <c r="G101" s="12">
        <v>1</v>
      </c>
      <c r="H101" s="12">
        <v>6</v>
      </c>
      <c r="I101" s="13">
        <v>9</v>
      </c>
      <c r="J101" s="13">
        <v>4</v>
      </c>
      <c r="K101" s="13">
        <v>65659</v>
      </c>
      <c r="L101" s="13">
        <v>10</v>
      </c>
      <c r="M101" s="13">
        <v>5</v>
      </c>
      <c r="N101" s="11" t="s">
        <v>142</v>
      </c>
      <c r="O101" s="18">
        <v>2024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</row>
    <row r="102" spans="1:62" x14ac:dyDescent="0.25">
      <c r="A102" s="7"/>
      <c r="B102" s="7"/>
      <c r="C102" s="7"/>
      <c r="D102" s="7"/>
      <c r="E102" s="7"/>
      <c r="F102" s="16" t="s">
        <v>143</v>
      </c>
      <c r="G102" s="10">
        <v>1</v>
      </c>
      <c r="H102" s="10">
        <v>4</v>
      </c>
      <c r="I102" s="13">
        <v>6</v>
      </c>
      <c r="J102" s="13">
        <v>5</v>
      </c>
      <c r="K102" s="13">
        <v>110308</v>
      </c>
      <c r="L102" s="13">
        <v>1</v>
      </c>
      <c r="M102" s="13">
        <v>1</v>
      </c>
      <c r="N102" s="11" t="s">
        <v>144</v>
      </c>
      <c r="O102" s="18">
        <v>2025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</row>
    <row r="103" spans="1:62" x14ac:dyDescent="0.25">
      <c r="A103" s="7"/>
      <c r="B103" s="7"/>
      <c r="C103" s="7"/>
      <c r="D103" s="7"/>
      <c r="E103" s="7"/>
      <c r="F103" s="17" t="s">
        <v>145</v>
      </c>
      <c r="G103" s="12">
        <v>1</v>
      </c>
      <c r="H103" s="12">
        <v>4</v>
      </c>
      <c r="I103" s="13">
        <v>7</v>
      </c>
      <c r="J103" s="13">
        <v>4</v>
      </c>
      <c r="K103" s="13">
        <v>66725</v>
      </c>
      <c r="L103" s="13">
        <v>8</v>
      </c>
      <c r="M103" s="13">
        <v>4</v>
      </c>
      <c r="N103" s="11" t="s">
        <v>146</v>
      </c>
      <c r="O103" s="18">
        <v>2025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</row>
    <row r="104" spans="1:62" x14ac:dyDescent="0.25">
      <c r="A104" s="7"/>
      <c r="B104" s="7"/>
      <c r="C104" s="7"/>
      <c r="D104" s="7"/>
      <c r="E104" s="7"/>
      <c r="F104" s="16" t="s">
        <v>147</v>
      </c>
      <c r="G104" s="10">
        <v>1</v>
      </c>
      <c r="H104" s="10">
        <v>5</v>
      </c>
      <c r="I104" s="13">
        <v>11</v>
      </c>
      <c r="J104" s="13">
        <v>2</v>
      </c>
      <c r="K104" s="13">
        <v>102776</v>
      </c>
      <c r="L104" s="13">
        <v>1</v>
      </c>
      <c r="M104" s="13">
        <v>1</v>
      </c>
      <c r="N104" s="11">
        <v>45906</v>
      </c>
      <c r="O104" s="18">
        <v>2025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</row>
    <row r="105" spans="1:62" x14ac:dyDescent="0.25">
      <c r="A105" s="7"/>
      <c r="B105" s="7"/>
      <c r="C105" s="7"/>
      <c r="D105" s="7"/>
      <c r="E105" s="7"/>
      <c r="F105" s="17" t="s">
        <v>148</v>
      </c>
      <c r="G105" s="12">
        <v>1</v>
      </c>
      <c r="H105" s="12">
        <v>2</v>
      </c>
      <c r="I105" s="13">
        <v>3</v>
      </c>
      <c r="J105" s="13">
        <v>2</v>
      </c>
      <c r="K105" s="13">
        <v>89014</v>
      </c>
      <c r="L105" s="13">
        <v>10</v>
      </c>
      <c r="M105" s="13">
        <v>5</v>
      </c>
      <c r="N105" s="11" t="s">
        <v>149</v>
      </c>
      <c r="O105" s="18">
        <v>2024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</row>
    <row r="106" spans="1:62" x14ac:dyDescent="0.25">
      <c r="A106" s="7"/>
      <c r="B106" s="7"/>
      <c r="C106" s="7"/>
      <c r="D106" s="7"/>
      <c r="E106" s="7"/>
      <c r="F106" s="16" t="s">
        <v>150</v>
      </c>
      <c r="G106" s="10">
        <v>1</v>
      </c>
      <c r="H106" s="10">
        <v>3</v>
      </c>
      <c r="I106" s="13">
        <v>10</v>
      </c>
      <c r="J106" s="13">
        <v>1</v>
      </c>
      <c r="K106" s="13">
        <v>84305</v>
      </c>
      <c r="L106" s="13">
        <v>9</v>
      </c>
      <c r="M106" s="13">
        <v>3</v>
      </c>
      <c r="N106" s="11">
        <v>45778</v>
      </c>
      <c r="O106" s="18">
        <v>2025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</row>
    <row r="107" spans="1:62" x14ac:dyDescent="0.25">
      <c r="A107" s="7"/>
      <c r="B107" s="7"/>
      <c r="C107" s="7"/>
      <c r="D107" s="7"/>
      <c r="E107" s="7"/>
      <c r="F107" s="17" t="s">
        <v>151</v>
      </c>
      <c r="G107" s="12">
        <v>1</v>
      </c>
      <c r="H107" s="12">
        <v>3</v>
      </c>
      <c r="I107" s="13">
        <v>10</v>
      </c>
      <c r="J107" s="13">
        <v>5</v>
      </c>
      <c r="K107" s="13">
        <v>68983</v>
      </c>
      <c r="L107" s="13">
        <v>10</v>
      </c>
      <c r="M107" s="13">
        <v>5</v>
      </c>
      <c r="N107" s="11" t="s">
        <v>152</v>
      </c>
      <c r="O107" s="18">
        <v>2024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</row>
    <row r="108" spans="1:62" x14ac:dyDescent="0.25">
      <c r="A108" s="7"/>
      <c r="B108" s="7"/>
      <c r="C108" s="7"/>
      <c r="D108" s="7"/>
      <c r="E108" s="7"/>
      <c r="F108" s="16" t="s">
        <v>153</v>
      </c>
      <c r="G108" s="10">
        <v>1</v>
      </c>
      <c r="H108" s="10">
        <v>5</v>
      </c>
      <c r="I108" s="13">
        <v>11</v>
      </c>
      <c r="J108" s="13">
        <v>4</v>
      </c>
      <c r="K108" s="13">
        <v>83072</v>
      </c>
      <c r="L108" s="13">
        <v>2</v>
      </c>
      <c r="M108" s="13">
        <v>2</v>
      </c>
      <c r="N108" s="11" t="s">
        <v>154</v>
      </c>
      <c r="O108" s="18">
        <v>2024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</row>
    <row r="109" spans="1:62" x14ac:dyDescent="0.25">
      <c r="A109" s="7"/>
      <c r="B109" s="7"/>
      <c r="C109" s="7"/>
      <c r="D109" s="7"/>
      <c r="E109" s="7"/>
      <c r="F109" s="17" t="s">
        <v>155</v>
      </c>
      <c r="G109" s="12">
        <v>1</v>
      </c>
      <c r="H109" s="12">
        <v>4</v>
      </c>
      <c r="I109" s="13">
        <v>6</v>
      </c>
      <c r="J109" s="13">
        <v>4</v>
      </c>
      <c r="K109" s="13">
        <v>92592</v>
      </c>
      <c r="L109" s="13">
        <v>2</v>
      </c>
      <c r="M109" s="13">
        <v>2</v>
      </c>
      <c r="N109" s="11">
        <v>45484</v>
      </c>
      <c r="O109" s="18">
        <v>2024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</row>
    <row r="110" spans="1:62" x14ac:dyDescent="0.25">
      <c r="A110" s="7"/>
      <c r="B110" s="7"/>
      <c r="C110" s="7"/>
      <c r="D110" s="7"/>
      <c r="E110" s="7"/>
      <c r="F110" s="16" t="s">
        <v>156</v>
      </c>
      <c r="G110" s="10">
        <v>1</v>
      </c>
      <c r="H110" s="10">
        <v>2</v>
      </c>
      <c r="I110" s="13">
        <v>3</v>
      </c>
      <c r="J110" s="13">
        <v>4</v>
      </c>
      <c r="K110" s="13">
        <v>52476</v>
      </c>
      <c r="L110" s="13">
        <v>5</v>
      </c>
      <c r="M110" s="13">
        <v>4</v>
      </c>
      <c r="N110" s="11">
        <v>45696</v>
      </c>
      <c r="O110" s="18">
        <v>2025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</row>
    <row r="111" spans="1:62" x14ac:dyDescent="0.25">
      <c r="A111" s="7"/>
      <c r="B111" s="7"/>
      <c r="C111" s="7"/>
      <c r="D111" s="7"/>
      <c r="E111" s="7"/>
      <c r="F111" s="17" t="s">
        <v>157</v>
      </c>
      <c r="G111" s="12">
        <v>1</v>
      </c>
      <c r="H111" s="12">
        <v>2</v>
      </c>
      <c r="I111" s="13">
        <v>5</v>
      </c>
      <c r="J111" s="13">
        <v>4</v>
      </c>
      <c r="K111" s="13">
        <v>65907</v>
      </c>
      <c r="L111" s="13">
        <v>1</v>
      </c>
      <c r="M111" s="13">
        <v>1</v>
      </c>
      <c r="N111" s="11" t="s">
        <v>47</v>
      </c>
      <c r="O111" s="18">
        <v>2025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</row>
    <row r="112" spans="1:62" x14ac:dyDescent="0.25">
      <c r="A112" s="7"/>
      <c r="B112" s="7"/>
      <c r="C112" s="7"/>
      <c r="D112" s="7"/>
      <c r="E112" s="7"/>
      <c r="F112" s="16" t="s">
        <v>158</v>
      </c>
      <c r="G112" s="10">
        <v>1</v>
      </c>
      <c r="H112" s="10">
        <v>4</v>
      </c>
      <c r="I112" s="13">
        <v>6</v>
      </c>
      <c r="J112" s="13">
        <v>2</v>
      </c>
      <c r="K112" s="13">
        <v>95160</v>
      </c>
      <c r="L112" s="13">
        <v>8</v>
      </c>
      <c r="M112" s="13">
        <v>4</v>
      </c>
      <c r="N112" s="11" t="s">
        <v>159</v>
      </c>
      <c r="O112" s="18">
        <v>2024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</row>
    <row r="113" spans="1:62" x14ac:dyDescent="0.25">
      <c r="A113" s="7"/>
      <c r="B113" s="7"/>
      <c r="C113" s="7"/>
      <c r="D113" s="7"/>
      <c r="E113" s="7"/>
      <c r="F113" s="17" t="s">
        <v>160</v>
      </c>
      <c r="G113" s="12">
        <v>1</v>
      </c>
      <c r="H113" s="12">
        <v>5</v>
      </c>
      <c r="I113" s="13">
        <v>11</v>
      </c>
      <c r="J113" s="13">
        <v>1</v>
      </c>
      <c r="K113" s="13">
        <v>45868</v>
      </c>
      <c r="L113" s="13">
        <v>6</v>
      </c>
      <c r="M113" s="13">
        <v>2</v>
      </c>
      <c r="N113" s="11" t="s">
        <v>161</v>
      </c>
      <c r="O113" s="18">
        <v>2023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</row>
    <row r="114" spans="1:62" x14ac:dyDescent="0.25">
      <c r="A114" s="7"/>
      <c r="B114" s="7"/>
      <c r="C114" s="7"/>
      <c r="D114" s="7"/>
      <c r="E114" s="7"/>
      <c r="F114" s="16" t="s">
        <v>162</v>
      </c>
      <c r="G114" s="10">
        <v>1</v>
      </c>
      <c r="H114" s="10">
        <v>6</v>
      </c>
      <c r="I114" s="13">
        <v>12</v>
      </c>
      <c r="J114" s="13">
        <v>3</v>
      </c>
      <c r="K114" s="13">
        <v>45942</v>
      </c>
      <c r="L114" s="13">
        <v>4</v>
      </c>
      <c r="M114" s="13">
        <v>2</v>
      </c>
      <c r="N114" s="11" t="s">
        <v>163</v>
      </c>
      <c r="O114" s="18">
        <v>2025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</row>
    <row r="115" spans="1:62" x14ac:dyDescent="0.25">
      <c r="A115" s="7"/>
      <c r="B115" s="7"/>
      <c r="C115" s="7"/>
      <c r="D115" s="7"/>
      <c r="E115" s="7"/>
      <c r="F115" s="17" t="s">
        <v>164</v>
      </c>
      <c r="G115" s="12">
        <v>1</v>
      </c>
      <c r="H115" s="12">
        <v>6</v>
      </c>
      <c r="I115" s="13">
        <v>9</v>
      </c>
      <c r="J115" s="13">
        <v>1</v>
      </c>
      <c r="K115" s="13">
        <v>56224</v>
      </c>
      <c r="L115" s="13">
        <v>1</v>
      </c>
      <c r="M115" s="13">
        <v>1</v>
      </c>
      <c r="N115" s="11" t="s">
        <v>165</v>
      </c>
      <c r="O115" s="18">
        <v>2024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</row>
    <row r="116" spans="1:62" x14ac:dyDescent="0.25">
      <c r="A116" s="7"/>
      <c r="B116" s="7"/>
      <c r="C116" s="7"/>
      <c r="D116" s="7"/>
      <c r="E116" s="7"/>
      <c r="F116" s="16" t="s">
        <v>166</v>
      </c>
      <c r="G116" s="10">
        <v>1</v>
      </c>
      <c r="H116" s="10">
        <v>5</v>
      </c>
      <c r="I116" s="13">
        <v>8</v>
      </c>
      <c r="J116" s="13">
        <v>2</v>
      </c>
      <c r="K116" s="13">
        <v>110876</v>
      </c>
      <c r="L116" s="13">
        <v>1</v>
      </c>
      <c r="M116" s="13">
        <v>1</v>
      </c>
      <c r="N116" s="11" t="s">
        <v>167</v>
      </c>
      <c r="O116" s="18">
        <v>2025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</row>
    <row r="117" spans="1:62" x14ac:dyDescent="0.25">
      <c r="A117" s="7"/>
      <c r="B117" s="7"/>
      <c r="C117" s="7"/>
      <c r="D117" s="7"/>
      <c r="E117" s="7"/>
      <c r="F117" s="17" t="s">
        <v>168</v>
      </c>
      <c r="G117" s="12">
        <v>1</v>
      </c>
      <c r="H117" s="12">
        <v>5</v>
      </c>
      <c r="I117" s="13">
        <v>11</v>
      </c>
      <c r="J117" s="13">
        <v>3</v>
      </c>
      <c r="K117" s="13">
        <v>100961</v>
      </c>
      <c r="L117" s="13">
        <v>3</v>
      </c>
      <c r="M117" s="13">
        <v>3</v>
      </c>
      <c r="N117" s="11">
        <v>45812</v>
      </c>
      <c r="O117" s="18">
        <v>2025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</row>
    <row r="118" spans="1:62" x14ac:dyDescent="0.25">
      <c r="A118" s="7"/>
      <c r="B118" s="7"/>
      <c r="C118" s="7"/>
      <c r="D118" s="7"/>
      <c r="E118" s="7"/>
      <c r="F118" s="16" t="s">
        <v>169</v>
      </c>
      <c r="G118" s="10">
        <v>1</v>
      </c>
      <c r="H118" s="10">
        <v>6</v>
      </c>
      <c r="I118" s="13">
        <v>9</v>
      </c>
      <c r="J118" s="13">
        <v>3</v>
      </c>
      <c r="K118" s="13">
        <v>54509</v>
      </c>
      <c r="L118" s="13">
        <v>6</v>
      </c>
      <c r="M118" s="13">
        <v>2</v>
      </c>
      <c r="N118" s="11" t="s">
        <v>56</v>
      </c>
      <c r="O118" s="18">
        <v>2025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</row>
    <row r="119" spans="1:62" x14ac:dyDescent="0.25">
      <c r="A119" s="7"/>
      <c r="B119" s="7"/>
      <c r="C119" s="7"/>
      <c r="D119" s="7"/>
      <c r="E119" s="7"/>
      <c r="F119" s="17" t="s">
        <v>170</v>
      </c>
      <c r="G119" s="12">
        <v>1</v>
      </c>
      <c r="H119" s="12">
        <v>6</v>
      </c>
      <c r="I119" s="13">
        <v>12</v>
      </c>
      <c r="J119" s="13">
        <v>4</v>
      </c>
      <c r="K119" s="13">
        <v>79393</v>
      </c>
      <c r="L119" s="13">
        <v>8</v>
      </c>
      <c r="M119" s="13">
        <v>4</v>
      </c>
      <c r="N119" s="11">
        <v>45545</v>
      </c>
      <c r="O119" s="18">
        <v>2024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</row>
    <row r="120" spans="1:62" x14ac:dyDescent="0.25">
      <c r="A120" s="7"/>
      <c r="B120" s="7"/>
      <c r="C120" s="7"/>
      <c r="D120" s="7"/>
      <c r="E120" s="7"/>
      <c r="F120" s="16" t="s">
        <v>171</v>
      </c>
      <c r="G120" s="10">
        <v>1</v>
      </c>
      <c r="H120" s="10">
        <v>3</v>
      </c>
      <c r="I120" s="13">
        <v>10</v>
      </c>
      <c r="J120" s="13">
        <v>4</v>
      </c>
      <c r="K120" s="13">
        <v>81670</v>
      </c>
      <c r="L120" s="13">
        <v>5</v>
      </c>
      <c r="M120" s="13">
        <v>4</v>
      </c>
      <c r="N120" s="11">
        <v>45815</v>
      </c>
      <c r="O120" s="18">
        <v>2025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</row>
    <row r="121" spans="1:62" x14ac:dyDescent="0.25">
      <c r="A121" s="7"/>
      <c r="B121" s="7"/>
      <c r="C121" s="7"/>
      <c r="D121" s="7"/>
      <c r="E121" s="7"/>
      <c r="F121" s="17" t="s">
        <v>172</v>
      </c>
      <c r="G121" s="12">
        <v>1</v>
      </c>
      <c r="H121" s="12">
        <v>1</v>
      </c>
      <c r="I121" s="13">
        <v>2</v>
      </c>
      <c r="J121" s="13">
        <v>5</v>
      </c>
      <c r="K121" s="13">
        <v>58053</v>
      </c>
      <c r="L121" s="13">
        <v>4</v>
      </c>
      <c r="M121" s="13">
        <v>2</v>
      </c>
      <c r="N121" s="11" t="s">
        <v>173</v>
      </c>
      <c r="O121" s="18">
        <v>2024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</row>
    <row r="122" spans="1:62" x14ac:dyDescent="0.25">
      <c r="A122" s="7"/>
      <c r="B122" s="7"/>
      <c r="C122" s="7"/>
      <c r="D122" s="7"/>
      <c r="E122" s="7"/>
      <c r="F122" s="16" t="s">
        <v>174</v>
      </c>
      <c r="G122" s="10">
        <v>1</v>
      </c>
      <c r="H122" s="10">
        <v>4</v>
      </c>
      <c r="I122" s="13">
        <v>7</v>
      </c>
      <c r="J122" s="13">
        <v>3</v>
      </c>
      <c r="K122" s="13">
        <v>115336</v>
      </c>
      <c r="L122" s="13">
        <v>10</v>
      </c>
      <c r="M122" s="13">
        <v>5</v>
      </c>
      <c r="N122" s="11">
        <v>45963</v>
      </c>
      <c r="O122" s="18">
        <v>2025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</row>
    <row r="123" spans="1:62" x14ac:dyDescent="0.25">
      <c r="A123" s="7"/>
      <c r="B123" s="7"/>
      <c r="C123" s="7"/>
      <c r="D123" s="7"/>
      <c r="E123" s="7"/>
      <c r="F123" s="17" t="s">
        <v>175</v>
      </c>
      <c r="G123" s="12">
        <v>1</v>
      </c>
      <c r="H123" s="12">
        <v>2</v>
      </c>
      <c r="I123" s="13">
        <v>5</v>
      </c>
      <c r="J123" s="13">
        <v>1</v>
      </c>
      <c r="K123" s="13">
        <v>77223</v>
      </c>
      <c r="L123" s="13">
        <v>5</v>
      </c>
      <c r="M123" s="13">
        <v>4</v>
      </c>
      <c r="N123" s="11" t="s">
        <v>176</v>
      </c>
      <c r="O123" s="18">
        <v>2025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</row>
    <row r="124" spans="1:62" x14ac:dyDescent="0.25">
      <c r="A124" s="7"/>
      <c r="B124" s="7"/>
      <c r="C124" s="7"/>
      <c r="D124" s="7"/>
      <c r="E124" s="7"/>
      <c r="F124" s="16" t="s">
        <v>177</v>
      </c>
      <c r="G124" s="10">
        <v>1</v>
      </c>
      <c r="H124" s="10">
        <v>2</v>
      </c>
      <c r="I124" s="13">
        <v>3</v>
      </c>
      <c r="J124" s="13">
        <v>1</v>
      </c>
      <c r="K124" s="13">
        <v>61574</v>
      </c>
      <c r="L124" s="13">
        <v>2</v>
      </c>
      <c r="M124" s="13">
        <v>2</v>
      </c>
      <c r="N124" s="11">
        <v>45880</v>
      </c>
      <c r="O124" s="18">
        <v>2025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</row>
    <row r="125" spans="1:62" x14ac:dyDescent="0.25">
      <c r="A125" s="7"/>
      <c r="B125" s="7"/>
      <c r="C125" s="7"/>
      <c r="D125" s="7"/>
      <c r="E125" s="7"/>
      <c r="F125" s="17" t="s">
        <v>178</v>
      </c>
      <c r="G125" s="12">
        <v>1</v>
      </c>
      <c r="H125" s="12">
        <v>4</v>
      </c>
      <c r="I125" s="13">
        <v>7</v>
      </c>
      <c r="J125" s="13">
        <v>5</v>
      </c>
      <c r="K125" s="13">
        <v>79624</v>
      </c>
      <c r="L125" s="13">
        <v>10</v>
      </c>
      <c r="M125" s="13">
        <v>5</v>
      </c>
      <c r="N125" s="11" t="s">
        <v>179</v>
      </c>
      <c r="O125" s="18">
        <v>2025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</row>
    <row r="126" spans="1:62" x14ac:dyDescent="0.25">
      <c r="A126" s="7"/>
      <c r="B126" s="7"/>
      <c r="C126" s="7"/>
      <c r="D126" s="7"/>
      <c r="E126" s="7"/>
      <c r="F126" s="16" t="s">
        <v>180</v>
      </c>
      <c r="G126" s="10">
        <v>1</v>
      </c>
      <c r="H126" s="10">
        <v>3</v>
      </c>
      <c r="I126" s="13">
        <v>4</v>
      </c>
      <c r="J126" s="13">
        <v>5</v>
      </c>
      <c r="K126" s="13">
        <v>45458</v>
      </c>
      <c r="L126" s="13">
        <v>2</v>
      </c>
      <c r="M126" s="13">
        <v>2</v>
      </c>
      <c r="N126" s="11">
        <v>45455</v>
      </c>
      <c r="O126" s="18">
        <v>2024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</row>
    <row r="127" spans="1:62" x14ac:dyDescent="0.25">
      <c r="A127" s="7"/>
      <c r="B127" s="7"/>
      <c r="C127" s="7"/>
      <c r="D127" s="7"/>
      <c r="E127" s="7"/>
      <c r="F127" s="17" t="s">
        <v>181</v>
      </c>
      <c r="G127" s="12">
        <v>1</v>
      </c>
      <c r="H127" s="12">
        <v>2</v>
      </c>
      <c r="I127" s="13">
        <v>5</v>
      </c>
      <c r="J127" s="13">
        <v>4</v>
      </c>
      <c r="K127" s="13">
        <v>60349</v>
      </c>
      <c r="L127" s="13">
        <v>9</v>
      </c>
      <c r="M127" s="13">
        <v>3</v>
      </c>
      <c r="N127" s="11" t="s">
        <v>182</v>
      </c>
      <c r="O127" s="18">
        <v>2023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</row>
    <row r="128" spans="1:62" x14ac:dyDescent="0.25">
      <c r="A128" s="7"/>
      <c r="B128" s="7"/>
      <c r="C128" s="7"/>
      <c r="D128" s="7"/>
      <c r="E128" s="7"/>
      <c r="F128" s="16" t="s">
        <v>183</v>
      </c>
      <c r="G128" s="10">
        <v>1</v>
      </c>
      <c r="H128" s="10">
        <v>6</v>
      </c>
      <c r="I128" s="13">
        <v>9</v>
      </c>
      <c r="J128" s="13">
        <v>4</v>
      </c>
      <c r="K128" s="13">
        <v>103163</v>
      </c>
      <c r="L128" s="13">
        <v>3</v>
      </c>
      <c r="M128" s="13">
        <v>3</v>
      </c>
      <c r="N128" s="11">
        <v>45383</v>
      </c>
      <c r="O128" s="18">
        <v>2024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</row>
    <row r="129" spans="1:62" x14ac:dyDescent="0.25">
      <c r="A129" s="7"/>
      <c r="B129" s="7"/>
      <c r="C129" s="7"/>
      <c r="D129" s="7"/>
      <c r="E129" s="7"/>
      <c r="F129" s="17" t="s">
        <v>184</v>
      </c>
      <c r="G129" s="12">
        <v>1</v>
      </c>
      <c r="H129" s="12">
        <v>4</v>
      </c>
      <c r="I129" s="13">
        <v>6</v>
      </c>
      <c r="J129" s="13">
        <v>1</v>
      </c>
      <c r="K129" s="13">
        <v>52724</v>
      </c>
      <c r="L129" s="13">
        <v>2</v>
      </c>
      <c r="M129" s="13">
        <v>2</v>
      </c>
      <c r="N129" s="11">
        <v>45631</v>
      </c>
      <c r="O129" s="18">
        <v>2024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</row>
    <row r="130" spans="1:62" x14ac:dyDescent="0.25">
      <c r="A130" s="7"/>
      <c r="B130" s="7"/>
      <c r="C130" s="7"/>
      <c r="D130" s="7"/>
      <c r="E130" s="7"/>
      <c r="F130" s="16" t="s">
        <v>185</v>
      </c>
      <c r="G130" s="10">
        <v>1</v>
      </c>
      <c r="H130" s="10">
        <v>1</v>
      </c>
      <c r="I130" s="13">
        <v>1</v>
      </c>
      <c r="J130" s="13">
        <v>1</v>
      </c>
      <c r="K130" s="13">
        <v>67281</v>
      </c>
      <c r="L130" s="13">
        <v>7</v>
      </c>
      <c r="M130" s="13">
        <v>1</v>
      </c>
      <c r="N130" s="11">
        <v>45666</v>
      </c>
      <c r="O130" s="18">
        <v>2025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</row>
    <row r="131" spans="1:62" x14ac:dyDescent="0.25">
      <c r="A131" s="7"/>
      <c r="B131" s="7"/>
      <c r="C131" s="7"/>
      <c r="D131" s="7"/>
      <c r="E131" s="7"/>
      <c r="F131" s="17" t="s">
        <v>186</v>
      </c>
      <c r="G131" s="12">
        <v>1</v>
      </c>
      <c r="H131" s="12">
        <v>5</v>
      </c>
      <c r="I131" s="13">
        <v>11</v>
      </c>
      <c r="J131" s="13">
        <v>1</v>
      </c>
      <c r="K131" s="13">
        <v>47082</v>
      </c>
      <c r="L131" s="13">
        <v>4</v>
      </c>
      <c r="M131" s="13">
        <v>2</v>
      </c>
      <c r="N131" s="11" t="s">
        <v>94</v>
      </c>
      <c r="O131" s="18">
        <v>2024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</row>
    <row r="132" spans="1:62" x14ac:dyDescent="0.25">
      <c r="A132" s="7"/>
      <c r="B132" s="7"/>
      <c r="C132" s="7"/>
      <c r="D132" s="7"/>
      <c r="E132" s="7"/>
      <c r="F132" s="16" t="s">
        <v>187</v>
      </c>
      <c r="G132" s="10">
        <v>1</v>
      </c>
      <c r="H132" s="10">
        <v>4</v>
      </c>
      <c r="I132" s="13">
        <v>6</v>
      </c>
      <c r="J132" s="13">
        <v>4</v>
      </c>
      <c r="K132" s="13">
        <v>115162</v>
      </c>
      <c r="L132" s="13">
        <v>1</v>
      </c>
      <c r="M132" s="13">
        <v>1</v>
      </c>
      <c r="N132" s="11">
        <v>45845</v>
      </c>
      <c r="O132" s="18">
        <v>2025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</row>
    <row r="133" spans="1:62" x14ac:dyDescent="0.25">
      <c r="A133" s="7"/>
      <c r="B133" s="7"/>
      <c r="C133" s="7"/>
      <c r="D133" s="7"/>
      <c r="E133" s="7"/>
      <c r="F133" s="17" t="s">
        <v>188</v>
      </c>
      <c r="G133" s="12">
        <v>1</v>
      </c>
      <c r="H133" s="12">
        <v>2</v>
      </c>
      <c r="I133" s="13">
        <v>3</v>
      </c>
      <c r="J133" s="13">
        <v>5</v>
      </c>
      <c r="K133" s="13">
        <v>62500</v>
      </c>
      <c r="L133" s="13">
        <v>4</v>
      </c>
      <c r="M133" s="13">
        <v>2</v>
      </c>
      <c r="N133" s="11" t="s">
        <v>189</v>
      </c>
      <c r="O133" s="18">
        <v>2024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</row>
    <row r="134" spans="1:62" x14ac:dyDescent="0.25">
      <c r="A134" s="7"/>
      <c r="B134" s="7"/>
      <c r="C134" s="7"/>
      <c r="D134" s="7"/>
      <c r="E134" s="7"/>
      <c r="F134" s="16" t="s">
        <v>190</v>
      </c>
      <c r="G134" s="10">
        <v>1</v>
      </c>
      <c r="H134" s="10">
        <v>4</v>
      </c>
      <c r="I134" s="13">
        <v>7</v>
      </c>
      <c r="J134" s="13">
        <v>1</v>
      </c>
      <c r="K134" s="13">
        <v>114507</v>
      </c>
      <c r="L134" s="13">
        <v>3</v>
      </c>
      <c r="M134" s="13">
        <v>3</v>
      </c>
      <c r="N134" s="11">
        <v>45326</v>
      </c>
      <c r="O134" s="18">
        <v>2024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</row>
    <row r="135" spans="1:62" x14ac:dyDescent="0.25">
      <c r="A135" s="7"/>
      <c r="B135" s="7"/>
      <c r="C135" s="7"/>
      <c r="D135" s="7"/>
      <c r="E135" s="7"/>
      <c r="F135" s="17" t="s">
        <v>191</v>
      </c>
      <c r="G135" s="12">
        <v>1</v>
      </c>
      <c r="H135" s="12">
        <v>6</v>
      </c>
      <c r="I135" s="13">
        <v>12</v>
      </c>
      <c r="J135" s="13">
        <v>1</v>
      </c>
      <c r="K135" s="13">
        <v>105811</v>
      </c>
      <c r="L135" s="13">
        <v>6</v>
      </c>
      <c r="M135" s="13">
        <v>2</v>
      </c>
      <c r="N135" s="11" t="s">
        <v>192</v>
      </c>
      <c r="O135" s="18">
        <v>2024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</row>
    <row r="136" spans="1:62" x14ac:dyDescent="0.25">
      <c r="A136" s="7"/>
      <c r="B136" s="7"/>
      <c r="C136" s="7"/>
      <c r="D136" s="7"/>
      <c r="E136" s="7"/>
      <c r="F136" s="16" t="s">
        <v>193</v>
      </c>
      <c r="G136" s="10">
        <v>2</v>
      </c>
      <c r="H136" s="10">
        <v>7</v>
      </c>
      <c r="I136" s="13">
        <v>13</v>
      </c>
      <c r="J136" s="13">
        <v>1</v>
      </c>
      <c r="K136" s="13">
        <v>15624</v>
      </c>
      <c r="L136" s="13">
        <v>6</v>
      </c>
      <c r="M136" s="13">
        <v>5</v>
      </c>
      <c r="N136" s="11" t="s">
        <v>197</v>
      </c>
      <c r="O136" s="18">
        <v>2025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</row>
    <row r="137" spans="1:62" x14ac:dyDescent="0.25">
      <c r="A137" s="7"/>
      <c r="B137" s="7"/>
      <c r="C137" s="7"/>
      <c r="D137" s="7"/>
      <c r="E137" s="7"/>
      <c r="F137" s="17" t="s">
        <v>198</v>
      </c>
      <c r="G137" s="12">
        <v>2</v>
      </c>
      <c r="H137" s="12">
        <v>8</v>
      </c>
      <c r="I137" s="13">
        <v>14</v>
      </c>
      <c r="J137" s="13">
        <v>2</v>
      </c>
      <c r="K137" s="13">
        <v>66123</v>
      </c>
      <c r="L137" s="13">
        <v>4</v>
      </c>
      <c r="M137" s="13">
        <v>2</v>
      </c>
      <c r="N137" s="11" t="s">
        <v>201</v>
      </c>
      <c r="O137" s="18">
        <v>2025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</row>
    <row r="138" spans="1:62" x14ac:dyDescent="0.25">
      <c r="A138" s="7"/>
      <c r="B138" s="7"/>
      <c r="C138" s="7"/>
      <c r="D138" s="7"/>
      <c r="E138" s="7"/>
      <c r="F138" s="16" t="s">
        <v>202</v>
      </c>
      <c r="G138" s="10">
        <v>2</v>
      </c>
      <c r="H138" s="10">
        <v>9</v>
      </c>
      <c r="I138" s="13">
        <v>15</v>
      </c>
      <c r="J138" s="13">
        <v>4</v>
      </c>
      <c r="K138" s="13">
        <v>26124</v>
      </c>
      <c r="L138" s="13">
        <v>7</v>
      </c>
      <c r="M138" s="13">
        <v>5</v>
      </c>
      <c r="N138" s="11" t="s">
        <v>38</v>
      </c>
      <c r="O138" s="18">
        <v>2025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</row>
    <row r="139" spans="1:62" x14ac:dyDescent="0.25">
      <c r="A139" s="7"/>
      <c r="B139" s="7"/>
      <c r="C139" s="7"/>
      <c r="D139" s="7"/>
      <c r="E139" s="7"/>
      <c r="F139" s="17" t="s">
        <v>205</v>
      </c>
      <c r="G139" s="12">
        <v>2</v>
      </c>
      <c r="H139" s="12">
        <v>10</v>
      </c>
      <c r="I139" s="13">
        <v>16</v>
      </c>
      <c r="J139" s="13">
        <v>5</v>
      </c>
      <c r="K139" s="13">
        <v>57429</v>
      </c>
      <c r="L139" s="13">
        <v>4</v>
      </c>
      <c r="M139" s="13">
        <v>1</v>
      </c>
      <c r="N139" s="11">
        <v>45935</v>
      </c>
      <c r="O139" s="18">
        <v>2025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</row>
    <row r="140" spans="1:62" x14ac:dyDescent="0.25">
      <c r="A140" s="7"/>
      <c r="B140" s="7"/>
      <c r="C140" s="7"/>
      <c r="D140" s="7"/>
      <c r="E140" s="7"/>
      <c r="F140" s="16" t="s">
        <v>208</v>
      </c>
      <c r="G140" s="10">
        <v>2</v>
      </c>
      <c r="H140" s="10">
        <v>11</v>
      </c>
      <c r="I140" s="13">
        <v>17</v>
      </c>
      <c r="J140" s="13">
        <v>2</v>
      </c>
      <c r="K140" s="13">
        <v>89091</v>
      </c>
      <c r="L140" s="13">
        <v>7</v>
      </c>
      <c r="M140" s="13">
        <v>4</v>
      </c>
      <c r="N140" s="11" t="s">
        <v>197</v>
      </c>
      <c r="O140" s="18">
        <v>2025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</row>
    <row r="141" spans="1:62" x14ac:dyDescent="0.25">
      <c r="A141" s="7"/>
      <c r="B141" s="7"/>
      <c r="C141" s="7"/>
      <c r="D141" s="7"/>
      <c r="E141" s="7"/>
      <c r="F141" s="17" t="s">
        <v>211</v>
      </c>
      <c r="G141" s="12">
        <v>2</v>
      </c>
      <c r="H141" s="12">
        <v>10</v>
      </c>
      <c r="I141" s="13">
        <v>16</v>
      </c>
      <c r="J141" s="13">
        <v>4</v>
      </c>
      <c r="K141" s="13">
        <v>30710</v>
      </c>
      <c r="L141" s="13">
        <v>4</v>
      </c>
      <c r="M141" s="13">
        <v>2</v>
      </c>
      <c r="N141" s="11" t="s">
        <v>38</v>
      </c>
      <c r="O141" s="18">
        <v>2025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</row>
    <row r="142" spans="1:62" x14ac:dyDescent="0.25">
      <c r="A142" s="7"/>
      <c r="B142" s="7"/>
      <c r="C142" s="7"/>
      <c r="D142" s="7"/>
      <c r="E142" s="7"/>
      <c r="F142" s="16" t="s">
        <v>212</v>
      </c>
      <c r="G142" s="10">
        <v>2</v>
      </c>
      <c r="H142" s="10">
        <v>12</v>
      </c>
      <c r="I142" s="13">
        <v>18</v>
      </c>
      <c r="J142" s="13">
        <v>2</v>
      </c>
      <c r="K142" s="13">
        <v>45254</v>
      </c>
      <c r="L142" s="13">
        <v>2</v>
      </c>
      <c r="M142" s="13">
        <v>1</v>
      </c>
      <c r="N142" s="11">
        <v>45931</v>
      </c>
      <c r="O142" s="18">
        <v>2025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</row>
    <row r="143" spans="1:62" x14ac:dyDescent="0.25">
      <c r="A143" s="7"/>
      <c r="B143" s="7"/>
      <c r="C143" s="7"/>
      <c r="D143" s="7"/>
      <c r="E143" s="7"/>
      <c r="F143" s="17" t="s">
        <v>215</v>
      </c>
      <c r="G143" s="12">
        <v>2</v>
      </c>
      <c r="H143" s="12">
        <v>9</v>
      </c>
      <c r="I143" s="13">
        <v>15</v>
      </c>
      <c r="J143" s="13">
        <v>3</v>
      </c>
      <c r="K143" s="13">
        <v>41447</v>
      </c>
      <c r="L143" s="13">
        <v>7</v>
      </c>
      <c r="M143" s="13">
        <v>5</v>
      </c>
      <c r="N143" s="11" t="s">
        <v>216</v>
      </c>
      <c r="O143" s="18">
        <v>2025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</row>
    <row r="144" spans="1:62" x14ac:dyDescent="0.25">
      <c r="A144" s="7"/>
      <c r="B144" s="7"/>
      <c r="C144" s="7"/>
      <c r="D144" s="7"/>
      <c r="E144" s="7"/>
      <c r="F144" s="16" t="s">
        <v>217</v>
      </c>
      <c r="G144" s="10">
        <v>2</v>
      </c>
      <c r="H144" s="10">
        <v>12</v>
      </c>
      <c r="I144" s="13">
        <v>18</v>
      </c>
      <c r="J144" s="13">
        <v>2</v>
      </c>
      <c r="K144" s="13">
        <v>50220</v>
      </c>
      <c r="L144" s="13">
        <v>7</v>
      </c>
      <c r="M144" s="13">
        <v>1</v>
      </c>
      <c r="N144" s="11" t="s">
        <v>218</v>
      </c>
      <c r="O144" s="18">
        <v>2025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</row>
    <row r="145" spans="1:62" x14ac:dyDescent="0.25">
      <c r="A145" s="7"/>
      <c r="B145" s="7"/>
      <c r="C145" s="7"/>
      <c r="D145" s="7"/>
      <c r="E145" s="7"/>
      <c r="F145" s="17" t="s">
        <v>219</v>
      </c>
      <c r="G145" s="12">
        <v>2</v>
      </c>
      <c r="H145" s="12">
        <v>7</v>
      </c>
      <c r="I145" s="13">
        <v>13</v>
      </c>
      <c r="J145" s="13">
        <v>5</v>
      </c>
      <c r="K145" s="13">
        <v>56642</v>
      </c>
      <c r="L145" s="13">
        <v>8</v>
      </c>
      <c r="M145" s="13">
        <v>2</v>
      </c>
      <c r="N145" s="11" t="s">
        <v>220</v>
      </c>
      <c r="O145" s="18">
        <v>2025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</row>
    <row r="146" spans="1:62" x14ac:dyDescent="0.25">
      <c r="A146" s="7"/>
      <c r="B146" s="7"/>
      <c r="C146" s="7"/>
      <c r="D146" s="7"/>
      <c r="E146" s="7"/>
      <c r="F146" s="16" t="s">
        <v>221</v>
      </c>
      <c r="G146" s="10">
        <v>2</v>
      </c>
      <c r="H146" s="10">
        <v>13</v>
      </c>
      <c r="I146" s="13">
        <v>19</v>
      </c>
      <c r="J146" s="13">
        <v>2</v>
      </c>
      <c r="K146" s="13">
        <v>47995</v>
      </c>
      <c r="L146" s="13">
        <v>7</v>
      </c>
      <c r="M146" s="13">
        <v>4</v>
      </c>
      <c r="N146" s="11" t="s">
        <v>224</v>
      </c>
      <c r="O146" s="18">
        <v>2025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</row>
    <row r="147" spans="1:62" x14ac:dyDescent="0.25">
      <c r="A147" s="7"/>
      <c r="B147" s="7"/>
      <c r="C147" s="7"/>
      <c r="D147" s="7"/>
      <c r="E147" s="7"/>
      <c r="F147" s="17" t="s">
        <v>225</v>
      </c>
      <c r="G147" s="12">
        <v>2</v>
      </c>
      <c r="H147" s="12">
        <v>7</v>
      </c>
      <c r="I147" s="13">
        <v>13</v>
      </c>
      <c r="J147" s="13">
        <v>2</v>
      </c>
      <c r="K147" s="13">
        <v>41980</v>
      </c>
      <c r="L147" s="13">
        <v>10</v>
      </c>
      <c r="M147" s="13">
        <v>1</v>
      </c>
      <c r="N147" s="11">
        <v>46000</v>
      </c>
      <c r="O147" s="18">
        <v>2025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</row>
    <row r="148" spans="1:62" x14ac:dyDescent="0.25">
      <c r="A148" s="7"/>
      <c r="B148" s="7"/>
      <c r="C148" s="7"/>
      <c r="D148" s="7"/>
      <c r="E148" s="7"/>
      <c r="F148" s="16" t="s">
        <v>226</v>
      </c>
      <c r="G148" s="10">
        <v>2</v>
      </c>
      <c r="H148" s="10">
        <v>14</v>
      </c>
      <c r="I148" s="13">
        <v>20</v>
      </c>
      <c r="J148" s="13">
        <v>4</v>
      </c>
      <c r="K148" s="13">
        <v>77679</v>
      </c>
      <c r="L148" s="13">
        <v>7</v>
      </c>
      <c r="M148" s="13">
        <v>5</v>
      </c>
      <c r="N148" s="11" t="s">
        <v>229</v>
      </c>
      <c r="O148" s="18">
        <v>2025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</row>
    <row r="149" spans="1:62" x14ac:dyDescent="0.25">
      <c r="A149" s="7"/>
      <c r="B149" s="7"/>
      <c r="C149" s="7"/>
      <c r="D149" s="7"/>
      <c r="E149" s="7"/>
      <c r="F149" s="17" t="s">
        <v>230</v>
      </c>
      <c r="G149" s="12">
        <v>2</v>
      </c>
      <c r="H149" s="12">
        <v>13</v>
      </c>
      <c r="I149" s="13">
        <v>19</v>
      </c>
      <c r="J149" s="13">
        <v>3</v>
      </c>
      <c r="K149" s="13">
        <v>15212</v>
      </c>
      <c r="L149" s="13">
        <v>2</v>
      </c>
      <c r="M149" s="13">
        <v>1</v>
      </c>
      <c r="N149" s="11" t="s">
        <v>231</v>
      </c>
      <c r="O149" s="18">
        <v>2025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</row>
    <row r="150" spans="1:62" x14ac:dyDescent="0.25">
      <c r="A150" s="7"/>
      <c r="B150" s="7"/>
      <c r="C150" s="7"/>
      <c r="D150" s="7"/>
      <c r="E150" s="7"/>
      <c r="F150" s="16" t="s">
        <v>232</v>
      </c>
      <c r="G150" s="10">
        <v>2</v>
      </c>
      <c r="H150" s="10">
        <v>7</v>
      </c>
      <c r="I150" s="13">
        <v>13</v>
      </c>
      <c r="J150" s="13">
        <v>4</v>
      </c>
      <c r="K150" s="13">
        <v>23594</v>
      </c>
      <c r="L150" s="13">
        <v>4</v>
      </c>
      <c r="M150" s="13">
        <v>2</v>
      </c>
      <c r="N150" s="11">
        <v>45780</v>
      </c>
      <c r="O150" s="18">
        <v>2025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</row>
    <row r="151" spans="1:62" x14ac:dyDescent="0.25">
      <c r="A151" s="7"/>
      <c r="B151" s="7"/>
      <c r="C151" s="7"/>
      <c r="D151" s="7"/>
      <c r="E151" s="7"/>
      <c r="F151" s="17" t="s">
        <v>233</v>
      </c>
      <c r="G151" s="12">
        <v>2</v>
      </c>
      <c r="H151" s="12">
        <v>8</v>
      </c>
      <c r="I151" s="13">
        <v>14</v>
      </c>
      <c r="J151" s="13">
        <v>2</v>
      </c>
      <c r="K151" s="13">
        <v>39135</v>
      </c>
      <c r="L151" s="13">
        <v>2</v>
      </c>
      <c r="M151" s="13">
        <v>4</v>
      </c>
      <c r="N151" s="11">
        <v>45394</v>
      </c>
      <c r="O151" s="18">
        <v>2024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</row>
    <row r="152" spans="1:62" x14ac:dyDescent="0.25">
      <c r="A152" s="7"/>
      <c r="B152" s="7"/>
      <c r="C152" s="7"/>
      <c r="D152" s="7"/>
      <c r="E152" s="7"/>
      <c r="F152" s="16" t="s">
        <v>234</v>
      </c>
      <c r="G152" s="10">
        <v>2</v>
      </c>
      <c r="H152" s="10">
        <v>12</v>
      </c>
      <c r="I152" s="13">
        <v>18</v>
      </c>
      <c r="J152" s="13">
        <v>1</v>
      </c>
      <c r="K152" s="13">
        <v>78139</v>
      </c>
      <c r="L152" s="13">
        <v>8</v>
      </c>
      <c r="M152" s="13">
        <v>1</v>
      </c>
      <c r="N152" s="11" t="s">
        <v>235</v>
      </c>
      <c r="O152" s="18">
        <v>2025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</row>
    <row r="153" spans="1:62" x14ac:dyDescent="0.25">
      <c r="A153" s="7"/>
      <c r="B153" s="7"/>
      <c r="C153" s="7"/>
      <c r="D153" s="7"/>
      <c r="E153" s="7"/>
      <c r="F153" s="17" t="s">
        <v>236</v>
      </c>
      <c r="G153" s="12">
        <v>2</v>
      </c>
      <c r="H153" s="12">
        <v>10</v>
      </c>
      <c r="I153" s="13">
        <v>16</v>
      </c>
      <c r="J153" s="13">
        <v>4</v>
      </c>
      <c r="K153" s="13">
        <v>22816</v>
      </c>
      <c r="L153" s="13">
        <v>6</v>
      </c>
      <c r="M153" s="13">
        <v>1</v>
      </c>
      <c r="N153" s="11" t="s">
        <v>31</v>
      </c>
      <c r="O153" s="18">
        <v>2024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</row>
    <row r="154" spans="1:62" x14ac:dyDescent="0.25">
      <c r="A154" s="7"/>
      <c r="B154" s="7"/>
      <c r="C154" s="7"/>
      <c r="D154" s="7"/>
      <c r="E154" s="7"/>
      <c r="F154" s="16" t="s">
        <v>237</v>
      </c>
      <c r="G154" s="10">
        <v>2</v>
      </c>
      <c r="H154" s="10">
        <v>12</v>
      </c>
      <c r="I154" s="13">
        <v>18</v>
      </c>
      <c r="J154" s="13">
        <v>3</v>
      </c>
      <c r="K154" s="13">
        <v>61792</v>
      </c>
      <c r="L154" s="13">
        <v>10</v>
      </c>
      <c r="M154" s="13">
        <v>2</v>
      </c>
      <c r="N154" s="11" t="s">
        <v>238</v>
      </c>
      <c r="O154" s="18">
        <v>2025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</row>
    <row r="155" spans="1:62" x14ac:dyDescent="0.25">
      <c r="A155" s="7"/>
      <c r="B155" s="7"/>
      <c r="C155" s="7"/>
      <c r="D155" s="7"/>
      <c r="E155" s="7"/>
      <c r="F155" s="17" t="s">
        <v>239</v>
      </c>
      <c r="G155" s="12">
        <v>2</v>
      </c>
      <c r="H155" s="12">
        <v>14</v>
      </c>
      <c r="I155" s="13">
        <v>20</v>
      </c>
      <c r="J155" s="13">
        <v>1</v>
      </c>
      <c r="K155" s="13">
        <v>57884</v>
      </c>
      <c r="L155" s="13">
        <v>2</v>
      </c>
      <c r="M155" s="13">
        <v>4</v>
      </c>
      <c r="N155" s="11" t="s">
        <v>240</v>
      </c>
      <c r="O155" s="18">
        <v>2025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</row>
    <row r="156" spans="1:62" x14ac:dyDescent="0.25">
      <c r="A156" s="7"/>
      <c r="B156" s="7"/>
      <c r="C156" s="7"/>
      <c r="D156" s="7"/>
      <c r="E156" s="7"/>
      <c r="F156" s="16" t="s">
        <v>241</v>
      </c>
      <c r="G156" s="10">
        <v>2</v>
      </c>
      <c r="H156" s="10">
        <v>15</v>
      </c>
      <c r="I156" s="13">
        <v>21</v>
      </c>
      <c r="J156" s="13">
        <v>2</v>
      </c>
      <c r="K156" s="13">
        <v>82795</v>
      </c>
      <c r="L156" s="13">
        <v>8</v>
      </c>
      <c r="M156" s="13">
        <v>5</v>
      </c>
      <c r="N156" s="11">
        <v>45846</v>
      </c>
      <c r="O156" s="18">
        <v>2025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</row>
    <row r="157" spans="1:62" x14ac:dyDescent="0.25">
      <c r="A157" s="7"/>
      <c r="B157" s="7"/>
      <c r="C157" s="7"/>
      <c r="D157" s="7"/>
      <c r="E157" s="7"/>
      <c r="F157" s="17" t="s">
        <v>244</v>
      </c>
      <c r="G157" s="12">
        <v>2</v>
      </c>
      <c r="H157" s="12">
        <v>10</v>
      </c>
      <c r="I157" s="13">
        <v>16</v>
      </c>
      <c r="J157" s="13">
        <v>5</v>
      </c>
      <c r="K157" s="13">
        <v>33402</v>
      </c>
      <c r="L157" s="13">
        <v>7</v>
      </c>
      <c r="M157" s="13">
        <v>5</v>
      </c>
      <c r="N157" s="11" t="s">
        <v>245</v>
      </c>
      <c r="O157" s="18">
        <v>2024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</row>
    <row r="158" spans="1:62" x14ac:dyDescent="0.25">
      <c r="A158" s="7"/>
      <c r="B158" s="7"/>
      <c r="C158" s="7"/>
      <c r="D158" s="7"/>
      <c r="E158" s="7"/>
      <c r="F158" s="16" t="s">
        <v>246</v>
      </c>
      <c r="G158" s="10">
        <v>2</v>
      </c>
      <c r="H158" s="10">
        <v>15</v>
      </c>
      <c r="I158" s="13">
        <v>21</v>
      </c>
      <c r="J158" s="13">
        <v>4</v>
      </c>
      <c r="K158" s="13">
        <v>25166</v>
      </c>
      <c r="L158" s="13">
        <v>4</v>
      </c>
      <c r="M158" s="13">
        <v>1</v>
      </c>
      <c r="N158" s="11" t="s">
        <v>245</v>
      </c>
      <c r="O158" s="18">
        <v>2024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</row>
    <row r="159" spans="1:62" x14ac:dyDescent="0.25">
      <c r="A159" s="7"/>
      <c r="B159" s="7"/>
      <c r="C159" s="7"/>
      <c r="D159" s="7"/>
      <c r="E159" s="7"/>
      <c r="F159" s="17" t="s">
        <v>247</v>
      </c>
      <c r="G159" s="12">
        <v>2</v>
      </c>
      <c r="H159" s="12">
        <v>14</v>
      </c>
      <c r="I159" s="13">
        <v>20</v>
      </c>
      <c r="J159" s="13">
        <v>5</v>
      </c>
      <c r="K159" s="13">
        <v>13403</v>
      </c>
      <c r="L159" s="13">
        <v>8</v>
      </c>
      <c r="M159" s="13">
        <v>1</v>
      </c>
      <c r="N159" s="11" t="s">
        <v>248</v>
      </c>
      <c r="O159" s="18">
        <v>2024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</row>
    <row r="160" spans="1:62" x14ac:dyDescent="0.25">
      <c r="A160" s="7"/>
      <c r="B160" s="7"/>
      <c r="C160" s="7"/>
      <c r="D160" s="7"/>
      <c r="E160" s="7"/>
      <c r="F160" s="16" t="s">
        <v>249</v>
      </c>
      <c r="G160" s="10">
        <v>2</v>
      </c>
      <c r="H160" s="10">
        <v>14</v>
      </c>
      <c r="I160" s="13">
        <v>20</v>
      </c>
      <c r="J160" s="13">
        <v>3</v>
      </c>
      <c r="K160" s="13">
        <v>80420</v>
      </c>
      <c r="L160" s="13">
        <v>8</v>
      </c>
      <c r="M160" s="13">
        <v>4</v>
      </c>
      <c r="N160" s="11" t="s">
        <v>250</v>
      </c>
      <c r="O160" s="18">
        <v>2025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</row>
    <row r="161" spans="1:62" x14ac:dyDescent="0.25">
      <c r="A161" s="7"/>
      <c r="B161" s="7"/>
      <c r="C161" s="7"/>
      <c r="D161" s="7"/>
      <c r="E161" s="7"/>
      <c r="F161" s="17" t="s">
        <v>251</v>
      </c>
      <c r="G161" s="12">
        <v>2</v>
      </c>
      <c r="H161" s="12">
        <v>9</v>
      </c>
      <c r="I161" s="13">
        <v>15</v>
      </c>
      <c r="J161" s="13">
        <v>1</v>
      </c>
      <c r="K161" s="13">
        <v>42564</v>
      </c>
      <c r="L161" s="13">
        <v>4</v>
      </c>
      <c r="M161" s="13">
        <v>5</v>
      </c>
      <c r="N161" s="11" t="s">
        <v>124</v>
      </c>
      <c r="O161" s="18">
        <v>2024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</row>
    <row r="162" spans="1:62" x14ac:dyDescent="0.25">
      <c r="A162" s="7"/>
      <c r="B162" s="7"/>
      <c r="C162" s="7"/>
      <c r="D162" s="7"/>
      <c r="E162" s="7"/>
      <c r="F162" s="16" t="s">
        <v>252</v>
      </c>
      <c r="G162" s="10">
        <v>2</v>
      </c>
      <c r="H162" s="10">
        <v>16</v>
      </c>
      <c r="I162" s="13">
        <v>22</v>
      </c>
      <c r="J162" s="13">
        <v>4</v>
      </c>
      <c r="K162" s="13">
        <v>61702</v>
      </c>
      <c r="L162" s="13">
        <v>4</v>
      </c>
      <c r="M162" s="13">
        <v>5</v>
      </c>
      <c r="N162" s="11">
        <v>45485</v>
      </c>
      <c r="O162" s="18">
        <v>2024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</row>
    <row r="163" spans="1:62" x14ac:dyDescent="0.25">
      <c r="A163" s="7"/>
      <c r="B163" s="7"/>
      <c r="C163" s="7"/>
      <c r="D163" s="7"/>
      <c r="E163" s="7"/>
      <c r="F163" s="17" t="s">
        <v>255</v>
      </c>
      <c r="G163" s="12">
        <v>2</v>
      </c>
      <c r="H163" s="12">
        <v>9</v>
      </c>
      <c r="I163" s="13">
        <v>15</v>
      </c>
      <c r="J163" s="13">
        <v>3</v>
      </c>
      <c r="K163" s="13">
        <v>87888</v>
      </c>
      <c r="L163" s="13">
        <v>10</v>
      </c>
      <c r="M163" s="13">
        <v>2</v>
      </c>
      <c r="N163" s="11">
        <v>45848</v>
      </c>
      <c r="O163" s="18">
        <v>2025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</row>
    <row r="164" spans="1:62" x14ac:dyDescent="0.25">
      <c r="A164" s="7"/>
      <c r="B164" s="7"/>
      <c r="C164" s="7"/>
      <c r="D164" s="7"/>
      <c r="E164" s="7"/>
      <c r="F164" s="16" t="s">
        <v>256</v>
      </c>
      <c r="G164" s="10">
        <v>2</v>
      </c>
      <c r="H164" s="10">
        <v>11</v>
      </c>
      <c r="I164" s="13">
        <v>17</v>
      </c>
      <c r="J164" s="13">
        <v>2</v>
      </c>
      <c r="K164" s="13">
        <v>43797</v>
      </c>
      <c r="L164" s="13">
        <v>2</v>
      </c>
      <c r="M164" s="13">
        <v>4</v>
      </c>
      <c r="N164" s="11" t="s">
        <v>257</v>
      </c>
      <c r="O164" s="18">
        <v>2024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</row>
    <row r="165" spans="1:62" x14ac:dyDescent="0.25">
      <c r="A165" s="7"/>
      <c r="B165" s="7"/>
      <c r="C165" s="7"/>
      <c r="D165" s="7"/>
      <c r="E165" s="7"/>
      <c r="F165" s="17" t="s">
        <v>258</v>
      </c>
      <c r="G165" s="12">
        <v>2</v>
      </c>
      <c r="H165" s="12">
        <v>14</v>
      </c>
      <c r="I165" s="13">
        <v>20</v>
      </c>
      <c r="J165" s="13">
        <v>3</v>
      </c>
      <c r="K165" s="13">
        <v>68782</v>
      </c>
      <c r="L165" s="13">
        <v>4</v>
      </c>
      <c r="M165" s="13">
        <v>4</v>
      </c>
      <c r="N165" s="11" t="s">
        <v>218</v>
      </c>
      <c r="O165" s="18">
        <v>2025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</row>
    <row r="166" spans="1:62" x14ac:dyDescent="0.25">
      <c r="A166" s="7"/>
      <c r="B166" s="7"/>
      <c r="C166" s="7"/>
      <c r="D166" s="7"/>
      <c r="E166" s="7"/>
      <c r="F166" s="16" t="s">
        <v>259</v>
      </c>
      <c r="G166" s="10">
        <v>2</v>
      </c>
      <c r="H166" s="10">
        <v>16</v>
      </c>
      <c r="I166" s="13">
        <v>22</v>
      </c>
      <c r="J166" s="13">
        <v>5</v>
      </c>
      <c r="K166" s="13">
        <v>53967</v>
      </c>
      <c r="L166" s="13">
        <v>7</v>
      </c>
      <c r="M166" s="13">
        <v>1</v>
      </c>
      <c r="N166" s="11" t="s">
        <v>260</v>
      </c>
      <c r="O166" s="18">
        <v>2025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</row>
    <row r="167" spans="1:62" x14ac:dyDescent="0.25">
      <c r="A167" s="7"/>
      <c r="B167" s="7"/>
      <c r="C167" s="7"/>
      <c r="D167" s="7"/>
      <c r="E167" s="7"/>
      <c r="F167" s="17" t="s">
        <v>261</v>
      </c>
      <c r="G167" s="12">
        <v>2</v>
      </c>
      <c r="H167" s="12">
        <v>9</v>
      </c>
      <c r="I167" s="13">
        <v>15</v>
      </c>
      <c r="J167" s="13">
        <v>4</v>
      </c>
      <c r="K167" s="13">
        <v>87933</v>
      </c>
      <c r="L167" s="13">
        <v>8</v>
      </c>
      <c r="M167" s="13">
        <v>4</v>
      </c>
      <c r="N167" s="11" t="s">
        <v>262</v>
      </c>
      <c r="O167" s="18">
        <v>2025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</row>
    <row r="168" spans="1:62" x14ac:dyDescent="0.25">
      <c r="A168" s="7"/>
      <c r="B168" s="7"/>
      <c r="C168" s="7"/>
      <c r="D168" s="7"/>
      <c r="E168" s="7"/>
      <c r="F168" s="16" t="s">
        <v>263</v>
      </c>
      <c r="G168" s="10">
        <v>2</v>
      </c>
      <c r="H168" s="10">
        <v>13</v>
      </c>
      <c r="I168" s="13">
        <v>19</v>
      </c>
      <c r="J168" s="13">
        <v>2</v>
      </c>
      <c r="K168" s="13">
        <v>47277</v>
      </c>
      <c r="L168" s="13">
        <v>10</v>
      </c>
      <c r="M168" s="13">
        <v>4</v>
      </c>
      <c r="N168" s="11">
        <v>45658</v>
      </c>
      <c r="O168" s="18">
        <v>2025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</row>
    <row r="169" spans="1:62" x14ac:dyDescent="0.25">
      <c r="A169" s="7"/>
      <c r="B169" s="7"/>
      <c r="C169" s="7"/>
      <c r="D169" s="7"/>
      <c r="E169" s="7"/>
      <c r="F169" s="17" t="s">
        <v>264</v>
      </c>
      <c r="G169" s="12">
        <v>2</v>
      </c>
      <c r="H169" s="12">
        <v>15</v>
      </c>
      <c r="I169" s="13">
        <v>21</v>
      </c>
      <c r="J169" s="13">
        <v>1</v>
      </c>
      <c r="K169" s="13">
        <v>17461</v>
      </c>
      <c r="L169" s="13">
        <v>2</v>
      </c>
      <c r="M169" s="13">
        <v>5</v>
      </c>
      <c r="N169" s="11" t="s">
        <v>265</v>
      </c>
      <c r="O169" s="18">
        <v>2025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</row>
    <row r="170" spans="1:62" x14ac:dyDescent="0.25">
      <c r="A170" s="7"/>
      <c r="B170" s="7"/>
      <c r="C170" s="7"/>
      <c r="D170" s="7"/>
      <c r="E170" s="7"/>
      <c r="F170" s="16" t="s">
        <v>266</v>
      </c>
      <c r="G170" s="10">
        <v>2</v>
      </c>
      <c r="H170" s="10">
        <v>7</v>
      </c>
      <c r="I170" s="13">
        <v>13</v>
      </c>
      <c r="J170" s="13">
        <v>1</v>
      </c>
      <c r="K170" s="13">
        <v>62355</v>
      </c>
      <c r="L170" s="13">
        <v>7</v>
      </c>
      <c r="M170" s="13">
        <v>5</v>
      </c>
      <c r="N170" s="11" t="s">
        <v>267</v>
      </c>
      <c r="O170" s="18">
        <v>2025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</row>
    <row r="171" spans="1:62" x14ac:dyDescent="0.25">
      <c r="A171" s="7"/>
      <c r="B171" s="7"/>
      <c r="C171" s="7"/>
      <c r="D171" s="7"/>
      <c r="E171" s="7"/>
      <c r="F171" s="17" t="s">
        <v>268</v>
      </c>
      <c r="G171" s="12">
        <v>2</v>
      </c>
      <c r="H171" s="12">
        <v>8</v>
      </c>
      <c r="I171" s="13">
        <v>14</v>
      </c>
      <c r="J171" s="13">
        <v>1</v>
      </c>
      <c r="K171" s="13">
        <v>31273</v>
      </c>
      <c r="L171" s="13">
        <v>7</v>
      </c>
      <c r="M171" s="13">
        <v>2</v>
      </c>
      <c r="N171" s="11" t="s">
        <v>73</v>
      </c>
      <c r="O171" s="18">
        <v>2025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</row>
    <row r="172" spans="1:62" x14ac:dyDescent="0.25">
      <c r="A172" s="7"/>
      <c r="B172" s="7"/>
      <c r="C172" s="7"/>
      <c r="D172" s="7"/>
      <c r="E172" s="7"/>
      <c r="F172" s="16" t="s">
        <v>269</v>
      </c>
      <c r="G172" s="10">
        <v>2</v>
      </c>
      <c r="H172" s="10">
        <v>11</v>
      </c>
      <c r="I172" s="13">
        <v>17</v>
      </c>
      <c r="J172" s="13">
        <v>1</v>
      </c>
      <c r="K172" s="13">
        <v>32893</v>
      </c>
      <c r="L172" s="13">
        <v>8</v>
      </c>
      <c r="M172" s="13">
        <v>2</v>
      </c>
      <c r="N172" s="11" t="s">
        <v>98</v>
      </c>
      <c r="O172" s="18">
        <v>2025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</row>
    <row r="173" spans="1:62" x14ac:dyDescent="0.25">
      <c r="A173" s="7"/>
      <c r="B173" s="7"/>
      <c r="C173" s="7"/>
      <c r="D173" s="7"/>
      <c r="E173" s="7"/>
      <c r="F173" s="17" t="s">
        <v>270</v>
      </c>
      <c r="G173" s="12">
        <v>2</v>
      </c>
      <c r="H173" s="12">
        <v>7</v>
      </c>
      <c r="I173" s="13">
        <v>13</v>
      </c>
      <c r="J173" s="13">
        <v>1</v>
      </c>
      <c r="K173" s="13">
        <v>67121</v>
      </c>
      <c r="L173" s="13">
        <v>10</v>
      </c>
      <c r="M173" s="13">
        <v>2</v>
      </c>
      <c r="N173" s="11" t="s">
        <v>271</v>
      </c>
      <c r="O173" s="18">
        <v>2025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</row>
    <row r="174" spans="1:62" x14ac:dyDescent="0.25">
      <c r="A174" s="7"/>
      <c r="B174" s="7"/>
      <c r="C174" s="7"/>
      <c r="D174" s="7"/>
      <c r="E174" s="7"/>
      <c r="F174" s="16" t="s">
        <v>272</v>
      </c>
      <c r="G174" s="10">
        <v>2</v>
      </c>
      <c r="H174" s="10">
        <v>16</v>
      </c>
      <c r="I174" s="13">
        <v>22</v>
      </c>
      <c r="J174" s="13">
        <v>2</v>
      </c>
      <c r="K174" s="13">
        <v>69619</v>
      </c>
      <c r="L174" s="13">
        <v>7</v>
      </c>
      <c r="M174" s="13">
        <v>4</v>
      </c>
      <c r="N174" s="11" t="s">
        <v>273</v>
      </c>
      <c r="O174" s="18">
        <v>2025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</row>
    <row r="175" spans="1:62" x14ac:dyDescent="0.25">
      <c r="A175" s="7"/>
      <c r="B175" s="7"/>
      <c r="C175" s="7"/>
      <c r="D175" s="7"/>
      <c r="E175" s="7"/>
      <c r="F175" s="17" t="s">
        <v>274</v>
      </c>
      <c r="G175" s="12">
        <v>2</v>
      </c>
      <c r="H175" s="12">
        <v>8</v>
      </c>
      <c r="I175" s="13">
        <v>14</v>
      </c>
      <c r="J175" s="13">
        <v>1</v>
      </c>
      <c r="K175" s="13">
        <v>69307</v>
      </c>
      <c r="L175" s="13">
        <v>2</v>
      </c>
      <c r="M175" s="13">
        <v>2</v>
      </c>
      <c r="N175" s="11" t="s">
        <v>275</v>
      </c>
      <c r="O175" s="18">
        <v>2025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</row>
    <row r="176" spans="1:62" x14ac:dyDescent="0.25">
      <c r="A176" s="7"/>
      <c r="B176" s="7"/>
      <c r="C176" s="7"/>
      <c r="D176" s="7"/>
      <c r="E176" s="7"/>
      <c r="F176" s="16" t="s">
        <v>276</v>
      </c>
      <c r="G176" s="10">
        <v>2</v>
      </c>
      <c r="H176" s="10">
        <v>7</v>
      </c>
      <c r="I176" s="13">
        <v>13</v>
      </c>
      <c r="J176" s="13">
        <v>3</v>
      </c>
      <c r="K176" s="13">
        <v>44283</v>
      </c>
      <c r="L176" s="13">
        <v>4</v>
      </c>
      <c r="M176" s="13">
        <v>4</v>
      </c>
      <c r="N176" s="11">
        <v>45516</v>
      </c>
      <c r="O176" s="18">
        <v>2024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</row>
    <row r="177" spans="1:62" x14ac:dyDescent="0.25">
      <c r="A177" s="7"/>
      <c r="B177" s="7"/>
      <c r="C177" s="7"/>
      <c r="D177" s="7"/>
      <c r="E177" s="7"/>
      <c r="F177" s="17" t="s">
        <v>277</v>
      </c>
      <c r="G177" s="12">
        <v>2</v>
      </c>
      <c r="H177" s="12">
        <v>9</v>
      </c>
      <c r="I177" s="13">
        <v>15</v>
      </c>
      <c r="J177" s="13">
        <v>4</v>
      </c>
      <c r="K177" s="13">
        <v>23297</v>
      </c>
      <c r="L177" s="13">
        <v>4</v>
      </c>
      <c r="M177" s="13">
        <v>4</v>
      </c>
      <c r="N177" s="11">
        <v>45665</v>
      </c>
      <c r="O177" s="18">
        <v>2025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</row>
    <row r="178" spans="1:62" x14ac:dyDescent="0.25">
      <c r="A178" s="7"/>
      <c r="B178" s="7"/>
      <c r="C178" s="7"/>
      <c r="D178" s="7"/>
      <c r="E178" s="7"/>
      <c r="F178" s="16" t="s">
        <v>278</v>
      </c>
      <c r="G178" s="10">
        <v>2</v>
      </c>
      <c r="H178" s="10">
        <v>15</v>
      </c>
      <c r="I178" s="13">
        <v>21</v>
      </c>
      <c r="J178" s="13">
        <v>5</v>
      </c>
      <c r="K178" s="13">
        <v>26045</v>
      </c>
      <c r="L178" s="13">
        <v>8</v>
      </c>
      <c r="M178" s="13">
        <v>4</v>
      </c>
      <c r="N178" s="11">
        <v>45516</v>
      </c>
      <c r="O178" s="18">
        <v>2024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</row>
    <row r="179" spans="1:62" x14ac:dyDescent="0.25">
      <c r="A179" s="7"/>
      <c r="B179" s="7"/>
      <c r="C179" s="7"/>
      <c r="D179" s="7"/>
      <c r="E179" s="7"/>
      <c r="F179" s="17" t="s">
        <v>279</v>
      </c>
      <c r="G179" s="12">
        <v>2</v>
      </c>
      <c r="H179" s="12">
        <v>16</v>
      </c>
      <c r="I179" s="13">
        <v>22</v>
      </c>
      <c r="J179" s="13">
        <v>2</v>
      </c>
      <c r="K179" s="13">
        <v>33125</v>
      </c>
      <c r="L179" s="13">
        <v>8</v>
      </c>
      <c r="M179" s="13">
        <v>4</v>
      </c>
      <c r="N179" s="11" t="s">
        <v>280</v>
      </c>
      <c r="O179" s="18">
        <v>2025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</row>
    <row r="180" spans="1:62" x14ac:dyDescent="0.25">
      <c r="A180" s="7"/>
      <c r="B180" s="7"/>
      <c r="C180" s="7"/>
      <c r="D180" s="7"/>
      <c r="E180" s="7"/>
      <c r="F180" s="16" t="s">
        <v>281</v>
      </c>
      <c r="G180" s="10">
        <v>2</v>
      </c>
      <c r="H180" s="10">
        <v>10</v>
      </c>
      <c r="I180" s="13">
        <v>16</v>
      </c>
      <c r="J180" s="13">
        <v>1</v>
      </c>
      <c r="K180" s="13">
        <v>51361</v>
      </c>
      <c r="L180" s="13">
        <v>8</v>
      </c>
      <c r="M180" s="13">
        <v>5</v>
      </c>
      <c r="N180" s="11" t="s">
        <v>282</v>
      </c>
      <c r="O180" s="18">
        <v>2025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</row>
    <row r="181" spans="1:62" x14ac:dyDescent="0.25">
      <c r="A181" s="7"/>
      <c r="B181" s="7"/>
      <c r="C181" s="7"/>
      <c r="D181" s="7"/>
      <c r="E181" s="7"/>
      <c r="F181" s="17" t="s">
        <v>283</v>
      </c>
      <c r="G181" s="12">
        <v>2</v>
      </c>
      <c r="H181" s="12">
        <v>7</v>
      </c>
      <c r="I181" s="13">
        <v>13</v>
      </c>
      <c r="J181" s="13">
        <v>3</v>
      </c>
      <c r="K181" s="13">
        <v>44188</v>
      </c>
      <c r="L181" s="13">
        <v>7</v>
      </c>
      <c r="M181" s="13">
        <v>1</v>
      </c>
      <c r="N181" s="11" t="s">
        <v>284</v>
      </c>
      <c r="O181" s="18">
        <v>2025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</row>
    <row r="182" spans="1:62" x14ac:dyDescent="0.25">
      <c r="A182" s="7"/>
      <c r="B182" s="7"/>
      <c r="C182" s="7"/>
      <c r="D182" s="7"/>
      <c r="E182" s="7"/>
      <c r="F182" s="16" t="s">
        <v>285</v>
      </c>
      <c r="G182" s="10">
        <v>2</v>
      </c>
      <c r="H182" s="10">
        <v>9</v>
      </c>
      <c r="I182" s="13">
        <v>15</v>
      </c>
      <c r="J182" s="13">
        <v>1</v>
      </c>
      <c r="K182" s="13">
        <v>26059</v>
      </c>
      <c r="L182" s="13">
        <v>2</v>
      </c>
      <c r="M182" s="13">
        <v>1</v>
      </c>
      <c r="N182" s="11">
        <v>45424</v>
      </c>
      <c r="O182" s="18">
        <v>2024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</row>
    <row r="183" spans="1:62" x14ac:dyDescent="0.25">
      <c r="A183" s="7"/>
      <c r="B183" s="7"/>
      <c r="C183" s="7"/>
      <c r="D183" s="7"/>
      <c r="E183" s="7"/>
      <c r="F183" s="17" t="s">
        <v>286</v>
      </c>
      <c r="G183" s="12">
        <v>2</v>
      </c>
      <c r="H183" s="12">
        <v>11</v>
      </c>
      <c r="I183" s="13">
        <v>17</v>
      </c>
      <c r="J183" s="13">
        <v>2</v>
      </c>
      <c r="K183" s="13">
        <v>81376</v>
      </c>
      <c r="L183" s="13">
        <v>8</v>
      </c>
      <c r="M183" s="13">
        <v>1</v>
      </c>
      <c r="N183" s="11" t="s">
        <v>287</v>
      </c>
      <c r="O183" s="18">
        <v>2025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</row>
    <row r="184" spans="1:62" x14ac:dyDescent="0.25">
      <c r="A184" s="7"/>
      <c r="B184" s="7"/>
      <c r="C184" s="7"/>
      <c r="D184" s="7"/>
      <c r="E184" s="7"/>
      <c r="F184" s="16" t="s">
        <v>288</v>
      </c>
      <c r="G184" s="10">
        <v>2</v>
      </c>
      <c r="H184" s="10">
        <v>12</v>
      </c>
      <c r="I184" s="13">
        <v>18</v>
      </c>
      <c r="J184" s="13">
        <v>3</v>
      </c>
      <c r="K184" s="13">
        <v>50840</v>
      </c>
      <c r="L184" s="13">
        <v>7</v>
      </c>
      <c r="M184" s="13">
        <v>4</v>
      </c>
      <c r="N184" s="11" t="s">
        <v>289</v>
      </c>
      <c r="O184" s="18">
        <v>2025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</row>
    <row r="185" spans="1:62" x14ac:dyDescent="0.25">
      <c r="A185" s="7"/>
      <c r="B185" s="7"/>
      <c r="C185" s="7"/>
      <c r="D185" s="7"/>
      <c r="E185" s="7"/>
      <c r="F185" s="17" t="s">
        <v>290</v>
      </c>
      <c r="G185" s="12">
        <v>2</v>
      </c>
      <c r="H185" s="12">
        <v>13</v>
      </c>
      <c r="I185" s="13">
        <v>19</v>
      </c>
      <c r="J185" s="13">
        <v>5</v>
      </c>
      <c r="K185" s="13">
        <v>57381</v>
      </c>
      <c r="L185" s="13">
        <v>10</v>
      </c>
      <c r="M185" s="13">
        <v>4</v>
      </c>
      <c r="N185" s="11" t="s">
        <v>197</v>
      </c>
      <c r="O185" s="18">
        <v>2025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</row>
    <row r="186" spans="1:62" x14ac:dyDescent="0.25">
      <c r="A186" s="7"/>
      <c r="B186" s="7"/>
      <c r="C186" s="7"/>
      <c r="D186" s="7"/>
      <c r="E186" s="7"/>
      <c r="F186" s="16" t="s">
        <v>291</v>
      </c>
      <c r="G186" s="10">
        <v>2</v>
      </c>
      <c r="H186" s="10">
        <v>16</v>
      </c>
      <c r="I186" s="13">
        <v>22</v>
      </c>
      <c r="J186" s="13">
        <v>2</v>
      </c>
      <c r="K186" s="13">
        <v>19109</v>
      </c>
      <c r="L186" s="13">
        <v>6</v>
      </c>
      <c r="M186" s="13">
        <v>4</v>
      </c>
      <c r="N186" s="11" t="s">
        <v>292</v>
      </c>
      <c r="O186" s="18">
        <v>2025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</row>
    <row r="187" spans="1:62" x14ac:dyDescent="0.25">
      <c r="A187" s="7"/>
      <c r="B187" s="7"/>
      <c r="C187" s="7"/>
      <c r="D187" s="7"/>
      <c r="E187" s="7"/>
      <c r="F187" s="17" t="s">
        <v>293</v>
      </c>
      <c r="G187" s="12">
        <v>2</v>
      </c>
      <c r="H187" s="12">
        <v>13</v>
      </c>
      <c r="I187" s="13">
        <v>19</v>
      </c>
      <c r="J187" s="13">
        <v>5</v>
      </c>
      <c r="K187" s="13">
        <v>28161</v>
      </c>
      <c r="L187" s="13">
        <v>8</v>
      </c>
      <c r="M187" s="13">
        <v>1</v>
      </c>
      <c r="N187" s="11" t="s">
        <v>294</v>
      </c>
      <c r="O187" s="18">
        <v>2024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</row>
    <row r="188" spans="1:62" x14ac:dyDescent="0.25">
      <c r="A188" s="7"/>
      <c r="B188" s="7"/>
      <c r="C188" s="7"/>
      <c r="D188" s="7"/>
      <c r="E188" s="7"/>
      <c r="F188" s="16" t="s">
        <v>295</v>
      </c>
      <c r="G188" s="10">
        <v>2</v>
      </c>
      <c r="H188" s="10">
        <v>10</v>
      </c>
      <c r="I188" s="13">
        <v>16</v>
      </c>
      <c r="J188" s="13">
        <v>1</v>
      </c>
      <c r="K188" s="13">
        <v>68987</v>
      </c>
      <c r="L188" s="13">
        <v>10</v>
      </c>
      <c r="M188" s="13">
        <v>1</v>
      </c>
      <c r="N188" s="11" t="s">
        <v>296</v>
      </c>
      <c r="O188" s="18">
        <v>2025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</row>
    <row r="189" spans="1:62" x14ac:dyDescent="0.25">
      <c r="A189" s="7"/>
      <c r="B189" s="7"/>
      <c r="C189" s="7"/>
      <c r="D189" s="7"/>
      <c r="E189" s="7"/>
      <c r="F189" s="17" t="s">
        <v>297</v>
      </c>
      <c r="G189" s="12">
        <v>2</v>
      </c>
      <c r="H189" s="12">
        <v>16</v>
      </c>
      <c r="I189" s="13">
        <v>22</v>
      </c>
      <c r="J189" s="13">
        <v>1</v>
      </c>
      <c r="K189" s="13">
        <v>88989</v>
      </c>
      <c r="L189" s="13">
        <v>6</v>
      </c>
      <c r="M189" s="13">
        <v>1</v>
      </c>
      <c r="N189" s="11">
        <v>45904</v>
      </c>
      <c r="O189" s="18">
        <v>2025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</row>
    <row r="190" spans="1:62" x14ac:dyDescent="0.25">
      <c r="A190" s="7"/>
      <c r="B190" s="7"/>
      <c r="C190" s="7"/>
      <c r="D190" s="7"/>
      <c r="E190" s="7"/>
      <c r="F190" s="16" t="s">
        <v>298</v>
      </c>
      <c r="G190" s="10">
        <v>2</v>
      </c>
      <c r="H190" s="10">
        <v>8</v>
      </c>
      <c r="I190" s="13">
        <v>14</v>
      </c>
      <c r="J190" s="13">
        <v>4</v>
      </c>
      <c r="K190" s="13">
        <v>50654</v>
      </c>
      <c r="L190" s="13">
        <v>7</v>
      </c>
      <c r="M190" s="13">
        <v>2</v>
      </c>
      <c r="N190" s="11" t="s">
        <v>271</v>
      </c>
      <c r="O190" s="18">
        <v>2025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</row>
    <row r="191" spans="1:62" x14ac:dyDescent="0.25">
      <c r="A191" s="7"/>
      <c r="B191" s="7"/>
      <c r="C191" s="7"/>
      <c r="D191" s="7"/>
      <c r="E191" s="7"/>
      <c r="F191" s="17" t="s">
        <v>299</v>
      </c>
      <c r="G191" s="12">
        <v>2</v>
      </c>
      <c r="H191" s="12">
        <v>8</v>
      </c>
      <c r="I191" s="13">
        <v>14</v>
      </c>
      <c r="J191" s="13">
        <v>2</v>
      </c>
      <c r="K191" s="13">
        <v>62646</v>
      </c>
      <c r="L191" s="13">
        <v>8</v>
      </c>
      <c r="M191" s="13">
        <v>4</v>
      </c>
      <c r="N191" s="11">
        <v>45697</v>
      </c>
      <c r="O191" s="18">
        <v>2025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</row>
    <row r="192" spans="1:62" x14ac:dyDescent="0.25">
      <c r="A192" s="7"/>
      <c r="B192" s="7"/>
      <c r="C192" s="7"/>
      <c r="D192" s="7"/>
      <c r="E192" s="7"/>
      <c r="F192" s="16" t="s">
        <v>300</v>
      </c>
      <c r="G192" s="10">
        <v>2</v>
      </c>
      <c r="H192" s="10">
        <v>12</v>
      </c>
      <c r="I192" s="13">
        <v>18</v>
      </c>
      <c r="J192" s="13">
        <v>4</v>
      </c>
      <c r="K192" s="13">
        <v>22456</v>
      </c>
      <c r="L192" s="13">
        <v>7</v>
      </c>
      <c r="M192" s="13">
        <v>4</v>
      </c>
      <c r="N192" s="11">
        <v>45693</v>
      </c>
      <c r="O192" s="18">
        <v>2025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 x14ac:dyDescent="0.25">
      <c r="A193" s="7"/>
      <c r="B193" s="7"/>
      <c r="C193" s="7"/>
      <c r="D193" s="7"/>
      <c r="E193" s="7"/>
      <c r="F193" s="17" t="s">
        <v>301</v>
      </c>
      <c r="G193" s="12">
        <v>2</v>
      </c>
      <c r="H193" s="12">
        <v>9</v>
      </c>
      <c r="I193" s="13">
        <v>15</v>
      </c>
      <c r="J193" s="13">
        <v>1</v>
      </c>
      <c r="K193" s="13">
        <v>27872</v>
      </c>
      <c r="L193" s="13">
        <v>4</v>
      </c>
      <c r="M193" s="13">
        <v>5</v>
      </c>
      <c r="N193" s="11">
        <v>46001</v>
      </c>
      <c r="O193" s="18">
        <v>2025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</row>
    <row r="194" spans="1:62" x14ac:dyDescent="0.25">
      <c r="A194" s="7"/>
      <c r="B194" s="7"/>
      <c r="C194" s="7"/>
      <c r="D194" s="7"/>
      <c r="E194" s="7"/>
      <c r="F194" s="16" t="s">
        <v>302</v>
      </c>
      <c r="G194" s="10">
        <v>2</v>
      </c>
      <c r="H194" s="10">
        <v>15</v>
      </c>
      <c r="I194" s="13">
        <v>21</v>
      </c>
      <c r="J194" s="13">
        <v>3</v>
      </c>
      <c r="K194" s="13">
        <v>58146</v>
      </c>
      <c r="L194" s="13">
        <v>8</v>
      </c>
      <c r="M194" s="13">
        <v>5</v>
      </c>
      <c r="N194" s="11">
        <v>45455</v>
      </c>
      <c r="O194" s="18">
        <v>2024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</row>
    <row r="195" spans="1:62" x14ac:dyDescent="0.25">
      <c r="A195" s="7"/>
      <c r="B195" s="7"/>
      <c r="C195" s="7"/>
      <c r="D195" s="7"/>
      <c r="E195" s="7"/>
      <c r="F195" s="19" t="s">
        <v>303</v>
      </c>
      <c r="G195" s="20">
        <v>2</v>
      </c>
      <c r="H195" s="20">
        <v>8</v>
      </c>
      <c r="I195" s="21">
        <v>14</v>
      </c>
      <c r="J195" s="21">
        <v>4</v>
      </c>
      <c r="K195" s="21">
        <v>71760</v>
      </c>
      <c r="L195" s="21">
        <v>10</v>
      </c>
      <c r="M195" s="21">
        <v>1</v>
      </c>
      <c r="N195" s="22" t="s">
        <v>280</v>
      </c>
      <c r="O195" s="23">
        <v>2025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</row>
    <row r="196" spans="1:62" x14ac:dyDescent="0.25">
      <c r="A196" s="7"/>
      <c r="B196" s="7"/>
      <c r="C196" s="7"/>
      <c r="D196" s="7"/>
      <c r="E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</row>
    <row r="197" spans="1:62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</row>
    <row r="198" spans="1:62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</row>
    <row r="199" spans="1:62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</row>
    <row r="200" spans="1:62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</row>
    <row r="201" spans="1:62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</row>
    <row r="202" spans="1:62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</row>
    <row r="203" spans="1:62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</row>
    <row r="204" spans="1:62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</row>
    <row r="205" spans="1:62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</row>
    <row r="206" spans="1:62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</row>
    <row r="207" spans="1:62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</row>
    <row r="208" spans="1:62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</row>
    <row r="209" spans="1:62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</row>
    <row r="210" spans="1:62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</row>
    <row r="211" spans="1:62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</row>
    <row r="212" spans="1:62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</row>
    <row r="213" spans="1:62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</row>
    <row r="214" spans="1:62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</row>
    <row r="215" spans="1:62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</row>
    <row r="216" spans="1:62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</row>
    <row r="217" spans="1:62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</row>
    <row r="218" spans="1:62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</row>
    <row r="219" spans="1:62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</row>
    <row r="220" spans="1:62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</row>
    <row r="221" spans="1:62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</row>
    <row r="222" spans="1:62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</row>
    <row r="223" spans="1:62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</row>
    <row r="224" spans="1:62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</row>
    <row r="225" spans="1:62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</row>
    <row r="226" spans="1:62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</row>
    <row r="227" spans="1:62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</row>
    <row r="228" spans="1:62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</row>
    <row r="229" spans="1:62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</row>
    <row r="230" spans="1:62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</row>
    <row r="231" spans="1:62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</row>
    <row r="232" spans="1:62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</row>
    <row r="233" spans="1:62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</row>
    <row r="234" spans="1:62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</row>
    <row r="235" spans="1:62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</row>
    <row r="236" spans="1:62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</row>
    <row r="237" spans="1:62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</row>
    <row r="238" spans="1:62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</row>
    <row r="239" spans="1:62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</row>
    <row r="240" spans="1:62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</row>
    <row r="241" spans="1:62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</row>
    <row r="242" spans="1:62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</row>
    <row r="243" spans="1:62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</row>
    <row r="244" spans="1:62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</row>
    <row r="245" spans="1:62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</row>
    <row r="246" spans="1:62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</row>
    <row r="247" spans="1:62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</row>
    <row r="248" spans="1:62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</row>
    <row r="249" spans="1:62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</row>
    <row r="250" spans="1:62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</row>
    <row r="251" spans="1:62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</row>
    <row r="252" spans="1:62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</row>
    <row r="253" spans="1:62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</row>
    <row r="254" spans="1:62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</row>
    <row r="255" spans="1:62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</row>
    <row r="256" spans="1:62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</row>
    <row r="257" spans="1:62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</row>
    <row r="258" spans="1:62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</row>
    <row r="259" spans="1:62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</row>
    <row r="260" spans="1:62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</row>
    <row r="261" spans="1:62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</row>
    <row r="262" spans="1:62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</row>
    <row r="263" spans="1:62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</row>
    <row r="264" spans="1:62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</row>
    <row r="265" spans="1:62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</row>
    <row r="266" spans="1:62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</row>
    <row r="267" spans="1:62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</row>
    <row r="268" spans="1:62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</row>
    <row r="269" spans="1:62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</row>
    <row r="270" spans="1:62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</row>
    <row r="271" spans="1:62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</row>
    <row r="272" spans="1:62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</row>
    <row r="273" spans="1:62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</row>
    <row r="274" spans="1:62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</row>
    <row r="275" spans="1:62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</row>
    <row r="276" spans="1:62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</row>
    <row r="277" spans="1:62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</row>
    <row r="278" spans="1:62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</row>
    <row r="279" spans="1:62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</row>
    <row r="280" spans="1:62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</row>
    <row r="281" spans="1:62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</row>
    <row r="282" spans="1:62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</row>
    <row r="283" spans="1:62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</row>
    <row r="284" spans="1:62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</row>
    <row r="285" spans="1:62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</row>
    <row r="286" spans="1:62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</row>
    <row r="287" spans="1:62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</row>
    <row r="288" spans="1:62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</row>
    <row r="289" spans="1:62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</row>
    <row r="290" spans="1:62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</row>
    <row r="291" spans="1:62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</row>
    <row r="292" spans="1:62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</row>
    <row r="293" spans="1:62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</row>
    <row r="294" spans="1:62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</row>
    <row r="295" spans="1:62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</row>
    <row r="296" spans="1:62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</row>
    <row r="297" spans="1:62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</row>
    <row r="298" spans="1:62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</row>
    <row r="299" spans="1:62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</row>
    <row r="300" spans="1:62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</row>
    <row r="301" spans="1:62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</row>
    <row r="302" spans="1:62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</row>
    <row r="303" spans="1:62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</row>
    <row r="304" spans="1:62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</row>
    <row r="305" spans="1:62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</row>
    <row r="306" spans="1:62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</row>
    <row r="307" spans="1:62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</row>
    <row r="308" spans="1:62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</row>
    <row r="309" spans="1:62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</row>
    <row r="310" spans="1:62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</row>
    <row r="311" spans="1:62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</row>
    <row r="312" spans="1:62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</row>
    <row r="313" spans="1:62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</row>
    <row r="314" spans="1:62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</row>
    <row r="315" spans="1:62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</row>
    <row r="316" spans="1:62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</row>
    <row r="317" spans="1:62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</row>
    <row r="318" spans="1:62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</row>
    <row r="319" spans="1:62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</row>
    <row r="320" spans="1:62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</row>
    <row r="321" spans="1:62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</row>
    <row r="322" spans="1:62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</row>
    <row r="323" spans="1:62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</row>
    <row r="324" spans="1:62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</row>
    <row r="325" spans="1:62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</row>
    <row r="326" spans="1:62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</row>
    <row r="327" spans="1:62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</row>
    <row r="328" spans="1:62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</row>
    <row r="329" spans="1:62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</row>
    <row r="330" spans="1:62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</row>
    <row r="331" spans="1:62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</row>
    <row r="332" spans="1:62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</row>
    <row r="333" spans="1:62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</row>
    <row r="334" spans="1:62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</row>
    <row r="335" spans="1:62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</row>
    <row r="336" spans="1:62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</row>
    <row r="337" spans="1:62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</row>
    <row r="338" spans="1:62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</row>
    <row r="339" spans="1:62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</row>
    <row r="340" spans="1:62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</row>
    <row r="341" spans="1:62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</row>
    <row r="342" spans="1:62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</row>
    <row r="343" spans="1:62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</row>
    <row r="344" spans="1:62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</row>
    <row r="345" spans="1:62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</row>
    <row r="346" spans="1:62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</row>
    <row r="347" spans="1:62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</row>
    <row r="348" spans="1:62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</row>
    <row r="349" spans="1:62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</row>
    <row r="350" spans="1:62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</row>
    <row r="351" spans="1:62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</row>
    <row r="352" spans="1:62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</row>
    <row r="353" spans="1:62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</row>
    <row r="354" spans="1:62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</row>
    <row r="355" spans="1:62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</row>
    <row r="356" spans="1:62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</row>
    <row r="357" spans="1:62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</row>
    <row r="358" spans="1:62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</row>
    <row r="359" spans="1:62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</row>
    <row r="360" spans="1:62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</row>
    <row r="361" spans="1:62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</row>
    <row r="362" spans="1:62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</row>
    <row r="363" spans="1:62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</row>
    <row r="364" spans="1:62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</row>
    <row r="365" spans="1:62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</row>
    <row r="366" spans="1:62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</row>
    <row r="367" spans="1:62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</row>
    <row r="368" spans="1:62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</row>
    <row r="369" spans="1:62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</row>
    <row r="370" spans="1:62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</row>
    <row r="371" spans="1:62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</row>
    <row r="372" spans="1:62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</row>
    <row r="373" spans="1:62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</row>
    <row r="374" spans="1:62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</row>
    <row r="375" spans="1:62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</row>
    <row r="376" spans="1:62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</row>
    <row r="377" spans="1:62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</row>
    <row r="378" spans="1:62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</row>
    <row r="379" spans="1:62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</row>
    <row r="380" spans="1:62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</row>
    <row r="381" spans="1:62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</row>
    <row r="382" spans="1:62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</row>
    <row r="383" spans="1:62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</row>
    <row r="384" spans="1:62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</row>
    <row r="385" spans="1:62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</row>
    <row r="386" spans="1:62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</row>
    <row r="387" spans="1:62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</row>
    <row r="388" spans="1:62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</row>
    <row r="389" spans="1:62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</row>
    <row r="390" spans="1:62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</row>
    <row r="391" spans="1:62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</row>
    <row r="392" spans="1:62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</row>
    <row r="393" spans="1:62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</row>
    <row r="394" spans="1:62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</row>
    <row r="395" spans="1:62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</row>
    <row r="396" spans="1:62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</row>
    <row r="397" spans="1:62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</row>
    <row r="398" spans="1:62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</row>
    <row r="399" spans="1:62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</row>
    <row r="400" spans="1:62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</row>
    <row r="401" spans="1:62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</row>
    <row r="402" spans="1:62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</row>
    <row r="403" spans="1:62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</row>
    <row r="404" spans="1:62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</row>
    <row r="405" spans="1:62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</row>
    <row r="406" spans="1:62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</row>
    <row r="407" spans="1:62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</row>
    <row r="408" spans="1:62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</row>
    <row r="409" spans="1:62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</row>
    <row r="410" spans="1:62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</row>
    <row r="411" spans="1:62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</row>
    <row r="412" spans="1:62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</row>
    <row r="413" spans="1:62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</row>
    <row r="414" spans="1:62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</row>
    <row r="415" spans="1:62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</row>
    <row r="416" spans="1:62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</row>
    <row r="417" spans="1:62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</row>
    <row r="418" spans="1:62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</row>
    <row r="419" spans="1:62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</row>
    <row r="420" spans="1:62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</row>
    <row r="421" spans="1:62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</row>
    <row r="422" spans="1:62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</row>
    <row r="423" spans="1:62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</row>
    <row r="424" spans="1:62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</row>
    <row r="425" spans="1:62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</row>
    <row r="426" spans="1:62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</row>
    <row r="427" spans="1:62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</row>
    <row r="428" spans="1:62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</row>
    <row r="429" spans="1:62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</row>
    <row r="430" spans="1:62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</row>
    <row r="431" spans="1:62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</row>
    <row r="432" spans="1:62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</row>
    <row r="433" spans="1:62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</row>
    <row r="434" spans="1:62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</row>
    <row r="435" spans="1:62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</row>
    <row r="436" spans="1:62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</row>
    <row r="437" spans="1:62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</row>
    <row r="438" spans="1:62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</row>
    <row r="439" spans="1:62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</row>
    <row r="440" spans="1:62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</row>
    <row r="441" spans="1:62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</row>
    <row r="442" spans="1:62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</row>
    <row r="443" spans="1:62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</row>
    <row r="444" spans="1:62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</row>
    <row r="445" spans="1:62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</row>
    <row r="446" spans="1:62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</row>
    <row r="447" spans="1:62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</row>
    <row r="448" spans="1:62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</row>
    <row r="449" spans="1:62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</row>
    <row r="450" spans="1:62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</row>
    <row r="451" spans="1:62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</row>
    <row r="452" spans="1:62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</row>
    <row r="453" spans="1:62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</row>
    <row r="454" spans="1:62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</row>
    <row r="455" spans="1:62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</row>
    <row r="456" spans="1:62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</row>
    <row r="457" spans="1:62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</row>
    <row r="458" spans="1:62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</row>
    <row r="459" spans="1:62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</row>
    <row r="460" spans="1:62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</row>
    <row r="461" spans="1:62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</row>
    <row r="462" spans="1:62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</row>
    <row r="463" spans="1:62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</row>
    <row r="464" spans="1:62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</row>
    <row r="465" spans="1:62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</row>
    <row r="466" spans="1:62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</row>
    <row r="467" spans="1:62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</row>
    <row r="468" spans="1:62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</row>
    <row r="469" spans="1:62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</row>
    <row r="470" spans="1:62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</row>
    <row r="471" spans="1:62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</row>
    <row r="472" spans="1:62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</row>
    <row r="473" spans="1:62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</row>
    <row r="474" spans="1:62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</row>
    <row r="475" spans="1:62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</row>
    <row r="476" spans="1:62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</row>
    <row r="477" spans="1:62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</row>
    <row r="478" spans="1:62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</row>
    <row r="479" spans="1:62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</row>
    <row r="480" spans="1:62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</row>
    <row r="481" spans="1:62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</row>
    <row r="482" spans="1:62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</row>
    <row r="483" spans="1:62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</row>
    <row r="484" spans="1:62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</row>
    <row r="485" spans="1:62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</row>
    <row r="486" spans="1:62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</row>
    <row r="487" spans="1:62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</row>
    <row r="488" spans="1:62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</row>
    <row r="489" spans="1:62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</row>
    <row r="490" spans="1:62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</row>
    <row r="491" spans="1:62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</row>
    <row r="492" spans="1:62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</row>
    <row r="493" spans="1:62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</row>
    <row r="494" spans="1:62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</row>
    <row r="495" spans="1:62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</row>
    <row r="496" spans="1:62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</row>
    <row r="497" spans="1:62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</row>
    <row r="498" spans="1:62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</row>
    <row r="499" spans="1:62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</row>
    <row r="500" spans="1:62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</row>
    <row r="501" spans="1:62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</row>
    <row r="502" spans="1:62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</row>
    <row r="503" spans="1:62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</row>
    <row r="504" spans="1:62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</row>
    <row r="505" spans="1:62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</row>
    <row r="506" spans="1:62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</row>
    <row r="507" spans="1:62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</row>
    <row r="508" spans="1:62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</row>
    <row r="509" spans="1:62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</row>
    <row r="510" spans="1:62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</row>
    <row r="511" spans="1:62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</row>
    <row r="512" spans="1:62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</row>
    <row r="513" spans="1:62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</row>
    <row r="514" spans="1:62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</row>
    <row r="515" spans="1:62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</row>
    <row r="516" spans="1:62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</row>
    <row r="517" spans="1:62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</row>
    <row r="518" spans="1:62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</row>
    <row r="519" spans="1:62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</row>
    <row r="520" spans="1:62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</row>
    <row r="521" spans="1:62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</row>
    <row r="522" spans="1:62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</row>
    <row r="523" spans="1:62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</row>
    <row r="524" spans="1:62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</row>
    <row r="525" spans="1:62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</row>
    <row r="526" spans="1:62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</row>
    <row r="527" spans="1:62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</row>
    <row r="528" spans="1:62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</row>
    <row r="529" spans="1:62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</row>
    <row r="530" spans="1:62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</row>
    <row r="531" spans="1:62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</row>
    <row r="532" spans="1:62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</row>
    <row r="533" spans="1:62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</row>
    <row r="534" spans="1:62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</row>
    <row r="535" spans="1:62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</row>
    <row r="536" spans="1:62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</row>
    <row r="537" spans="1:62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</row>
    <row r="538" spans="1:62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</row>
    <row r="539" spans="1:62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</row>
    <row r="540" spans="1:62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</row>
    <row r="541" spans="1:62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</row>
    <row r="542" spans="1:62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</row>
    <row r="543" spans="1:62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</row>
    <row r="544" spans="1:62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</row>
    <row r="545" spans="1:62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</row>
    <row r="546" spans="1:62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</row>
    <row r="547" spans="1:62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</row>
    <row r="548" spans="1:62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</row>
    <row r="549" spans="1:62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</row>
    <row r="550" spans="1:62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</row>
    <row r="551" spans="1:62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</row>
    <row r="552" spans="1:62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</row>
    <row r="553" spans="1:62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</row>
    <row r="554" spans="1:62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</row>
    <row r="555" spans="1:62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</row>
    <row r="556" spans="1:62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</row>
    <row r="557" spans="1:62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</row>
    <row r="558" spans="1:62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</row>
    <row r="559" spans="1:62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</row>
    <row r="560" spans="1:62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</row>
    <row r="561" spans="1:62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</row>
    <row r="562" spans="1:62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</row>
    <row r="563" spans="1:62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</row>
    <row r="564" spans="1:62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</row>
    <row r="565" spans="1:62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</row>
    <row r="566" spans="1:62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</row>
    <row r="567" spans="1:62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</row>
    <row r="568" spans="1:62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</row>
    <row r="569" spans="1:62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</row>
    <row r="570" spans="1:62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</row>
    <row r="571" spans="1:62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</row>
    <row r="572" spans="1:62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</row>
    <row r="573" spans="1:62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</row>
    <row r="574" spans="1:62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</row>
    <row r="575" spans="1:62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</row>
    <row r="576" spans="1:62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</row>
    <row r="577" spans="1:62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</row>
    <row r="578" spans="1:62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</row>
    <row r="579" spans="1:62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</row>
    <row r="580" spans="1:62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</row>
    <row r="581" spans="1:62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</row>
    <row r="582" spans="1:62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</row>
    <row r="583" spans="1:62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</row>
    <row r="584" spans="1:62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</row>
    <row r="585" spans="1:62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</row>
    <row r="586" spans="1:62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</row>
    <row r="587" spans="1:62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</row>
    <row r="588" spans="1:62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</row>
    <row r="589" spans="1:62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</row>
    <row r="590" spans="1:62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</row>
    <row r="591" spans="1:62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</row>
    <row r="592" spans="1:62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</row>
    <row r="593" spans="1:62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</row>
    <row r="594" spans="1:62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</row>
    <row r="595" spans="1:62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</row>
    <row r="596" spans="1:62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</row>
    <row r="597" spans="1:62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</row>
    <row r="598" spans="1:62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</row>
    <row r="599" spans="1:62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</row>
    <row r="600" spans="1:62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</row>
    <row r="601" spans="1:62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</row>
    <row r="602" spans="1:62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</row>
    <row r="603" spans="1:62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</row>
    <row r="604" spans="1:62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</row>
    <row r="605" spans="1:62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</row>
    <row r="606" spans="1:62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</row>
    <row r="607" spans="1:62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</row>
    <row r="608" spans="1:62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</row>
    <row r="609" spans="1:62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</row>
    <row r="610" spans="1:62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</row>
    <row r="611" spans="1:62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</row>
    <row r="612" spans="1:62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</row>
    <row r="613" spans="1:62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</row>
    <row r="614" spans="1:62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</row>
    <row r="615" spans="1:62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</row>
    <row r="616" spans="1:62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</row>
    <row r="617" spans="1:62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</row>
    <row r="618" spans="1:62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</row>
    <row r="619" spans="1:62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</row>
    <row r="620" spans="1:62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</row>
    <row r="621" spans="1:62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</row>
    <row r="622" spans="1:62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</row>
    <row r="623" spans="1:62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</row>
    <row r="624" spans="1:62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</row>
    <row r="625" spans="1:62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</row>
    <row r="626" spans="1:62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</row>
    <row r="627" spans="1:62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</row>
    <row r="628" spans="1:62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</row>
    <row r="629" spans="1:62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</row>
    <row r="630" spans="1:62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</row>
    <row r="631" spans="1:62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</row>
    <row r="632" spans="1:62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</row>
    <row r="633" spans="1:62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</row>
    <row r="634" spans="1:62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</row>
    <row r="635" spans="1:62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</row>
    <row r="636" spans="1:62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</row>
    <row r="637" spans="1:62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</row>
    <row r="638" spans="1:62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</row>
    <row r="639" spans="1:62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</row>
    <row r="640" spans="1:62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</row>
    <row r="641" spans="1:62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</row>
    <row r="642" spans="1:62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</row>
    <row r="643" spans="1:62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</row>
    <row r="644" spans="1:62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</row>
    <row r="645" spans="1:62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</row>
    <row r="646" spans="1:62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</row>
    <row r="647" spans="1:62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</row>
    <row r="648" spans="1:62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</row>
    <row r="649" spans="1:62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</row>
    <row r="650" spans="1:62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</row>
    <row r="651" spans="1:62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</row>
    <row r="652" spans="1:62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</row>
    <row r="653" spans="1:62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</row>
    <row r="654" spans="1:62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</row>
    <row r="655" spans="1:62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</row>
    <row r="656" spans="1:62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</row>
    <row r="657" spans="1:62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</row>
    <row r="658" spans="1:62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</row>
    <row r="659" spans="1:62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</row>
    <row r="660" spans="1:62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</row>
    <row r="661" spans="1:62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</row>
    <row r="662" spans="1:62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</row>
    <row r="663" spans="1:62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</row>
    <row r="664" spans="1:62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</row>
    <row r="665" spans="1:62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</row>
    <row r="666" spans="1:62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</row>
    <row r="667" spans="1:62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</row>
    <row r="668" spans="1:62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</row>
    <row r="669" spans="1:62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</row>
    <row r="670" spans="1:62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</row>
    <row r="671" spans="1:62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</row>
    <row r="672" spans="1:62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</row>
    <row r="673" spans="1:62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</row>
    <row r="674" spans="1:62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</row>
    <row r="675" spans="1:62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</row>
    <row r="676" spans="1:62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</row>
    <row r="677" spans="1:62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</row>
    <row r="678" spans="1:62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</row>
    <row r="679" spans="1:62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</row>
    <row r="680" spans="1:62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</row>
    <row r="681" spans="1:62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</row>
    <row r="682" spans="1:62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</row>
    <row r="683" spans="1:62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</row>
    <row r="684" spans="1:62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</row>
    <row r="685" spans="1:62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</row>
    <row r="686" spans="1:62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</row>
    <row r="687" spans="1:62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</row>
    <row r="688" spans="1:62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</row>
    <row r="689" spans="1:62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</row>
    <row r="690" spans="1:62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</row>
    <row r="691" spans="1:62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</row>
    <row r="692" spans="1:62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</row>
    <row r="693" spans="1:62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</row>
    <row r="694" spans="1:62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</row>
    <row r="695" spans="1:62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</row>
    <row r="696" spans="1:62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</row>
    <row r="697" spans="1:62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</row>
    <row r="698" spans="1:62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</row>
    <row r="699" spans="1:62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</row>
    <row r="700" spans="1:62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</row>
    <row r="701" spans="1:62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</row>
    <row r="702" spans="1:62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</row>
    <row r="703" spans="1:62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</row>
    <row r="704" spans="1:62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</row>
    <row r="705" spans="1:62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</row>
    <row r="706" spans="1:62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</row>
    <row r="707" spans="1:62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</row>
    <row r="708" spans="1:62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</row>
    <row r="709" spans="1:62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</row>
    <row r="710" spans="1:62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</row>
    <row r="711" spans="1:62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</row>
    <row r="712" spans="1:62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</row>
    <row r="713" spans="1:62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</row>
    <row r="714" spans="1:62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</row>
    <row r="715" spans="1:62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</row>
    <row r="716" spans="1:62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</row>
    <row r="717" spans="1:62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</row>
    <row r="718" spans="1:62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</row>
    <row r="719" spans="1:62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</row>
    <row r="720" spans="1:62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</row>
    <row r="721" spans="1:62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</row>
    <row r="722" spans="1:62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</row>
    <row r="723" spans="1:62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</row>
    <row r="724" spans="1:62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</row>
    <row r="725" spans="1:62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</row>
    <row r="726" spans="1:62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</row>
    <row r="727" spans="1:62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</row>
    <row r="728" spans="1:62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</row>
    <row r="729" spans="1:62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</row>
    <row r="730" spans="1:62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</row>
    <row r="731" spans="1:62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</row>
    <row r="732" spans="1:62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</row>
    <row r="733" spans="1:62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</row>
    <row r="734" spans="1:62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</row>
    <row r="735" spans="1:62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</row>
    <row r="736" spans="1:62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</row>
    <row r="737" spans="1:62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</row>
    <row r="738" spans="1:62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</row>
    <row r="739" spans="1:62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</row>
    <row r="740" spans="1:62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</row>
    <row r="741" spans="1:62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</row>
    <row r="742" spans="1:62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</row>
    <row r="743" spans="1:62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</row>
    <row r="744" spans="1:62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</row>
    <row r="745" spans="1:62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</row>
    <row r="746" spans="1:62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</row>
    <row r="747" spans="1:62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</row>
    <row r="748" spans="1:62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</row>
    <row r="749" spans="1:62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</row>
    <row r="750" spans="1:62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</row>
    <row r="751" spans="1:62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</row>
    <row r="752" spans="1:62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</row>
    <row r="753" spans="1:62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</row>
    <row r="754" spans="1:62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</row>
    <row r="755" spans="1:62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</row>
    <row r="756" spans="1:62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</row>
    <row r="757" spans="1:62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</row>
    <row r="758" spans="1:62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</row>
    <row r="759" spans="1:62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</row>
    <row r="760" spans="1:62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</row>
    <row r="761" spans="1:62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</row>
    <row r="762" spans="1:62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</row>
    <row r="763" spans="1:62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</row>
    <row r="764" spans="1:62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</row>
    <row r="765" spans="1:62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</row>
    <row r="766" spans="1:62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</row>
    <row r="767" spans="1:62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</row>
    <row r="768" spans="1:62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</row>
    <row r="769" spans="1:62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</row>
    <row r="770" spans="1:62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</row>
    <row r="771" spans="1:62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</row>
    <row r="772" spans="1:62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</row>
    <row r="773" spans="1:62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</row>
    <row r="774" spans="1:62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</row>
    <row r="775" spans="1:62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</row>
    <row r="776" spans="1:62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</row>
    <row r="777" spans="1:62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</row>
    <row r="778" spans="1:62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</row>
    <row r="779" spans="1:62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</row>
    <row r="780" spans="1:62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</row>
    <row r="781" spans="1:62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</row>
    <row r="782" spans="1:62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</row>
    <row r="783" spans="1:62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</row>
    <row r="784" spans="1:62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</row>
    <row r="785" spans="1:62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</row>
    <row r="786" spans="1:62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</row>
    <row r="787" spans="1:62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</row>
    <row r="788" spans="1:62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</row>
    <row r="789" spans="1:62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</row>
    <row r="790" spans="1:62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</row>
    <row r="791" spans="1:62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</row>
    <row r="792" spans="1:62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</row>
    <row r="793" spans="1:62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</row>
    <row r="794" spans="1:62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</row>
    <row r="795" spans="1:62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</row>
    <row r="796" spans="1:62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</row>
    <row r="797" spans="1:62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</row>
    <row r="798" spans="1:62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</row>
    <row r="799" spans="1:62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</row>
    <row r="800" spans="1:62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</row>
    <row r="801" spans="1:62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</row>
    <row r="802" spans="1:62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</row>
    <row r="803" spans="1:62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</row>
    <row r="804" spans="1:62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</row>
    <row r="805" spans="1:62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</row>
    <row r="806" spans="1:62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</row>
    <row r="807" spans="1:62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</row>
    <row r="808" spans="1:62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</row>
    <row r="809" spans="1:62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</row>
    <row r="810" spans="1:62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</row>
    <row r="811" spans="1:62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</row>
    <row r="812" spans="1:62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</row>
    <row r="813" spans="1:62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</row>
    <row r="814" spans="1:62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</row>
    <row r="815" spans="1:62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</row>
    <row r="816" spans="1:62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</row>
    <row r="817" spans="1:62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</row>
    <row r="818" spans="1:62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</row>
    <row r="819" spans="1:62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</row>
    <row r="820" spans="1:62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</row>
    <row r="821" spans="1:62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</row>
    <row r="822" spans="1:62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</row>
    <row r="823" spans="1:62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</row>
    <row r="824" spans="1:62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</row>
    <row r="825" spans="1:62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</row>
    <row r="826" spans="1:62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</row>
    <row r="827" spans="1:62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</row>
    <row r="828" spans="1:62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</row>
    <row r="829" spans="1:62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</row>
    <row r="830" spans="1:62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</row>
    <row r="831" spans="1:62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</row>
    <row r="832" spans="1:62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</row>
    <row r="833" spans="1:62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</row>
    <row r="834" spans="1:62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</row>
    <row r="835" spans="1:62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</row>
    <row r="836" spans="1:62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</row>
    <row r="837" spans="1:62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</row>
    <row r="838" spans="1:62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</row>
    <row r="839" spans="1:62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</row>
    <row r="840" spans="1:62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</row>
    <row r="841" spans="1:62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</row>
    <row r="842" spans="1:62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</row>
    <row r="843" spans="1:62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</row>
    <row r="844" spans="1:62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</row>
    <row r="845" spans="1:62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</row>
    <row r="846" spans="1:62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</row>
    <row r="847" spans="1:62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</row>
    <row r="848" spans="1:62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</row>
    <row r="849" spans="1:62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</row>
    <row r="850" spans="1:62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</row>
    <row r="851" spans="1:62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</row>
    <row r="852" spans="1:62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</row>
    <row r="853" spans="1:62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</row>
    <row r="854" spans="1:62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</row>
    <row r="855" spans="1:62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</row>
    <row r="856" spans="1:62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</row>
    <row r="857" spans="1:62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</row>
    <row r="858" spans="1:62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</row>
    <row r="859" spans="1:62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</row>
    <row r="860" spans="1:62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</row>
    <row r="861" spans="1:62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</row>
    <row r="862" spans="1:62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</row>
    <row r="863" spans="1:62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</row>
    <row r="864" spans="1:62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</row>
    <row r="865" spans="1:62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</row>
    <row r="866" spans="1:62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</row>
    <row r="867" spans="1:62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</row>
    <row r="868" spans="1:62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</row>
    <row r="869" spans="1:62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</row>
    <row r="870" spans="1:62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</row>
    <row r="871" spans="1:62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</row>
    <row r="872" spans="1:62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</row>
    <row r="873" spans="1:62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</row>
    <row r="874" spans="1:62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</row>
    <row r="875" spans="1:62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</row>
    <row r="876" spans="1:62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</row>
    <row r="877" spans="1:62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</row>
    <row r="878" spans="1:62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</row>
    <row r="879" spans="1:62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</row>
    <row r="880" spans="1:62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</row>
    <row r="881" spans="1:62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</row>
    <row r="882" spans="1:62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</row>
    <row r="883" spans="1:62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</row>
    <row r="884" spans="1:62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</row>
    <row r="885" spans="1:62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</row>
    <row r="886" spans="1:62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</row>
    <row r="887" spans="1:62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</row>
    <row r="888" spans="1:62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</row>
    <row r="889" spans="1:62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</row>
    <row r="890" spans="1:62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</row>
    <row r="891" spans="1:62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</row>
    <row r="892" spans="1:62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</row>
    <row r="893" spans="1:62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</row>
    <row r="894" spans="1:62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</row>
    <row r="895" spans="1:62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</row>
    <row r="896" spans="1:62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</row>
    <row r="897" spans="1:62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</row>
    <row r="898" spans="1:62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</row>
    <row r="899" spans="1:62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</row>
    <row r="900" spans="1:62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</row>
    <row r="901" spans="1:62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</row>
    <row r="902" spans="1:62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</row>
    <row r="903" spans="1:62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</row>
    <row r="904" spans="1:62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</row>
    <row r="905" spans="1:62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</row>
    <row r="906" spans="1:62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</row>
    <row r="907" spans="1:62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</row>
    <row r="908" spans="1:62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</row>
    <row r="909" spans="1:62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</row>
    <row r="910" spans="1:62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</row>
    <row r="911" spans="1:62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</row>
    <row r="912" spans="1:62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</row>
    <row r="913" spans="1:62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</row>
    <row r="914" spans="1:62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</row>
    <row r="915" spans="1:62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</row>
    <row r="916" spans="1:62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</row>
    <row r="917" spans="1:62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</row>
    <row r="918" spans="1:62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</row>
    <row r="919" spans="1:62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</row>
    <row r="920" spans="1:62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</row>
    <row r="921" spans="1:62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</row>
    <row r="922" spans="1:62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</row>
    <row r="923" spans="1:62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</row>
    <row r="924" spans="1:62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</row>
    <row r="925" spans="1:62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</row>
    <row r="926" spans="1:62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</row>
    <row r="927" spans="1:62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</row>
    <row r="928" spans="1:62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</row>
    <row r="929" spans="1:62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</row>
    <row r="930" spans="1:62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</row>
    <row r="931" spans="1:62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</row>
    <row r="932" spans="1:62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</row>
    <row r="933" spans="1:62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</row>
    <row r="934" spans="1:62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</row>
    <row r="935" spans="1:62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</row>
    <row r="936" spans="1:62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</row>
    <row r="937" spans="1:62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</row>
    <row r="938" spans="1:62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</row>
    <row r="939" spans="1:62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</row>
    <row r="940" spans="1:62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</row>
    <row r="941" spans="1:62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</row>
    <row r="942" spans="1:62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</row>
    <row r="943" spans="1:62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</row>
    <row r="944" spans="1:62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</row>
    <row r="945" spans="1:62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</row>
    <row r="946" spans="1:62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</row>
    <row r="947" spans="1:62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</row>
    <row r="948" spans="1:62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</row>
    <row r="949" spans="1:62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</row>
    <row r="950" spans="1:62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</row>
    <row r="951" spans="1:62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</row>
    <row r="952" spans="1:62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</row>
    <row r="953" spans="1:62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</row>
    <row r="954" spans="1:62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</row>
    <row r="955" spans="1:62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</row>
    <row r="956" spans="1:62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</row>
    <row r="957" spans="1:62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</row>
    <row r="958" spans="1:62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</row>
    <row r="959" spans="1:62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</row>
    <row r="960" spans="1:62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</row>
    <row r="961" spans="1:62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</row>
    <row r="962" spans="1:62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</row>
    <row r="963" spans="1:62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</row>
    <row r="964" spans="1:62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</row>
    <row r="965" spans="1:62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</row>
    <row r="966" spans="1:62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</row>
    <row r="967" spans="1:62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</row>
    <row r="968" spans="1:62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</row>
    <row r="969" spans="1:62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</row>
    <row r="970" spans="1:62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</row>
    <row r="971" spans="1:62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</row>
    <row r="972" spans="1:62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</row>
    <row r="973" spans="1:62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</row>
    <row r="974" spans="1:62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</row>
    <row r="975" spans="1:62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</row>
    <row r="976" spans="1:62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</row>
    <row r="977" spans="1:62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</row>
    <row r="978" spans="1:62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</row>
    <row r="979" spans="1:62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</row>
    <row r="980" spans="1:62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</row>
    <row r="981" spans="1:62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</row>
    <row r="982" spans="1:62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</row>
    <row r="983" spans="1:62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</row>
    <row r="984" spans="1:62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</row>
    <row r="985" spans="1:62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</row>
    <row r="986" spans="1:62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</row>
    <row r="987" spans="1:62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</row>
    <row r="988" spans="1:62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</row>
    <row r="989" spans="1:62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</row>
    <row r="990" spans="1:62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</row>
    <row r="991" spans="1:62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</row>
    <row r="992" spans="1:62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</row>
    <row r="993" spans="1:62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</row>
    <row r="994" spans="1:62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</row>
    <row r="995" spans="1:62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</row>
    <row r="996" spans="1:62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</row>
    <row r="997" spans="1:62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</row>
    <row r="998" spans="1:62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</row>
    <row r="999" spans="1:62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  <c r="AY999" s="7"/>
      <c r="AZ999" s="7"/>
      <c r="BA999" s="7"/>
      <c r="BB999" s="7"/>
      <c r="BC999" s="7"/>
      <c r="BD999" s="7"/>
      <c r="BE999" s="7"/>
      <c r="BF999" s="7"/>
      <c r="BG999" s="7"/>
      <c r="BH999" s="7"/>
      <c r="BI999" s="7"/>
      <c r="BJ999" s="7"/>
    </row>
    <row r="1000" spans="1:62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  <c r="AY1000" s="7"/>
      <c r="AZ1000" s="7"/>
      <c r="BA1000" s="7"/>
      <c r="BB1000" s="7"/>
      <c r="BC1000" s="7"/>
      <c r="BD1000" s="7"/>
      <c r="BE1000" s="7"/>
      <c r="BF1000" s="7"/>
      <c r="BG1000" s="7"/>
      <c r="BH1000" s="7"/>
      <c r="BI1000" s="7"/>
      <c r="BJ1000" s="7"/>
    </row>
    <row r="1001" spans="1:62" x14ac:dyDescent="0.25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  <c r="AY1001" s="7"/>
      <c r="AZ1001" s="7"/>
      <c r="BA1001" s="7"/>
      <c r="BB1001" s="7"/>
      <c r="BC1001" s="7"/>
      <c r="BD1001" s="7"/>
      <c r="BE1001" s="7"/>
      <c r="BF1001" s="7"/>
      <c r="BG1001" s="7"/>
      <c r="BH1001" s="7"/>
      <c r="BI1001" s="7"/>
      <c r="BJ1001" s="7"/>
    </row>
    <row r="1002" spans="1:62" x14ac:dyDescent="0.25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/>
      <c r="BH1002" s="7"/>
      <c r="BI1002" s="7"/>
      <c r="BJ1002" s="7"/>
    </row>
    <row r="1003" spans="1:62" x14ac:dyDescent="0.25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/>
      <c r="BH1003" s="7"/>
      <c r="BI1003" s="7"/>
      <c r="BJ1003" s="7"/>
    </row>
    <row r="1004" spans="1:62" x14ac:dyDescent="0.25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/>
      <c r="BH1004" s="7"/>
      <c r="BI1004" s="7"/>
      <c r="BJ1004" s="7"/>
    </row>
    <row r="1005" spans="1:62" x14ac:dyDescent="0.2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  <c r="AY1005" s="7"/>
      <c r="AZ1005" s="7"/>
      <c r="BA1005" s="7"/>
      <c r="BB1005" s="7"/>
      <c r="BC1005" s="7"/>
      <c r="BD1005" s="7"/>
      <c r="BE1005" s="7"/>
      <c r="BF1005" s="7"/>
      <c r="BG1005" s="7"/>
      <c r="BH1005" s="7"/>
      <c r="BI1005" s="7"/>
      <c r="BJ1005" s="7"/>
    </row>
    <row r="1006" spans="1:62" x14ac:dyDescent="0.25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/>
      <c r="BE1006" s="7"/>
      <c r="BF1006" s="7"/>
      <c r="BG1006" s="7"/>
      <c r="BH1006" s="7"/>
      <c r="BI1006" s="7"/>
      <c r="BJ1006" s="7"/>
    </row>
    <row r="1007" spans="1:62" x14ac:dyDescent="0.25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  <c r="AY1007" s="7"/>
      <c r="AZ1007" s="7"/>
      <c r="BA1007" s="7"/>
      <c r="BB1007" s="7"/>
      <c r="BC1007" s="7"/>
      <c r="BD1007" s="7"/>
      <c r="BE1007" s="7"/>
      <c r="BF1007" s="7"/>
      <c r="BG1007" s="7"/>
      <c r="BH1007" s="7"/>
      <c r="BI1007" s="7"/>
      <c r="BJ1007" s="7"/>
    </row>
    <row r="1008" spans="1:62" x14ac:dyDescent="0.25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  <c r="AY1008" s="7"/>
      <c r="AZ1008" s="7"/>
      <c r="BA1008" s="7"/>
      <c r="BB1008" s="7"/>
      <c r="BC1008" s="7"/>
      <c r="BD1008" s="7"/>
      <c r="BE1008" s="7"/>
      <c r="BF1008" s="7"/>
      <c r="BG1008" s="7"/>
      <c r="BH1008" s="7"/>
      <c r="BI1008" s="7"/>
      <c r="BJ1008" s="7"/>
    </row>
    <row r="1009" spans="1:62" x14ac:dyDescent="0.25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  <c r="AY1009" s="7"/>
      <c r="AZ1009" s="7"/>
      <c r="BA1009" s="7"/>
      <c r="BB1009" s="7"/>
      <c r="BC1009" s="7"/>
      <c r="BD1009" s="7"/>
      <c r="BE1009" s="7"/>
      <c r="BF1009" s="7"/>
      <c r="BG1009" s="7"/>
      <c r="BH1009" s="7"/>
      <c r="BI1009" s="7"/>
      <c r="BJ1009" s="7"/>
    </row>
    <row r="1010" spans="1:62" x14ac:dyDescent="0.25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  <c r="AY1010" s="7"/>
      <c r="AZ1010" s="7"/>
      <c r="BA1010" s="7"/>
      <c r="BB1010" s="7"/>
      <c r="BC1010" s="7"/>
      <c r="BD1010" s="7"/>
      <c r="BE1010" s="7"/>
      <c r="BF1010" s="7"/>
      <c r="BG1010" s="7"/>
      <c r="BH1010" s="7"/>
      <c r="BI1010" s="7"/>
      <c r="BJ1010" s="7"/>
    </row>
    <row r="1011" spans="1:62" x14ac:dyDescent="0.25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  <c r="AY1011" s="7"/>
      <c r="AZ1011" s="7"/>
      <c r="BA1011" s="7"/>
      <c r="BB1011" s="7"/>
      <c r="BC1011" s="7"/>
      <c r="BD1011" s="7"/>
      <c r="BE1011" s="7"/>
      <c r="BF1011" s="7"/>
      <c r="BG1011" s="7"/>
      <c r="BH1011" s="7"/>
      <c r="BI1011" s="7"/>
      <c r="BJ1011" s="7"/>
    </row>
    <row r="1012" spans="1:62" x14ac:dyDescent="0.25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  <c r="AY1012" s="7"/>
      <c r="AZ1012" s="7"/>
      <c r="BA1012" s="7"/>
      <c r="BB1012" s="7"/>
      <c r="BC1012" s="7"/>
      <c r="BD1012" s="7"/>
      <c r="BE1012" s="7"/>
      <c r="BF1012" s="7"/>
      <c r="BG1012" s="7"/>
      <c r="BH1012" s="7"/>
      <c r="BI1012" s="7"/>
      <c r="BJ1012" s="7"/>
    </row>
    <row r="1013" spans="1:62" x14ac:dyDescent="0.25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  <c r="AY1013" s="7"/>
      <c r="AZ1013" s="7"/>
      <c r="BA1013" s="7"/>
      <c r="BB1013" s="7"/>
      <c r="BC1013" s="7"/>
      <c r="BD1013" s="7"/>
      <c r="BE1013" s="7"/>
      <c r="BF1013" s="7"/>
      <c r="BG1013" s="7"/>
      <c r="BH1013" s="7"/>
      <c r="BI1013" s="7"/>
      <c r="BJ1013" s="7"/>
    </row>
    <row r="1014" spans="1:62" x14ac:dyDescent="0.25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  <c r="AY1014" s="7"/>
      <c r="AZ1014" s="7"/>
      <c r="BA1014" s="7"/>
      <c r="BB1014" s="7"/>
      <c r="BC1014" s="7"/>
      <c r="BD1014" s="7"/>
      <c r="BE1014" s="7"/>
      <c r="BF1014" s="7"/>
      <c r="BG1014" s="7"/>
      <c r="BH1014" s="7"/>
      <c r="BI1014" s="7"/>
      <c r="BJ1014" s="7"/>
    </row>
    <row r="1015" spans="1:62" x14ac:dyDescent="0.25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  <c r="AY1015" s="7"/>
      <c r="AZ1015" s="7"/>
      <c r="BA1015" s="7"/>
      <c r="BB1015" s="7"/>
      <c r="BC1015" s="7"/>
      <c r="BD1015" s="7"/>
      <c r="BE1015" s="7"/>
      <c r="BF1015" s="7"/>
      <c r="BG1015" s="7"/>
      <c r="BH1015" s="7"/>
      <c r="BI1015" s="7"/>
      <c r="BJ1015" s="7"/>
    </row>
    <row r="1016" spans="1:62" x14ac:dyDescent="0.25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  <c r="AY1016" s="7"/>
      <c r="AZ1016" s="7"/>
      <c r="BA1016" s="7"/>
      <c r="BB1016" s="7"/>
      <c r="BC1016" s="7"/>
      <c r="BD1016" s="7"/>
      <c r="BE1016" s="7"/>
      <c r="BF1016" s="7"/>
      <c r="BG1016" s="7"/>
      <c r="BH1016" s="7"/>
      <c r="BI1016" s="7"/>
      <c r="BJ1016" s="7"/>
    </row>
    <row r="1017" spans="1:62" x14ac:dyDescent="0.25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  <c r="AY1017" s="7"/>
      <c r="AZ1017" s="7"/>
      <c r="BA1017" s="7"/>
      <c r="BB1017" s="7"/>
      <c r="BC1017" s="7"/>
      <c r="BD1017" s="7"/>
      <c r="BE1017" s="7"/>
      <c r="BF1017" s="7"/>
      <c r="BG1017" s="7"/>
      <c r="BH1017" s="7"/>
      <c r="BI1017" s="7"/>
      <c r="BJ1017" s="7"/>
    </row>
    <row r="1018" spans="1:62" x14ac:dyDescent="0.25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  <c r="AY1018" s="7"/>
      <c r="AZ1018" s="7"/>
      <c r="BA1018" s="7"/>
      <c r="BB1018" s="7"/>
      <c r="BC1018" s="7"/>
      <c r="BD1018" s="7"/>
      <c r="BE1018" s="7"/>
      <c r="BF1018" s="7"/>
      <c r="BG1018" s="7"/>
      <c r="BH1018" s="7"/>
      <c r="BI1018" s="7"/>
      <c r="BJ1018" s="7"/>
    </row>
    <row r="1019" spans="1:62" x14ac:dyDescent="0.25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  <c r="AY1019" s="7"/>
      <c r="AZ1019" s="7"/>
      <c r="BA1019" s="7"/>
      <c r="BB1019" s="7"/>
      <c r="BC1019" s="7"/>
      <c r="BD1019" s="7"/>
      <c r="BE1019" s="7"/>
      <c r="BF1019" s="7"/>
      <c r="BG1019" s="7"/>
      <c r="BH1019" s="7"/>
      <c r="BI1019" s="7"/>
      <c r="BJ1019" s="7"/>
    </row>
    <row r="1020" spans="1:62" x14ac:dyDescent="0.25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  <c r="AY1020" s="7"/>
      <c r="AZ1020" s="7"/>
      <c r="BA1020" s="7"/>
      <c r="BB1020" s="7"/>
      <c r="BC1020" s="7"/>
      <c r="BD1020" s="7"/>
      <c r="BE1020" s="7"/>
      <c r="BF1020" s="7"/>
      <c r="BG1020" s="7"/>
      <c r="BH1020" s="7"/>
      <c r="BI1020" s="7"/>
      <c r="BJ1020" s="7"/>
    </row>
    <row r="1021" spans="1:62" x14ac:dyDescent="0.25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  <c r="AY1021" s="7"/>
      <c r="AZ1021" s="7"/>
      <c r="BA1021" s="7"/>
      <c r="BB1021" s="7"/>
      <c r="BC1021" s="7"/>
      <c r="BD1021" s="7"/>
      <c r="BE1021" s="7"/>
      <c r="BF1021" s="7"/>
      <c r="BG1021" s="7"/>
      <c r="BH1021" s="7"/>
      <c r="BI1021" s="7"/>
      <c r="BJ1021" s="7"/>
    </row>
    <row r="1022" spans="1:62" x14ac:dyDescent="0.25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  <c r="AY1022" s="7"/>
      <c r="AZ1022" s="7"/>
      <c r="BA1022" s="7"/>
      <c r="BB1022" s="7"/>
      <c r="BC1022" s="7"/>
      <c r="BD1022" s="7"/>
      <c r="BE1022" s="7"/>
      <c r="BF1022" s="7"/>
      <c r="BG1022" s="7"/>
      <c r="BH1022" s="7"/>
      <c r="BI1022" s="7"/>
      <c r="BJ1022" s="7"/>
    </row>
    <row r="1023" spans="1:62" x14ac:dyDescent="0.25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  <c r="AY1023" s="7"/>
      <c r="AZ1023" s="7"/>
      <c r="BA1023" s="7"/>
      <c r="BB1023" s="7"/>
      <c r="BC1023" s="7"/>
      <c r="BD1023" s="7"/>
      <c r="BE1023" s="7"/>
      <c r="BF1023" s="7"/>
      <c r="BG1023" s="7"/>
      <c r="BH1023" s="7"/>
      <c r="BI1023" s="7"/>
      <c r="BJ1023" s="7"/>
    </row>
    <row r="1024" spans="1:62" x14ac:dyDescent="0.25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  <c r="AY1024" s="7"/>
      <c r="AZ1024" s="7"/>
      <c r="BA1024" s="7"/>
      <c r="BB1024" s="7"/>
      <c r="BC1024" s="7"/>
      <c r="BD1024" s="7"/>
      <c r="BE1024" s="7"/>
      <c r="BF1024" s="7"/>
      <c r="BG1024" s="7"/>
      <c r="BH1024" s="7"/>
      <c r="BI1024" s="7"/>
      <c r="BJ1024" s="7"/>
    </row>
    <row r="1025" spans="1:62" x14ac:dyDescent="0.25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  <c r="AY1025" s="7"/>
      <c r="AZ1025" s="7"/>
      <c r="BA1025" s="7"/>
      <c r="BB1025" s="7"/>
      <c r="BC1025" s="7"/>
      <c r="BD1025" s="7"/>
      <c r="BE1025" s="7"/>
      <c r="BF1025" s="7"/>
      <c r="BG1025" s="7"/>
      <c r="BH1025" s="7"/>
      <c r="BI1025" s="7"/>
      <c r="BJ1025" s="7"/>
    </row>
    <row r="1026" spans="1:62" x14ac:dyDescent="0.25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  <c r="AY1026" s="7"/>
      <c r="AZ1026" s="7"/>
      <c r="BA1026" s="7"/>
      <c r="BB1026" s="7"/>
      <c r="BC1026" s="7"/>
      <c r="BD1026" s="7"/>
      <c r="BE1026" s="7"/>
      <c r="BF1026" s="7"/>
      <c r="BG1026" s="7"/>
      <c r="BH1026" s="7"/>
      <c r="BI1026" s="7"/>
      <c r="BJ1026" s="7"/>
    </row>
    <row r="1027" spans="1:62" x14ac:dyDescent="0.25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  <c r="AY1027" s="7"/>
      <c r="AZ1027" s="7"/>
      <c r="BA1027" s="7"/>
      <c r="BB1027" s="7"/>
      <c r="BC1027" s="7"/>
      <c r="BD1027" s="7"/>
      <c r="BE1027" s="7"/>
      <c r="BF1027" s="7"/>
      <c r="BG1027" s="7"/>
      <c r="BH1027" s="7"/>
      <c r="BI1027" s="7"/>
      <c r="BJ1027" s="7"/>
    </row>
    <row r="1028" spans="1:62" x14ac:dyDescent="0.25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  <c r="AY1028" s="7"/>
      <c r="AZ1028" s="7"/>
      <c r="BA1028" s="7"/>
      <c r="BB1028" s="7"/>
      <c r="BC1028" s="7"/>
      <c r="BD1028" s="7"/>
      <c r="BE1028" s="7"/>
      <c r="BF1028" s="7"/>
      <c r="BG1028" s="7"/>
      <c r="BH1028" s="7"/>
      <c r="BI1028" s="7"/>
      <c r="BJ1028" s="7"/>
    </row>
    <row r="1029" spans="1:62" x14ac:dyDescent="0.25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  <c r="AY1029" s="7"/>
      <c r="AZ1029" s="7"/>
      <c r="BA1029" s="7"/>
      <c r="BB1029" s="7"/>
      <c r="BC1029" s="7"/>
      <c r="BD1029" s="7"/>
      <c r="BE1029" s="7"/>
      <c r="BF1029" s="7"/>
      <c r="BG1029" s="7"/>
      <c r="BH1029" s="7"/>
      <c r="BI1029" s="7"/>
      <c r="BJ1029" s="7"/>
    </row>
    <row r="1030" spans="1:62" x14ac:dyDescent="0.25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  <c r="AY1030" s="7"/>
      <c r="AZ1030" s="7"/>
      <c r="BA1030" s="7"/>
      <c r="BB1030" s="7"/>
      <c r="BC1030" s="7"/>
      <c r="BD1030" s="7"/>
      <c r="BE1030" s="7"/>
      <c r="BF1030" s="7"/>
      <c r="BG1030" s="7"/>
      <c r="BH1030" s="7"/>
      <c r="BI1030" s="7"/>
      <c r="BJ1030" s="7"/>
    </row>
    <row r="1031" spans="1:62" x14ac:dyDescent="0.25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  <c r="AY1031" s="7"/>
      <c r="AZ1031" s="7"/>
      <c r="BA1031" s="7"/>
      <c r="BB1031" s="7"/>
      <c r="BC1031" s="7"/>
      <c r="BD1031" s="7"/>
      <c r="BE1031" s="7"/>
      <c r="BF1031" s="7"/>
      <c r="BG1031" s="7"/>
      <c r="BH1031" s="7"/>
      <c r="BI1031" s="7"/>
      <c r="BJ1031" s="7"/>
    </row>
    <row r="1032" spans="1:62" x14ac:dyDescent="0.25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  <c r="AY1032" s="7"/>
      <c r="AZ1032" s="7"/>
      <c r="BA1032" s="7"/>
      <c r="BB1032" s="7"/>
      <c r="BC1032" s="7"/>
      <c r="BD1032" s="7"/>
      <c r="BE1032" s="7"/>
      <c r="BF1032" s="7"/>
      <c r="BG1032" s="7"/>
      <c r="BH1032" s="7"/>
      <c r="BI1032" s="7"/>
      <c r="BJ1032" s="7"/>
    </row>
    <row r="1033" spans="1:62" x14ac:dyDescent="0.25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  <c r="AY1033" s="7"/>
      <c r="AZ1033" s="7"/>
      <c r="BA1033" s="7"/>
      <c r="BB1033" s="7"/>
      <c r="BC1033" s="7"/>
      <c r="BD1033" s="7"/>
      <c r="BE1033" s="7"/>
      <c r="BF1033" s="7"/>
      <c r="BG1033" s="7"/>
      <c r="BH1033" s="7"/>
      <c r="BI1033" s="7"/>
      <c r="BJ1033" s="7"/>
    </row>
    <row r="1034" spans="1:62" x14ac:dyDescent="0.25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  <c r="AY1034" s="7"/>
      <c r="AZ1034" s="7"/>
      <c r="BA1034" s="7"/>
      <c r="BB1034" s="7"/>
      <c r="BC1034" s="7"/>
      <c r="BD1034" s="7"/>
      <c r="BE1034" s="7"/>
      <c r="BF1034" s="7"/>
      <c r="BG1034" s="7"/>
      <c r="BH1034" s="7"/>
      <c r="BI1034" s="7"/>
      <c r="BJ1034" s="7"/>
    </row>
    <row r="1035" spans="1:62" x14ac:dyDescent="0.25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  <c r="AY1035" s="7"/>
      <c r="AZ1035" s="7"/>
      <c r="BA1035" s="7"/>
      <c r="BB1035" s="7"/>
      <c r="BC1035" s="7"/>
      <c r="BD1035" s="7"/>
      <c r="BE1035" s="7"/>
      <c r="BF1035" s="7"/>
      <c r="BG1035" s="7"/>
      <c r="BH1035" s="7"/>
      <c r="BI1035" s="7"/>
      <c r="BJ1035" s="7"/>
    </row>
    <row r="1036" spans="1:62" x14ac:dyDescent="0.25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  <c r="AY1036" s="7"/>
      <c r="AZ1036" s="7"/>
      <c r="BA1036" s="7"/>
      <c r="BB1036" s="7"/>
      <c r="BC1036" s="7"/>
      <c r="BD1036" s="7"/>
      <c r="BE1036" s="7"/>
      <c r="BF1036" s="7"/>
      <c r="BG1036" s="7"/>
      <c r="BH1036" s="7"/>
      <c r="BI1036" s="7"/>
      <c r="BJ1036" s="7"/>
    </row>
    <row r="1037" spans="1:62" x14ac:dyDescent="0.25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  <c r="AY1037" s="7"/>
      <c r="AZ1037" s="7"/>
      <c r="BA1037" s="7"/>
      <c r="BB1037" s="7"/>
      <c r="BC1037" s="7"/>
      <c r="BD1037" s="7"/>
      <c r="BE1037" s="7"/>
      <c r="BF1037" s="7"/>
      <c r="BG1037" s="7"/>
      <c r="BH1037" s="7"/>
      <c r="BI1037" s="7"/>
      <c r="BJ1037" s="7"/>
    </row>
    <row r="1038" spans="1:62" x14ac:dyDescent="0.25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  <c r="AY1038" s="7"/>
      <c r="AZ1038" s="7"/>
      <c r="BA1038" s="7"/>
      <c r="BB1038" s="7"/>
      <c r="BC1038" s="7"/>
      <c r="BD1038" s="7"/>
      <c r="BE1038" s="7"/>
      <c r="BF1038" s="7"/>
      <c r="BG1038" s="7"/>
      <c r="BH1038" s="7"/>
      <c r="BI1038" s="7"/>
      <c r="BJ1038" s="7"/>
    </row>
    <row r="1039" spans="1:62" x14ac:dyDescent="0.25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  <c r="AY1039" s="7"/>
      <c r="AZ1039" s="7"/>
      <c r="BA1039" s="7"/>
      <c r="BB1039" s="7"/>
      <c r="BC1039" s="7"/>
      <c r="BD1039" s="7"/>
      <c r="BE1039" s="7"/>
      <c r="BF1039" s="7"/>
      <c r="BG1039" s="7"/>
      <c r="BH1039" s="7"/>
      <c r="BI1039" s="7"/>
      <c r="BJ1039" s="7"/>
    </row>
    <row r="1040" spans="1:62" x14ac:dyDescent="0.25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  <c r="AY1040" s="7"/>
      <c r="AZ1040" s="7"/>
      <c r="BA1040" s="7"/>
      <c r="BB1040" s="7"/>
      <c r="BC1040" s="7"/>
      <c r="BD1040" s="7"/>
      <c r="BE1040" s="7"/>
      <c r="BF1040" s="7"/>
      <c r="BG1040" s="7"/>
      <c r="BH1040" s="7"/>
      <c r="BI1040" s="7"/>
      <c r="BJ1040" s="7"/>
    </row>
    <row r="1041" spans="1:62" x14ac:dyDescent="0.25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  <c r="AY1041" s="7"/>
      <c r="AZ1041" s="7"/>
      <c r="BA1041" s="7"/>
      <c r="BB1041" s="7"/>
      <c r="BC1041" s="7"/>
      <c r="BD1041" s="7"/>
      <c r="BE1041" s="7"/>
      <c r="BF1041" s="7"/>
      <c r="BG1041" s="7"/>
      <c r="BH1041" s="7"/>
      <c r="BI1041" s="7"/>
      <c r="BJ1041" s="7"/>
    </row>
    <row r="1042" spans="1:62" x14ac:dyDescent="0.25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  <c r="AY1042" s="7"/>
      <c r="AZ1042" s="7"/>
      <c r="BA1042" s="7"/>
      <c r="BB1042" s="7"/>
      <c r="BC1042" s="7"/>
      <c r="BD1042" s="7"/>
      <c r="BE1042" s="7"/>
      <c r="BF1042" s="7"/>
      <c r="BG1042" s="7"/>
      <c r="BH1042" s="7"/>
      <c r="BI1042" s="7"/>
      <c r="BJ1042" s="7"/>
    </row>
    <row r="1043" spans="1:62" x14ac:dyDescent="0.25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  <c r="AY1043" s="7"/>
      <c r="AZ1043" s="7"/>
      <c r="BA1043" s="7"/>
      <c r="BB1043" s="7"/>
      <c r="BC1043" s="7"/>
      <c r="BD1043" s="7"/>
      <c r="BE1043" s="7"/>
      <c r="BF1043" s="7"/>
      <c r="BG1043" s="7"/>
      <c r="BH1043" s="7"/>
      <c r="BI1043" s="7"/>
      <c r="BJ1043" s="7"/>
    </row>
    <row r="1044" spans="1:62" x14ac:dyDescent="0.25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  <c r="AY1044" s="7"/>
      <c r="AZ1044" s="7"/>
      <c r="BA1044" s="7"/>
      <c r="BB1044" s="7"/>
      <c r="BC1044" s="7"/>
      <c r="BD1044" s="7"/>
      <c r="BE1044" s="7"/>
      <c r="BF1044" s="7"/>
      <c r="BG1044" s="7"/>
      <c r="BH1044" s="7"/>
      <c r="BI1044" s="7"/>
      <c r="BJ1044" s="7"/>
    </row>
    <row r="1045" spans="1:62" x14ac:dyDescent="0.25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  <c r="AY1045" s="7"/>
      <c r="AZ1045" s="7"/>
      <c r="BA1045" s="7"/>
      <c r="BB1045" s="7"/>
      <c r="BC1045" s="7"/>
      <c r="BD1045" s="7"/>
      <c r="BE1045" s="7"/>
      <c r="BF1045" s="7"/>
      <c r="BG1045" s="7"/>
      <c r="BH1045" s="7"/>
      <c r="BI1045" s="7"/>
      <c r="BJ1045" s="7"/>
    </row>
    <row r="1046" spans="1:62" x14ac:dyDescent="0.25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  <c r="AY1046" s="7"/>
      <c r="AZ1046" s="7"/>
      <c r="BA1046" s="7"/>
      <c r="BB1046" s="7"/>
      <c r="BC1046" s="7"/>
      <c r="BD1046" s="7"/>
      <c r="BE1046" s="7"/>
      <c r="BF1046" s="7"/>
      <c r="BG1046" s="7"/>
      <c r="BH1046" s="7"/>
      <c r="BI1046" s="7"/>
      <c r="BJ1046" s="7"/>
    </row>
    <row r="1047" spans="1:62" x14ac:dyDescent="0.25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  <c r="AY1047" s="7"/>
      <c r="AZ1047" s="7"/>
      <c r="BA1047" s="7"/>
      <c r="BB1047" s="7"/>
      <c r="BC1047" s="7"/>
      <c r="BD1047" s="7"/>
      <c r="BE1047" s="7"/>
      <c r="BF1047" s="7"/>
      <c r="BG1047" s="7"/>
      <c r="BH1047" s="7"/>
      <c r="BI1047" s="7"/>
      <c r="BJ1047" s="7"/>
    </row>
    <row r="1048" spans="1:62" x14ac:dyDescent="0.25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  <c r="AY1048" s="7"/>
      <c r="AZ1048" s="7"/>
      <c r="BA1048" s="7"/>
      <c r="BB1048" s="7"/>
      <c r="BC1048" s="7"/>
      <c r="BD1048" s="7"/>
      <c r="BE1048" s="7"/>
      <c r="BF1048" s="7"/>
      <c r="BG1048" s="7"/>
      <c r="BH1048" s="7"/>
      <c r="BI1048" s="7"/>
      <c r="BJ1048" s="7"/>
    </row>
    <row r="1049" spans="1:62" x14ac:dyDescent="0.25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  <c r="AY1049" s="7"/>
      <c r="AZ1049" s="7"/>
      <c r="BA1049" s="7"/>
      <c r="BB1049" s="7"/>
      <c r="BC1049" s="7"/>
      <c r="BD1049" s="7"/>
      <c r="BE1049" s="7"/>
      <c r="BF1049" s="7"/>
      <c r="BG1049" s="7"/>
      <c r="BH1049" s="7"/>
      <c r="BI1049" s="7"/>
      <c r="BJ1049" s="7"/>
    </row>
    <row r="1050" spans="1:62" x14ac:dyDescent="0.25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  <c r="AY1050" s="7"/>
      <c r="AZ1050" s="7"/>
      <c r="BA1050" s="7"/>
      <c r="BB1050" s="7"/>
      <c r="BC1050" s="7"/>
      <c r="BD1050" s="7"/>
      <c r="BE1050" s="7"/>
      <c r="BF1050" s="7"/>
      <c r="BG1050" s="7"/>
      <c r="BH1050" s="7"/>
      <c r="BI1050" s="7"/>
      <c r="BJ1050" s="7"/>
    </row>
    <row r="1051" spans="1:62" x14ac:dyDescent="0.25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  <c r="AY1051" s="7"/>
      <c r="AZ1051" s="7"/>
      <c r="BA1051" s="7"/>
      <c r="BB1051" s="7"/>
      <c r="BC1051" s="7"/>
      <c r="BD1051" s="7"/>
      <c r="BE1051" s="7"/>
      <c r="BF1051" s="7"/>
      <c r="BG1051" s="7"/>
      <c r="BH1051" s="7"/>
      <c r="BI1051" s="7"/>
      <c r="BJ1051" s="7"/>
    </row>
    <row r="1052" spans="1:62" x14ac:dyDescent="0.25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  <c r="AY1052" s="7"/>
      <c r="AZ1052" s="7"/>
      <c r="BA1052" s="7"/>
      <c r="BB1052" s="7"/>
      <c r="BC1052" s="7"/>
      <c r="BD1052" s="7"/>
      <c r="BE1052" s="7"/>
      <c r="BF1052" s="7"/>
      <c r="BG1052" s="7"/>
      <c r="BH1052" s="7"/>
      <c r="BI1052" s="7"/>
      <c r="BJ1052" s="7"/>
    </row>
    <row r="1053" spans="1:62" x14ac:dyDescent="0.25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  <c r="AY1053" s="7"/>
      <c r="AZ1053" s="7"/>
      <c r="BA1053" s="7"/>
      <c r="BB1053" s="7"/>
      <c r="BC1053" s="7"/>
      <c r="BD1053" s="7"/>
      <c r="BE1053" s="7"/>
      <c r="BF1053" s="7"/>
      <c r="BG1053" s="7"/>
      <c r="BH1053" s="7"/>
      <c r="BI1053" s="7"/>
      <c r="BJ1053" s="7"/>
    </row>
    <row r="1054" spans="1:62" x14ac:dyDescent="0.25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  <c r="AY1054" s="7"/>
      <c r="AZ1054" s="7"/>
      <c r="BA1054" s="7"/>
      <c r="BB1054" s="7"/>
      <c r="BC1054" s="7"/>
      <c r="BD1054" s="7"/>
      <c r="BE1054" s="7"/>
      <c r="BF1054" s="7"/>
      <c r="BG1054" s="7"/>
      <c r="BH1054" s="7"/>
      <c r="BI1054" s="7"/>
      <c r="BJ1054" s="7"/>
    </row>
    <row r="1055" spans="1:62" x14ac:dyDescent="0.25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  <c r="AY1055" s="7"/>
      <c r="AZ1055" s="7"/>
      <c r="BA1055" s="7"/>
      <c r="BB1055" s="7"/>
      <c r="BC1055" s="7"/>
      <c r="BD1055" s="7"/>
      <c r="BE1055" s="7"/>
      <c r="BF1055" s="7"/>
      <c r="BG1055" s="7"/>
      <c r="BH1055" s="7"/>
      <c r="BI1055" s="7"/>
      <c r="BJ1055" s="7"/>
    </row>
    <row r="1056" spans="1:62" x14ac:dyDescent="0.25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  <c r="AY1056" s="7"/>
      <c r="AZ1056" s="7"/>
      <c r="BA1056" s="7"/>
      <c r="BB1056" s="7"/>
      <c r="BC1056" s="7"/>
      <c r="BD1056" s="7"/>
      <c r="BE1056" s="7"/>
      <c r="BF1056" s="7"/>
      <c r="BG1056" s="7"/>
      <c r="BH1056" s="7"/>
      <c r="BI1056" s="7"/>
      <c r="BJ1056" s="7"/>
    </row>
    <row r="1057" spans="1:62" x14ac:dyDescent="0.25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  <c r="AY1057" s="7"/>
      <c r="AZ1057" s="7"/>
      <c r="BA1057" s="7"/>
      <c r="BB1057" s="7"/>
      <c r="BC1057" s="7"/>
      <c r="BD1057" s="7"/>
      <c r="BE1057" s="7"/>
      <c r="BF1057" s="7"/>
      <c r="BG1057" s="7"/>
      <c r="BH1057" s="7"/>
      <c r="BI1057" s="7"/>
      <c r="BJ1057" s="7"/>
    </row>
    <row r="1058" spans="1:62" x14ac:dyDescent="0.25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  <c r="AY1058" s="7"/>
      <c r="AZ1058" s="7"/>
      <c r="BA1058" s="7"/>
      <c r="BB1058" s="7"/>
      <c r="BC1058" s="7"/>
      <c r="BD1058" s="7"/>
      <c r="BE1058" s="7"/>
      <c r="BF1058" s="7"/>
      <c r="BG1058" s="7"/>
      <c r="BH1058" s="7"/>
      <c r="BI1058" s="7"/>
      <c r="BJ1058" s="7"/>
    </row>
    <row r="1059" spans="1:62" x14ac:dyDescent="0.25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  <c r="AY1059" s="7"/>
      <c r="AZ1059" s="7"/>
      <c r="BA1059" s="7"/>
      <c r="BB1059" s="7"/>
      <c r="BC1059" s="7"/>
      <c r="BD1059" s="7"/>
      <c r="BE1059" s="7"/>
      <c r="BF1059" s="7"/>
      <c r="BG1059" s="7"/>
      <c r="BH1059" s="7"/>
      <c r="BI1059" s="7"/>
      <c r="BJ1059" s="7"/>
    </row>
    <row r="1060" spans="1:62" x14ac:dyDescent="0.25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  <c r="AY1060" s="7"/>
      <c r="AZ1060" s="7"/>
      <c r="BA1060" s="7"/>
      <c r="BB1060" s="7"/>
      <c r="BC1060" s="7"/>
      <c r="BD1060" s="7"/>
      <c r="BE1060" s="7"/>
      <c r="BF1060" s="7"/>
      <c r="BG1060" s="7"/>
      <c r="BH1060" s="7"/>
      <c r="BI1060" s="7"/>
      <c r="BJ1060" s="7"/>
    </row>
    <row r="1061" spans="1:62" x14ac:dyDescent="0.25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  <c r="AY1061" s="7"/>
      <c r="AZ1061" s="7"/>
      <c r="BA1061" s="7"/>
      <c r="BB1061" s="7"/>
      <c r="BC1061" s="7"/>
      <c r="BD1061" s="7"/>
      <c r="BE1061" s="7"/>
      <c r="BF1061" s="7"/>
      <c r="BG1061" s="7"/>
      <c r="BH1061" s="7"/>
      <c r="BI1061" s="7"/>
      <c r="BJ1061" s="7"/>
    </row>
    <row r="1062" spans="1:62" x14ac:dyDescent="0.25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  <c r="AY1062" s="7"/>
      <c r="AZ1062" s="7"/>
      <c r="BA1062" s="7"/>
      <c r="BB1062" s="7"/>
      <c r="BC1062" s="7"/>
      <c r="BD1062" s="7"/>
      <c r="BE1062" s="7"/>
      <c r="BF1062" s="7"/>
      <c r="BG1062" s="7"/>
      <c r="BH1062" s="7"/>
      <c r="BI1062" s="7"/>
      <c r="BJ1062" s="7"/>
    </row>
    <row r="1063" spans="1:62" x14ac:dyDescent="0.25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/>
      <c r="BH1063" s="7"/>
      <c r="BI1063" s="7"/>
      <c r="BJ1063" s="7"/>
    </row>
    <row r="1064" spans="1:62" x14ac:dyDescent="0.25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  <c r="AY1064" s="7"/>
      <c r="AZ1064" s="7"/>
      <c r="BA1064" s="7"/>
      <c r="BB1064" s="7"/>
      <c r="BC1064" s="7"/>
      <c r="BD1064" s="7"/>
      <c r="BE1064" s="7"/>
      <c r="BF1064" s="7"/>
      <c r="BG1064" s="7"/>
      <c r="BH1064" s="7"/>
      <c r="BI1064" s="7"/>
      <c r="BJ1064" s="7"/>
    </row>
    <row r="1065" spans="1:62" x14ac:dyDescent="0.25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  <c r="AY1065" s="7"/>
      <c r="AZ1065" s="7"/>
      <c r="BA1065" s="7"/>
      <c r="BB1065" s="7"/>
      <c r="BC1065" s="7"/>
      <c r="BD1065" s="7"/>
      <c r="BE1065" s="7"/>
      <c r="BF1065" s="7"/>
      <c r="BG1065" s="7"/>
      <c r="BH1065" s="7"/>
      <c r="BI1065" s="7"/>
      <c r="BJ1065" s="7"/>
    </row>
    <row r="1066" spans="1:62" x14ac:dyDescent="0.25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7"/>
      <c r="BD1066" s="7"/>
      <c r="BE1066" s="7"/>
      <c r="BF1066" s="7"/>
      <c r="BG1066" s="7"/>
      <c r="BH1066" s="7"/>
      <c r="BI1066" s="7"/>
      <c r="BJ1066" s="7"/>
    </row>
    <row r="1067" spans="1:62" x14ac:dyDescent="0.25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  <c r="AY1067" s="7"/>
      <c r="AZ1067" s="7"/>
      <c r="BA1067" s="7"/>
      <c r="BB1067" s="7"/>
      <c r="BC1067" s="7"/>
      <c r="BD1067" s="7"/>
      <c r="BE1067" s="7"/>
      <c r="BF1067" s="7"/>
      <c r="BG1067" s="7"/>
      <c r="BH1067" s="7"/>
      <c r="BI1067" s="7"/>
      <c r="BJ1067" s="7"/>
    </row>
    <row r="1068" spans="1:62" x14ac:dyDescent="0.25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  <c r="AY1068" s="7"/>
      <c r="AZ1068" s="7"/>
      <c r="BA1068" s="7"/>
      <c r="BB1068" s="7"/>
      <c r="BC1068" s="7"/>
      <c r="BD1068" s="7"/>
      <c r="BE1068" s="7"/>
      <c r="BF1068" s="7"/>
      <c r="BG1068" s="7"/>
      <c r="BH1068" s="7"/>
      <c r="BI1068" s="7"/>
      <c r="BJ1068" s="7"/>
    </row>
    <row r="1069" spans="1:62" x14ac:dyDescent="0.25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  <c r="AY1069" s="7"/>
      <c r="AZ1069" s="7"/>
      <c r="BA1069" s="7"/>
      <c r="BB1069" s="7"/>
      <c r="BC1069" s="7"/>
      <c r="BD1069" s="7"/>
      <c r="BE1069" s="7"/>
      <c r="BF1069" s="7"/>
      <c r="BG1069" s="7"/>
      <c r="BH1069" s="7"/>
      <c r="BI1069" s="7"/>
      <c r="BJ1069" s="7"/>
    </row>
    <row r="1070" spans="1:62" x14ac:dyDescent="0.25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  <c r="AY1070" s="7"/>
      <c r="AZ1070" s="7"/>
      <c r="BA1070" s="7"/>
      <c r="BB1070" s="7"/>
      <c r="BC1070" s="7"/>
      <c r="BD1070" s="7"/>
      <c r="BE1070" s="7"/>
      <c r="BF1070" s="7"/>
      <c r="BG1070" s="7"/>
      <c r="BH1070" s="7"/>
      <c r="BI1070" s="7"/>
      <c r="BJ1070" s="7"/>
    </row>
    <row r="1071" spans="1:62" x14ac:dyDescent="0.25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  <c r="AY1071" s="7"/>
      <c r="AZ1071" s="7"/>
      <c r="BA1071" s="7"/>
      <c r="BB1071" s="7"/>
      <c r="BC1071" s="7"/>
      <c r="BD1071" s="7"/>
      <c r="BE1071" s="7"/>
      <c r="BF1071" s="7"/>
      <c r="BG1071" s="7"/>
      <c r="BH1071" s="7"/>
      <c r="BI1071" s="7"/>
      <c r="BJ1071" s="7"/>
    </row>
    <row r="1072" spans="1:62" x14ac:dyDescent="0.25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  <c r="AY1072" s="7"/>
      <c r="AZ1072" s="7"/>
      <c r="BA1072" s="7"/>
      <c r="BB1072" s="7"/>
      <c r="BC1072" s="7"/>
      <c r="BD1072" s="7"/>
      <c r="BE1072" s="7"/>
      <c r="BF1072" s="7"/>
      <c r="BG1072" s="7"/>
      <c r="BH1072" s="7"/>
      <c r="BI1072" s="7"/>
      <c r="BJ1072" s="7"/>
    </row>
    <row r="1073" spans="1:62" x14ac:dyDescent="0.25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  <c r="AY1073" s="7"/>
      <c r="AZ1073" s="7"/>
      <c r="BA1073" s="7"/>
      <c r="BB1073" s="7"/>
      <c r="BC1073" s="7"/>
      <c r="BD1073" s="7"/>
      <c r="BE1073" s="7"/>
      <c r="BF1073" s="7"/>
      <c r="BG1073" s="7"/>
      <c r="BH1073" s="7"/>
      <c r="BI1073" s="7"/>
      <c r="BJ1073" s="7"/>
    </row>
    <row r="1074" spans="1:62" x14ac:dyDescent="0.25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  <c r="AY1074" s="7"/>
      <c r="AZ1074" s="7"/>
      <c r="BA1074" s="7"/>
      <c r="BB1074" s="7"/>
      <c r="BC1074" s="7"/>
      <c r="BD1074" s="7"/>
      <c r="BE1074" s="7"/>
      <c r="BF1074" s="7"/>
      <c r="BG1074" s="7"/>
      <c r="BH1074" s="7"/>
      <c r="BI1074" s="7"/>
      <c r="BJ1074" s="7"/>
    </row>
    <row r="1075" spans="1:62" x14ac:dyDescent="0.25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  <c r="AY1075" s="7"/>
      <c r="AZ1075" s="7"/>
      <c r="BA1075" s="7"/>
      <c r="BB1075" s="7"/>
      <c r="BC1075" s="7"/>
      <c r="BD1075" s="7"/>
      <c r="BE1075" s="7"/>
      <c r="BF1075" s="7"/>
      <c r="BG1075" s="7"/>
      <c r="BH1075" s="7"/>
      <c r="BI1075" s="7"/>
      <c r="BJ1075" s="7"/>
    </row>
    <row r="1076" spans="1:62" x14ac:dyDescent="0.25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  <c r="AY1076" s="7"/>
      <c r="AZ1076" s="7"/>
      <c r="BA1076" s="7"/>
      <c r="BB1076" s="7"/>
      <c r="BC1076" s="7"/>
      <c r="BD1076" s="7"/>
      <c r="BE1076" s="7"/>
      <c r="BF1076" s="7"/>
      <c r="BG1076" s="7"/>
      <c r="BH1076" s="7"/>
      <c r="BI1076" s="7"/>
      <c r="BJ1076" s="7"/>
    </row>
    <row r="1077" spans="1:62" x14ac:dyDescent="0.25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  <c r="AY1077" s="7"/>
      <c r="AZ1077" s="7"/>
      <c r="BA1077" s="7"/>
      <c r="BB1077" s="7"/>
      <c r="BC1077" s="7"/>
      <c r="BD1077" s="7"/>
      <c r="BE1077" s="7"/>
      <c r="BF1077" s="7"/>
      <c r="BG1077" s="7"/>
      <c r="BH1077" s="7"/>
      <c r="BI1077" s="7"/>
      <c r="BJ1077" s="7"/>
    </row>
    <row r="1078" spans="1:62" x14ac:dyDescent="0.25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  <c r="AY1078" s="7"/>
      <c r="AZ1078" s="7"/>
      <c r="BA1078" s="7"/>
      <c r="BB1078" s="7"/>
      <c r="BC1078" s="7"/>
      <c r="BD1078" s="7"/>
      <c r="BE1078" s="7"/>
      <c r="BF1078" s="7"/>
      <c r="BG1078" s="7"/>
      <c r="BH1078" s="7"/>
      <c r="BI1078" s="7"/>
      <c r="BJ1078" s="7"/>
    </row>
    <row r="1079" spans="1:62" x14ac:dyDescent="0.25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  <c r="AY1079" s="7"/>
      <c r="AZ1079" s="7"/>
      <c r="BA1079" s="7"/>
      <c r="BB1079" s="7"/>
      <c r="BC1079" s="7"/>
      <c r="BD1079" s="7"/>
      <c r="BE1079" s="7"/>
      <c r="BF1079" s="7"/>
      <c r="BG1079" s="7"/>
      <c r="BH1079" s="7"/>
      <c r="BI1079" s="7"/>
      <c r="BJ1079" s="7"/>
    </row>
    <row r="1080" spans="1:62" x14ac:dyDescent="0.25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  <c r="AY1080" s="7"/>
      <c r="AZ1080" s="7"/>
      <c r="BA1080" s="7"/>
      <c r="BB1080" s="7"/>
      <c r="BC1080" s="7"/>
      <c r="BD1080" s="7"/>
      <c r="BE1080" s="7"/>
      <c r="BF1080" s="7"/>
      <c r="BG1080" s="7"/>
      <c r="BH1080" s="7"/>
      <c r="BI1080" s="7"/>
      <c r="BJ1080" s="7"/>
    </row>
    <row r="1081" spans="1:62" x14ac:dyDescent="0.25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  <c r="AY1081" s="7"/>
      <c r="AZ1081" s="7"/>
      <c r="BA1081" s="7"/>
      <c r="BB1081" s="7"/>
      <c r="BC1081" s="7"/>
      <c r="BD1081" s="7"/>
      <c r="BE1081" s="7"/>
      <c r="BF1081" s="7"/>
      <c r="BG1081" s="7"/>
      <c r="BH1081" s="7"/>
      <c r="BI1081" s="7"/>
      <c r="BJ1081" s="7"/>
    </row>
    <row r="1082" spans="1:62" x14ac:dyDescent="0.25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  <c r="AY1082" s="7"/>
      <c r="AZ1082" s="7"/>
      <c r="BA1082" s="7"/>
      <c r="BB1082" s="7"/>
      <c r="BC1082" s="7"/>
      <c r="BD1082" s="7"/>
      <c r="BE1082" s="7"/>
      <c r="BF1082" s="7"/>
      <c r="BG1082" s="7"/>
      <c r="BH1082" s="7"/>
      <c r="BI1082" s="7"/>
      <c r="BJ1082" s="7"/>
    </row>
    <row r="1083" spans="1:62" x14ac:dyDescent="0.25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  <c r="AY1083" s="7"/>
      <c r="AZ1083" s="7"/>
      <c r="BA1083" s="7"/>
      <c r="BB1083" s="7"/>
      <c r="BC1083" s="7"/>
      <c r="BD1083" s="7"/>
      <c r="BE1083" s="7"/>
      <c r="BF1083" s="7"/>
      <c r="BG1083" s="7"/>
      <c r="BH1083" s="7"/>
      <c r="BI1083" s="7"/>
      <c r="BJ1083" s="7"/>
    </row>
    <row r="1084" spans="1:62" x14ac:dyDescent="0.25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  <c r="AY1084" s="7"/>
      <c r="AZ1084" s="7"/>
      <c r="BA1084" s="7"/>
      <c r="BB1084" s="7"/>
      <c r="BC1084" s="7"/>
      <c r="BD1084" s="7"/>
      <c r="BE1084" s="7"/>
      <c r="BF1084" s="7"/>
      <c r="BG1084" s="7"/>
      <c r="BH1084" s="7"/>
      <c r="BI1084" s="7"/>
      <c r="BJ1084" s="7"/>
    </row>
    <row r="1085" spans="1:62" x14ac:dyDescent="0.25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  <c r="AY1085" s="7"/>
      <c r="AZ1085" s="7"/>
      <c r="BA1085" s="7"/>
      <c r="BB1085" s="7"/>
      <c r="BC1085" s="7"/>
      <c r="BD1085" s="7"/>
      <c r="BE1085" s="7"/>
      <c r="BF1085" s="7"/>
      <c r="BG1085" s="7"/>
      <c r="BH1085" s="7"/>
      <c r="BI1085" s="7"/>
      <c r="BJ1085" s="7"/>
    </row>
    <row r="1086" spans="1:62" x14ac:dyDescent="0.25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  <c r="AY1086" s="7"/>
      <c r="AZ1086" s="7"/>
      <c r="BA1086" s="7"/>
      <c r="BB1086" s="7"/>
      <c r="BC1086" s="7"/>
      <c r="BD1086" s="7"/>
      <c r="BE1086" s="7"/>
      <c r="BF1086" s="7"/>
      <c r="BG1086" s="7"/>
      <c r="BH1086" s="7"/>
      <c r="BI1086" s="7"/>
      <c r="BJ1086" s="7"/>
    </row>
    <row r="1087" spans="1:62" x14ac:dyDescent="0.25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  <c r="AY1087" s="7"/>
      <c r="AZ1087" s="7"/>
      <c r="BA1087" s="7"/>
      <c r="BB1087" s="7"/>
      <c r="BC1087" s="7"/>
      <c r="BD1087" s="7"/>
      <c r="BE1087" s="7"/>
      <c r="BF1087" s="7"/>
      <c r="BG1087" s="7"/>
      <c r="BH1087" s="7"/>
      <c r="BI1087" s="7"/>
      <c r="BJ1087" s="7"/>
    </row>
    <row r="1088" spans="1:62" x14ac:dyDescent="0.25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  <c r="AY1088" s="7"/>
      <c r="AZ1088" s="7"/>
      <c r="BA1088" s="7"/>
      <c r="BB1088" s="7"/>
      <c r="BC1088" s="7"/>
      <c r="BD1088" s="7"/>
      <c r="BE1088" s="7"/>
      <c r="BF1088" s="7"/>
      <c r="BG1088" s="7"/>
      <c r="BH1088" s="7"/>
      <c r="BI1088" s="7"/>
      <c r="BJ1088" s="7"/>
    </row>
    <row r="1089" spans="1:62" x14ac:dyDescent="0.25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  <c r="AY1089" s="7"/>
      <c r="AZ1089" s="7"/>
      <c r="BA1089" s="7"/>
      <c r="BB1089" s="7"/>
      <c r="BC1089" s="7"/>
      <c r="BD1089" s="7"/>
      <c r="BE1089" s="7"/>
      <c r="BF1089" s="7"/>
      <c r="BG1089" s="7"/>
      <c r="BH1089" s="7"/>
      <c r="BI1089" s="7"/>
      <c r="BJ1089" s="7"/>
    </row>
    <row r="1090" spans="1:62" x14ac:dyDescent="0.25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  <c r="AY1090" s="7"/>
      <c r="AZ1090" s="7"/>
      <c r="BA1090" s="7"/>
      <c r="BB1090" s="7"/>
      <c r="BC1090" s="7"/>
      <c r="BD1090" s="7"/>
      <c r="BE1090" s="7"/>
      <c r="BF1090" s="7"/>
      <c r="BG1090" s="7"/>
      <c r="BH1090" s="7"/>
      <c r="BI1090" s="7"/>
      <c r="BJ1090" s="7"/>
    </row>
    <row r="1091" spans="1:62" x14ac:dyDescent="0.25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  <c r="AY1091" s="7"/>
      <c r="AZ1091" s="7"/>
      <c r="BA1091" s="7"/>
      <c r="BB1091" s="7"/>
      <c r="BC1091" s="7"/>
      <c r="BD1091" s="7"/>
      <c r="BE1091" s="7"/>
      <c r="BF1091" s="7"/>
      <c r="BG1091" s="7"/>
      <c r="BH1091" s="7"/>
      <c r="BI1091" s="7"/>
      <c r="BJ1091" s="7"/>
    </row>
    <row r="1092" spans="1:62" x14ac:dyDescent="0.25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  <c r="AY1092" s="7"/>
      <c r="AZ1092" s="7"/>
      <c r="BA1092" s="7"/>
      <c r="BB1092" s="7"/>
      <c r="BC1092" s="7"/>
      <c r="BD1092" s="7"/>
      <c r="BE1092" s="7"/>
      <c r="BF1092" s="7"/>
      <c r="BG1092" s="7"/>
      <c r="BH1092" s="7"/>
      <c r="BI1092" s="7"/>
      <c r="BJ1092" s="7"/>
    </row>
  </sheetData>
  <mergeCells count="2">
    <mergeCell ref="D1:R1"/>
    <mergeCell ref="D33:R33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1AA8F5B-B6E6-45B8-994B-1961C8BDD28B}">
  <ds:schemaRefs/>
</ds:datastoreItem>
</file>

<file path=customXml/itemProps2.xml><?xml version="1.0" encoding="utf-8"?>
<ds:datastoreItem xmlns:ds="http://schemas.openxmlformats.org/officeDocument/2006/customXml" ds:itemID="{24CF36E0-EEBB-4D84-8489-1068EA71451E}">
  <ds:schemaRefs/>
</ds:datastoreItem>
</file>

<file path=customXml/itemProps3.xml><?xml version="1.0" encoding="utf-8"?>
<ds:datastoreItem xmlns:ds="http://schemas.openxmlformats.org/officeDocument/2006/customXml" ds:itemID="{682FD5EB-91F6-4653-BDED-246905E49B71}">
  <ds:schemaRefs/>
</ds:datastoreItem>
</file>

<file path=customXml/itemProps4.xml><?xml version="1.0" encoding="utf-8"?>
<ds:datastoreItem xmlns:ds="http://schemas.openxmlformats.org/officeDocument/2006/customXml" ds:itemID="{728F70B1-B480-4D48-B529-AE9F41BC4064}">
  <ds:schemaRefs/>
</ds:datastoreItem>
</file>

<file path=customXml/itemProps5.xml><?xml version="1.0" encoding="utf-8"?>
<ds:datastoreItem xmlns:ds="http://schemas.openxmlformats.org/officeDocument/2006/customXml" ds:itemID="{85212400-3F75-414C-B549-5AD0C2CB4684}">
  <ds:schemaRefs/>
</ds:datastoreItem>
</file>

<file path=customXml/itemProps6.xml><?xml version="1.0" encoding="utf-8"?>
<ds:datastoreItem xmlns:ds="http://schemas.openxmlformats.org/officeDocument/2006/customXml" ds:itemID="{E99AB5EF-90EA-4BEA-B657-4E9241487421}">
  <ds:schemaRefs/>
</ds:datastoreItem>
</file>

<file path=customXml/itemProps7.xml><?xml version="1.0" encoding="utf-8"?>
<ds:datastoreItem xmlns:ds="http://schemas.openxmlformats.org/officeDocument/2006/customXml" ds:itemID="{49FA38D2-72D8-4737-8799-27BFCC87D037}">
  <ds:schemaRefs/>
</ds:datastoreItem>
</file>

<file path=customXml/itemProps8.xml><?xml version="1.0" encoding="utf-8"?>
<ds:datastoreItem xmlns:ds="http://schemas.openxmlformats.org/officeDocument/2006/customXml" ds:itemID="{04435326-A17B-4B53-AFED-CBBBA788676B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C8FE2C2A-585C-443B-8E47-2F811FC15352}">
  <ds:schemaRefs/>
</ds:datastoreItem>
</file>

<file path=customXml/itemProps10.xml><?xml version="1.0" encoding="utf-8"?>
<ds:datastoreItem xmlns:ds="http://schemas.openxmlformats.org/officeDocument/2006/customXml" ds:itemID="{819C0492-2A30-4959-AAA8-F342541858B5}">
  <ds:schemaRefs/>
</ds:datastoreItem>
</file>

<file path=customXml/itemProps11.xml><?xml version="1.0" encoding="utf-8"?>
<ds:datastoreItem xmlns:ds="http://schemas.openxmlformats.org/officeDocument/2006/customXml" ds:itemID="{93CB0E9F-9DB5-42DA-8BE1-88A05DAA2032}">
  <ds:schemaRefs/>
</ds:datastoreItem>
</file>

<file path=customXml/itemProps12.xml><?xml version="1.0" encoding="utf-8"?>
<ds:datastoreItem xmlns:ds="http://schemas.openxmlformats.org/officeDocument/2006/customXml" ds:itemID="{EEA75CCD-724B-48DF-A594-3487028FC283}">
  <ds:schemaRefs/>
</ds:datastoreItem>
</file>

<file path=customXml/itemProps13.xml><?xml version="1.0" encoding="utf-8"?>
<ds:datastoreItem xmlns:ds="http://schemas.openxmlformats.org/officeDocument/2006/customXml" ds:itemID="{791E6164-56B2-413E-AC4F-A73355A10D02}">
  <ds:schemaRefs/>
</ds:datastoreItem>
</file>

<file path=customXml/itemProps14.xml><?xml version="1.0" encoding="utf-8"?>
<ds:datastoreItem xmlns:ds="http://schemas.openxmlformats.org/officeDocument/2006/customXml" ds:itemID="{A118948B-5906-4972-B414-AB65BB5C327B}">
  <ds:schemaRefs/>
</ds:datastoreItem>
</file>

<file path=customXml/itemProps15.xml><?xml version="1.0" encoding="utf-8"?>
<ds:datastoreItem xmlns:ds="http://schemas.openxmlformats.org/officeDocument/2006/customXml" ds:itemID="{C05455E7-0324-4A02-859A-E2F09E2F6D40}">
  <ds:schemaRefs/>
</ds:datastoreItem>
</file>

<file path=customXml/itemProps16.xml><?xml version="1.0" encoding="utf-8"?>
<ds:datastoreItem xmlns:ds="http://schemas.openxmlformats.org/officeDocument/2006/customXml" ds:itemID="{D42BA5AC-16B1-4618-90EB-BC9B0D7C18F0}">
  <ds:schemaRefs/>
</ds:datastoreItem>
</file>

<file path=customXml/itemProps17.xml><?xml version="1.0" encoding="utf-8"?>
<ds:datastoreItem xmlns:ds="http://schemas.openxmlformats.org/officeDocument/2006/customXml" ds:itemID="{B1231A87-D60B-4D5A-9194-F8643261E722}">
  <ds:schemaRefs/>
</ds:datastoreItem>
</file>

<file path=customXml/itemProps18.xml><?xml version="1.0" encoding="utf-8"?>
<ds:datastoreItem xmlns:ds="http://schemas.openxmlformats.org/officeDocument/2006/customXml" ds:itemID="{A67AF915-10FB-466B-98C4-1E278B1C60C6}">
  <ds:schemaRefs/>
</ds:datastoreItem>
</file>

<file path=customXml/itemProps19.xml><?xml version="1.0" encoding="utf-8"?>
<ds:datastoreItem xmlns:ds="http://schemas.openxmlformats.org/officeDocument/2006/customXml" ds:itemID="{3A58FAB7-124D-4EC8-A2F4-09DD676A4441}">
  <ds:schemaRefs/>
</ds:datastoreItem>
</file>

<file path=customXml/itemProps20.xml><?xml version="1.0" encoding="utf-8"?>
<ds:datastoreItem xmlns:ds="http://schemas.openxmlformats.org/officeDocument/2006/customXml" ds:itemID="{9C6DA4CB-3B1A-4A7B-9ED3-0D199CFFB66F}">
  <ds:schemaRefs/>
</ds:datastoreItem>
</file>

<file path=customXml/itemProps21.xml><?xml version="1.0" encoding="utf-8"?>
<ds:datastoreItem xmlns:ds="http://schemas.openxmlformats.org/officeDocument/2006/customXml" ds:itemID="{C55EBF63-70CC-4C80-9512-B576A0013E4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DATA_MODEL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Sriman sree</dc:creator>
  <cp:lastModifiedBy>Sriman sree</cp:lastModifiedBy>
  <dcterms:created xsi:type="dcterms:W3CDTF">2025-11-20T15:06:44Z</dcterms:created>
  <dcterms:modified xsi:type="dcterms:W3CDTF">2025-11-21T15:01:51Z</dcterms:modified>
</cp:coreProperties>
</file>